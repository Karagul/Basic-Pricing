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M05\Google Drive\Shared Projects\Basic_Pricing\"/>
    </mc:Choice>
  </mc:AlternateContent>
  <xr:revisionPtr revIDLastSave="0" documentId="13_ncr:1_{874E8492-E50E-4443-9605-8E999EFD953C}" xr6:coauthVersionLast="43" xr6:coauthVersionMax="43" xr10:uidLastSave="{00000000-0000-0000-0000-000000000000}"/>
  <bookViews>
    <workbookView xWindow="16590" yWindow="105" windowWidth="15810" windowHeight="21465" tabRatio="744" xr2:uid="{00000000-000D-0000-FFFF-FFFF00000000}"/>
  </bookViews>
  <sheets>
    <sheet name="Pricer" sheetId="48" r:id="rId1"/>
    <sheet name="DFs" sheetId="52" r:id="rId2"/>
    <sheet name="Rate_History" sheetId="49" r:id="rId3"/>
    <sheet name="Vol_Surface" sheetId="53" r:id="rId4"/>
    <sheet name="FX_Curve_Live" sheetId="42" r:id="rId5"/>
    <sheet name="FX_Curve_History" sheetId="50" r:id="rId6"/>
    <sheet name="Rate_Live" sheetId="39" r:id="rId7"/>
    <sheet name="FX_Live" sheetId="44" r:id="rId8"/>
    <sheet name="FXFR" sheetId="46" r:id="rId9"/>
    <sheet name="Settings" sheetId="54" r:id="rId10"/>
  </sheets>
  <functionGroups builtInGroupCount="19"/>
  <definedNames>
    <definedName name="Cash_Date">Pricer!$B$6</definedName>
    <definedName name="Future_Date">Pricer!$B$7</definedName>
    <definedName name="JPY_1Y_Adj" localSheetId="2">Rate_History!$N$57</definedName>
    <definedName name="JPY_1Y_Adj">Rate_Live!$N$57</definedName>
    <definedName name="JPY_2Y_Adj" localSheetId="2">Rate_History!$N$58</definedName>
    <definedName name="JPY_2Y_Adj">Rate_Live!$N$58</definedName>
    <definedName name="Pre_Date">Pricer!$B$4</definedName>
    <definedName name="Pre_Date_BRL" localSheetId="2">Rate_History!$F$3</definedName>
    <definedName name="Pre_Date_BRL">Rate_Live!$F$3</definedName>
    <definedName name="sdate" localSheetId="2">Rate_History!$C$1</definedName>
    <definedName name="sdate">Rate_Live!$C$1</definedName>
    <definedName name="SpreadsheetBuilder_1" localSheetId="5" hidden="1">#REF!</definedName>
    <definedName name="SpreadsheetBuilder_1" localSheetId="2" hidden="1">#REF!</definedName>
    <definedName name="SpreadsheetBuilder_1" hidden="1">#REF!</definedName>
    <definedName name="SpreadsheetBuilder_2" localSheetId="5" hidden="1">#REF!</definedName>
    <definedName name="SpreadsheetBuilder_2" localSheetId="2" hidden="1">#REF!</definedName>
    <definedName name="SpreadsheetBuilder_2" hidden="1">#REF!</definedName>
    <definedName name="SpreadsheetBuilder_3" localSheetId="5" hidden="1">FXFR!#REF!</definedName>
    <definedName name="SpreadsheetBuilder_3" localSheetId="2" hidden="1">FXFR!#REF!</definedName>
    <definedName name="SpreadsheetBuilder_3" hidden="1">FXFR!#REF!</definedName>
    <definedName name="Swap_Date">Pricer!$B$8</definedName>
    <definedName name="Today">Pricer!$B$4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44" l="1"/>
  <c r="D16" i="44" s="1"/>
  <c r="C15" i="44"/>
  <c r="D15" i="44" s="1"/>
  <c r="C14" i="44"/>
  <c r="D14" i="44" s="1"/>
  <c r="C13" i="44"/>
  <c r="D13" i="44" s="1"/>
  <c r="C12" i="44"/>
  <c r="D12" i="44" s="1"/>
  <c r="C11" i="44"/>
  <c r="D11" i="44" s="1"/>
  <c r="C10" i="44"/>
  <c r="D10" i="44" s="1"/>
  <c r="C9" i="44"/>
  <c r="D9" i="44" s="1"/>
  <c r="A3" i="44"/>
  <c r="A4" i="44" s="1"/>
  <c r="E16" i="44"/>
  <c r="E12" i="44"/>
  <c r="E9" i="44"/>
  <c r="E15" i="44"/>
  <c r="E11" i="44"/>
  <c r="E14" i="44"/>
  <c r="E10" i="44"/>
  <c r="E13" i="44"/>
  <c r="A5" i="44" l="1"/>
  <c r="C4" i="44"/>
  <c r="D4" i="44" s="1"/>
  <c r="C3" i="44"/>
  <c r="D3" i="44" s="1"/>
  <c r="C2" i="44"/>
  <c r="D2" i="44" s="1"/>
  <c r="E3" i="44"/>
  <c r="E2" i="44"/>
  <c r="F197" i="39"/>
  <c r="E4" i="44"/>
  <c r="F198" i="39" l="1"/>
  <c r="F199" i="39" s="1"/>
  <c r="F200" i="39" s="1"/>
  <c r="F201" i="39" s="1"/>
  <c r="A6" i="44"/>
  <c r="C5" i="44"/>
  <c r="D5" i="44" s="1"/>
  <c r="E5" i="44"/>
  <c r="F194" i="39"/>
  <c r="F196" i="39" l="1"/>
  <c r="F195" i="39"/>
  <c r="A7" i="44"/>
  <c r="C6" i="44"/>
  <c r="D6" i="44" s="1"/>
  <c r="E6" i="44"/>
  <c r="F191" i="39"/>
  <c r="F193" i="39" l="1"/>
  <c r="F192" i="39"/>
  <c r="A8" i="44"/>
  <c r="C8" i="44" s="1"/>
  <c r="D8" i="44" s="1"/>
  <c r="C7" i="44"/>
  <c r="D7" i="44" s="1"/>
  <c r="E7" i="44"/>
  <c r="F189" i="39"/>
  <c r="F190" i="39" l="1"/>
  <c r="F187" i="39"/>
  <c r="B186" i="39"/>
  <c r="F188" i="39"/>
  <c r="B187" i="39"/>
  <c r="F186" i="39"/>
  <c r="B188" i="39" l="1"/>
  <c r="F184" i="39"/>
  <c r="F182" i="39"/>
  <c r="F185" i="39"/>
  <c r="B185" i="39"/>
  <c r="B184" i="39"/>
  <c r="F183" i="39"/>
  <c r="B182" i="39"/>
  <c r="B183" i="39" l="1"/>
  <c r="B181" i="39"/>
  <c r="F181" i="39"/>
  <c r="F165" i="39"/>
  <c r="F164" i="39"/>
  <c r="G165" i="39" l="1"/>
  <c r="O164" i="39"/>
  <c r="O165" i="39" s="1"/>
  <c r="F163" i="39"/>
  <c r="O163" i="39" l="1"/>
  <c r="G164" i="39"/>
  <c r="P163" i="39"/>
  <c r="O166" i="39"/>
  <c r="O167" i="39" s="1"/>
  <c r="O168" i="39" s="1"/>
  <c r="O169" i="39" s="1"/>
  <c r="O170" i="39" s="1"/>
  <c r="O171" i="39" s="1"/>
  <c r="O172" i="39" s="1"/>
  <c r="P165" i="39"/>
  <c r="P164" i="39"/>
  <c r="F162" i="39"/>
  <c r="G163" i="39" l="1"/>
  <c r="O162" i="39"/>
  <c r="P162" i="39" s="1"/>
  <c r="F161" i="39"/>
  <c r="G162" i="39" l="1"/>
  <c r="O161" i="39"/>
  <c r="P161" i="39" s="1"/>
  <c r="B161" i="39"/>
  <c r="F160" i="39"/>
  <c r="F167" i="39" l="1"/>
  <c r="G161" i="39"/>
  <c r="O160" i="39"/>
  <c r="P160" i="39" s="1"/>
  <c r="B160" i="39"/>
  <c r="F168" i="39" l="1"/>
  <c r="P167" i="39"/>
  <c r="F159" i="39"/>
  <c r="G160" i="39" l="1"/>
  <c r="O159" i="39"/>
  <c r="P159" i="39" s="1"/>
  <c r="P168" i="39"/>
  <c r="F169" i="39"/>
  <c r="B159" i="39"/>
  <c r="F170" i="39" l="1"/>
  <c r="P169" i="39"/>
  <c r="F158" i="39"/>
  <c r="G159" i="39" l="1"/>
  <c r="O158" i="39"/>
  <c r="P158" i="39" s="1"/>
  <c r="P170" i="39"/>
  <c r="F171" i="39"/>
  <c r="F172" i="39" l="1"/>
  <c r="P172" i="39" s="1"/>
  <c r="P171" i="39"/>
  <c r="F157" i="39"/>
  <c r="G158" i="39" l="1"/>
  <c r="O157" i="39"/>
  <c r="P157" i="39" s="1"/>
  <c r="B157" i="39"/>
  <c r="B158" i="39" l="1"/>
  <c r="F156" i="39"/>
  <c r="G157" i="39" l="1"/>
  <c r="O156" i="39"/>
  <c r="P156" i="39" s="1"/>
  <c r="B156" i="39"/>
  <c r="L154" i="39"/>
  <c r="F145" i="39"/>
  <c r="F146" i="39" l="1"/>
  <c r="F137" i="39"/>
  <c r="B133" i="39"/>
  <c r="B136" i="39"/>
  <c r="F142" i="39"/>
  <c r="F141" i="39"/>
  <c r="B131" i="39"/>
  <c r="F134" i="39"/>
  <c r="F139" i="39"/>
  <c r="F138" i="39"/>
  <c r="F144" i="39"/>
  <c r="F136" i="39"/>
  <c r="F132" i="39"/>
  <c r="F143" i="39"/>
  <c r="B132" i="39"/>
  <c r="F135" i="39"/>
  <c r="F131" i="39"/>
  <c r="B135" i="39"/>
  <c r="F140" i="39"/>
  <c r="F123" i="39"/>
  <c r="B134" i="39"/>
  <c r="F133" i="39"/>
  <c r="F124" i="39" l="1"/>
  <c r="F115" i="39"/>
  <c r="F109" i="39"/>
  <c r="F100" i="39"/>
  <c r="F120" i="39"/>
  <c r="B108" i="39"/>
  <c r="F107" i="39"/>
  <c r="B111" i="39"/>
  <c r="F117" i="39"/>
  <c r="F110" i="39"/>
  <c r="F116" i="39"/>
  <c r="F122" i="39"/>
  <c r="F114" i="39"/>
  <c r="B109" i="39"/>
  <c r="F121" i="39"/>
  <c r="F113" i="39"/>
  <c r="F108" i="39"/>
  <c r="F112" i="39"/>
  <c r="F119" i="39"/>
  <c r="F118" i="39"/>
  <c r="B107" i="39"/>
  <c r="F106" i="39"/>
  <c r="B110" i="39"/>
  <c r="F111" i="39"/>
  <c r="B106" i="39"/>
  <c r="F101" i="39" l="1"/>
  <c r="F92" i="39"/>
  <c r="F85" i="39"/>
  <c r="F81" i="39"/>
  <c r="F91" i="39"/>
  <c r="B85" i="39"/>
  <c r="B81" i="39"/>
  <c r="F98" i="39"/>
  <c r="F90" i="39"/>
  <c r="F84" i="39"/>
  <c r="F96" i="39"/>
  <c r="F88" i="39"/>
  <c r="F87" i="39"/>
  <c r="F94" i="39"/>
  <c r="B86" i="39"/>
  <c r="F99" i="39"/>
  <c r="F75" i="39"/>
  <c r="F83" i="39"/>
  <c r="B83" i="39"/>
  <c r="F82" i="39"/>
  <c r="B82" i="39"/>
  <c r="F97" i="39"/>
  <c r="F89" i="39"/>
  <c r="B84" i="39"/>
  <c r="F95" i="39"/>
  <c r="F86" i="39"/>
  <c r="F93" i="39"/>
  <c r="F76" i="39" l="1"/>
  <c r="F67" i="39"/>
  <c r="F60" i="39"/>
  <c r="F57" i="39"/>
  <c r="B60" i="39"/>
  <c r="F73" i="39"/>
  <c r="F59" i="39"/>
  <c r="F72" i="39"/>
  <c r="B59" i="39"/>
  <c r="F71" i="39"/>
  <c r="N58" i="39"/>
  <c r="F70" i="39"/>
  <c r="F61" i="39"/>
  <c r="B58" i="39"/>
  <c r="N57" i="39"/>
  <c r="F74" i="39"/>
  <c r="F66" i="39"/>
  <c r="B57" i="39"/>
  <c r="F65" i="39"/>
  <c r="F56" i="39"/>
  <c r="F64" i="39"/>
  <c r="B56" i="39"/>
  <c r="F63" i="39"/>
  <c r="F50" i="39"/>
  <c r="F62" i="39"/>
  <c r="F69" i="39"/>
  <c r="F68" i="39"/>
  <c r="F58" i="39"/>
  <c r="B61" i="39"/>
  <c r="F51" i="39" l="1"/>
  <c r="F42" i="39"/>
  <c r="F35" i="39"/>
  <c r="F31" i="39"/>
  <c r="F39" i="39"/>
  <c r="F33" i="39"/>
  <c r="F45" i="39"/>
  <c r="F36" i="39"/>
  <c r="B36" i="39"/>
  <c r="F49" i="39"/>
  <c r="F41" i="39"/>
  <c r="B35" i="39"/>
  <c r="B31" i="39"/>
  <c r="F48" i="39"/>
  <c r="F40" i="39"/>
  <c r="F34" i="39"/>
  <c r="F25" i="39"/>
  <c r="F47" i="39"/>
  <c r="B34" i="39"/>
  <c r="F37" i="39"/>
  <c r="F44" i="39"/>
  <c r="F32" i="39"/>
  <c r="B32" i="39"/>
  <c r="F46" i="39"/>
  <c r="F38" i="39"/>
  <c r="B33" i="39"/>
  <c r="F43" i="39"/>
  <c r="F26" i="39" l="1"/>
  <c r="F17" i="39"/>
  <c r="F10" i="39"/>
  <c r="F6" i="39"/>
  <c r="X169" i="50"/>
  <c r="X165" i="50"/>
  <c r="F9" i="39"/>
  <c r="X164" i="50"/>
  <c r="F22" i="39"/>
  <c r="B9" i="39"/>
  <c r="U168" i="50"/>
  <c r="V161" i="50"/>
  <c r="X170" i="50"/>
  <c r="F18" i="39"/>
  <c r="U170" i="50"/>
  <c r="F24" i="39"/>
  <c r="F16" i="39"/>
  <c r="B10" i="39"/>
  <c r="B6" i="39"/>
  <c r="U169" i="50"/>
  <c r="U165" i="50"/>
  <c r="X161" i="50"/>
  <c r="F23" i="39"/>
  <c r="F15" i="39"/>
  <c r="X172" i="50"/>
  <c r="X168" i="50"/>
  <c r="W161" i="50"/>
  <c r="F14" i="39"/>
  <c r="U172" i="50"/>
  <c r="U164" i="50"/>
  <c r="F11" i="39"/>
  <c r="X166" i="50"/>
  <c r="B11" i="39"/>
  <c r="U166" i="50"/>
  <c r="F21" i="39"/>
  <c r="F13" i="39"/>
  <c r="F8" i="39"/>
  <c r="X171" i="50"/>
  <c r="X167" i="50"/>
  <c r="X163" i="50"/>
  <c r="U161" i="50"/>
  <c r="F20" i="39"/>
  <c r="F12" i="39"/>
  <c r="B8" i="39"/>
  <c r="U171" i="50"/>
  <c r="U167" i="50"/>
  <c r="U163" i="50"/>
  <c r="P161" i="50"/>
  <c r="F19" i="39"/>
  <c r="F7" i="39"/>
  <c r="X162" i="50"/>
  <c r="B7" i="39"/>
  <c r="U162" i="50"/>
  <c r="B162" i="50" l="1"/>
  <c r="V162" i="50"/>
  <c r="B161" i="50"/>
  <c r="U158" i="50"/>
  <c r="X160" i="50"/>
  <c r="W160" i="50"/>
  <c r="V160" i="50"/>
  <c r="P160" i="50"/>
  <c r="X159" i="50"/>
  <c r="X157" i="50"/>
  <c r="V159" i="50"/>
  <c r="U159" i="50"/>
  <c r="P159" i="50"/>
  <c r="U160" i="50"/>
  <c r="X158" i="50"/>
  <c r="W159" i="50"/>
  <c r="W157" i="50"/>
  <c r="V157" i="50"/>
  <c r="U157" i="50"/>
  <c r="P157" i="50"/>
  <c r="B160" i="50" l="1"/>
  <c r="B159" i="50"/>
  <c r="B158" i="50"/>
  <c r="V158" i="50"/>
  <c r="B157" i="50"/>
  <c r="B156" i="50"/>
  <c r="M142" i="50"/>
  <c r="M134" i="50"/>
  <c r="M133" i="50"/>
  <c r="M140" i="50"/>
  <c r="X156" i="50"/>
  <c r="M136" i="50"/>
  <c r="M141" i="50"/>
  <c r="P131" i="50"/>
  <c r="M139" i="50"/>
  <c r="M131" i="50"/>
  <c r="U156" i="50"/>
  <c r="M135" i="50"/>
  <c r="M138" i="50"/>
  <c r="M137" i="50"/>
  <c r="M132" i="50" l="1"/>
  <c r="M122" i="50"/>
  <c r="M145" i="50" l="1"/>
  <c r="M144" i="50"/>
  <c r="M143" i="50"/>
  <c r="M123" i="50"/>
  <c r="M120" i="50"/>
  <c r="M121" i="50" l="1"/>
  <c r="M119" i="50"/>
  <c r="M116" i="50"/>
  <c r="M118" i="50" l="1"/>
  <c r="M117" i="50"/>
  <c r="M114" i="50"/>
  <c r="M115" i="50" l="1"/>
  <c r="M106" i="50"/>
  <c r="M112" i="50"/>
  <c r="M111" i="50"/>
  <c r="M110" i="50"/>
  <c r="M109" i="50"/>
  <c r="P106" i="50"/>
  <c r="M113" i="50"/>
  <c r="M108" i="50"/>
  <c r="M107" i="50" l="1"/>
  <c r="M98" i="50"/>
  <c r="M100" i="50"/>
  <c r="M99" i="50" l="1"/>
  <c r="M97" i="50"/>
  <c r="M94" i="50"/>
  <c r="M96" i="50" l="1"/>
  <c r="M95" i="50"/>
  <c r="M91" i="50"/>
  <c r="M93" i="50" l="1"/>
  <c r="M92" i="50"/>
  <c r="M84" i="50"/>
  <c r="M83" i="50"/>
  <c r="M90" i="50"/>
  <c r="P81" i="50"/>
  <c r="M81" i="50"/>
  <c r="M88" i="50"/>
  <c r="M87" i="50"/>
  <c r="M86" i="50"/>
  <c r="M89" i="50"/>
  <c r="M85" i="50"/>
  <c r="M82" i="50" l="1"/>
  <c r="M75" i="50"/>
  <c r="M74" i="50"/>
  <c r="M73" i="50"/>
  <c r="M72" i="50"/>
  <c r="M69" i="50"/>
  <c r="M71" i="50" l="1"/>
  <c r="M70" i="50"/>
  <c r="M66" i="50"/>
  <c r="M68" i="50" l="1"/>
  <c r="M67" i="50"/>
  <c r="M59" i="50"/>
  <c r="M47" i="50"/>
  <c r="M44" i="50"/>
  <c r="M65" i="50"/>
  <c r="M64" i="50"/>
  <c r="M63" i="50"/>
  <c r="M62" i="50"/>
  <c r="M61" i="50"/>
  <c r="M60" i="50"/>
  <c r="M58" i="50"/>
  <c r="M57" i="50"/>
  <c r="P56" i="50"/>
  <c r="M56" i="50"/>
  <c r="M50" i="50"/>
  <c r="M49" i="50"/>
  <c r="M48" i="50"/>
  <c r="M46" i="50" l="1"/>
  <c r="M45" i="50"/>
  <c r="M41" i="50"/>
  <c r="M43" i="50" l="1"/>
  <c r="M42" i="50"/>
  <c r="M34" i="50"/>
  <c r="M33" i="50"/>
  <c r="M40" i="50"/>
  <c r="M39" i="50"/>
  <c r="P31" i="50"/>
  <c r="M38" i="50"/>
  <c r="M31" i="50"/>
  <c r="F197" i="42"/>
  <c r="M35" i="50"/>
  <c r="M32" i="50"/>
  <c r="M37" i="50"/>
  <c r="M36" i="50"/>
  <c r="F198" i="42" l="1"/>
  <c r="F199" i="42" s="1"/>
  <c r="F200" i="42" s="1"/>
  <c r="F201" i="42" s="1"/>
  <c r="F194" i="42"/>
  <c r="F196" i="42" l="1"/>
  <c r="F195" i="42"/>
  <c r="F191" i="42"/>
  <c r="F193" i="42" l="1"/>
  <c r="F192" i="42"/>
  <c r="F189" i="42"/>
  <c r="F190" i="42" l="1"/>
  <c r="F187" i="42"/>
  <c r="F186" i="42"/>
  <c r="F188" i="42"/>
  <c r="B187" i="42"/>
  <c r="B186" i="42"/>
  <c r="B188" i="42" l="1"/>
  <c r="B185" i="42"/>
  <c r="F183" i="42"/>
  <c r="F185" i="42"/>
  <c r="F184" i="42"/>
  <c r="B184" i="42"/>
  <c r="F182" i="42"/>
  <c r="B182" i="42"/>
  <c r="B183" i="42" l="1"/>
  <c r="U167" i="42"/>
  <c r="U161" i="42"/>
  <c r="B181" i="42"/>
  <c r="U172" i="42"/>
  <c r="U171" i="42"/>
  <c r="U170" i="42"/>
  <c r="U169" i="42"/>
  <c r="U168" i="42"/>
  <c r="V161" i="42"/>
  <c r="F181" i="42"/>
  <c r="U166" i="42"/>
  <c r="P161" i="42"/>
  <c r="U165" i="42"/>
  <c r="U164" i="42"/>
  <c r="U163" i="42"/>
  <c r="U162" i="42"/>
  <c r="B162" i="42" l="1"/>
  <c r="V162" i="42"/>
  <c r="B161" i="42"/>
  <c r="U159" i="42"/>
  <c r="U158" i="42"/>
  <c r="V157" i="42"/>
  <c r="V159" i="42"/>
  <c r="P159" i="42"/>
  <c r="V160" i="42"/>
  <c r="U160" i="42"/>
  <c r="P160" i="42"/>
  <c r="U157" i="42"/>
  <c r="P157" i="42"/>
  <c r="B160" i="42" l="1"/>
  <c r="B158" i="42"/>
  <c r="B159" i="42"/>
  <c r="V158" i="42"/>
  <c r="B157" i="42"/>
  <c r="B156" i="42" s="1"/>
  <c r="M141" i="42"/>
  <c r="M133" i="42"/>
  <c r="M136" i="42"/>
  <c r="M131" i="42"/>
  <c r="M139" i="42"/>
  <c r="M142" i="42"/>
  <c r="M137" i="42"/>
  <c r="M140" i="42"/>
  <c r="P131" i="42"/>
  <c r="U156" i="42"/>
  <c r="M135" i="42"/>
  <c r="M138" i="42"/>
  <c r="M134" i="42"/>
  <c r="M132" i="42" l="1"/>
  <c r="F134" i="42"/>
  <c r="F140" i="42"/>
  <c r="F132" i="42"/>
  <c r="F135" i="42"/>
  <c r="F131" i="42"/>
  <c r="F139" i="42"/>
  <c r="B136" i="42"/>
  <c r="M122" i="42"/>
  <c r="F133" i="42"/>
  <c r="F141" i="42"/>
  <c r="F138" i="42"/>
  <c r="F137" i="42"/>
  <c r="F142" i="42"/>
  <c r="B135" i="42"/>
  <c r="B131" i="42"/>
  <c r="F136" i="42"/>
  <c r="B132" i="42"/>
  <c r="B133" i="42"/>
  <c r="B134" i="42"/>
  <c r="B137" i="42" l="1"/>
  <c r="M145" i="42"/>
  <c r="M144" i="42"/>
  <c r="M143" i="42"/>
  <c r="M123" i="42"/>
  <c r="F122" i="42"/>
  <c r="F145" i="42"/>
  <c r="F143" i="42"/>
  <c r="F144" i="42"/>
  <c r="F123" i="42"/>
  <c r="F124" i="42" l="1"/>
  <c r="F146" i="42"/>
  <c r="M120" i="42"/>
  <c r="M121" i="42" l="1"/>
  <c r="F120" i="42"/>
  <c r="M119" i="42"/>
  <c r="M116" i="42"/>
  <c r="F121" i="42"/>
  <c r="M118" i="42" l="1"/>
  <c r="M117" i="42"/>
  <c r="F116" i="42"/>
  <c r="F119" i="42"/>
  <c r="F118" i="42"/>
  <c r="F117" i="42"/>
  <c r="M114" i="42"/>
  <c r="M115" i="42" l="1"/>
  <c r="F114" i="42"/>
  <c r="M106" i="42"/>
  <c r="M110" i="42"/>
  <c r="F115" i="42"/>
  <c r="M113" i="42"/>
  <c r="M112" i="42"/>
  <c r="P106" i="42"/>
  <c r="M109" i="42"/>
  <c r="M108" i="42"/>
  <c r="M111" i="42"/>
  <c r="M107" i="42" l="1"/>
  <c r="F111" i="42"/>
  <c r="F112" i="42"/>
  <c r="M100" i="42"/>
  <c r="F108" i="42"/>
  <c r="F113" i="42"/>
  <c r="F109" i="42"/>
  <c r="F110" i="42"/>
  <c r="B107" i="42"/>
  <c r="F107" i="42"/>
  <c r="F106" i="42"/>
  <c r="B106" i="42"/>
  <c r="B111" i="42"/>
  <c r="B109" i="42"/>
  <c r="B110" i="42"/>
  <c r="B108" i="42"/>
  <c r="B112" i="42" l="1"/>
  <c r="F100" i="42"/>
  <c r="M98" i="42"/>
  <c r="F101" i="42" l="1"/>
  <c r="M99" i="42"/>
  <c r="F98" i="42"/>
  <c r="M97" i="42"/>
  <c r="M94" i="42"/>
  <c r="F99" i="42"/>
  <c r="M96" i="42" l="1"/>
  <c r="M95" i="42"/>
  <c r="F94" i="42"/>
  <c r="F96" i="42"/>
  <c r="M91" i="42"/>
  <c r="F97" i="42"/>
  <c r="F95" i="42"/>
  <c r="M93" i="42" l="1"/>
  <c r="M92" i="42"/>
  <c r="F91" i="42"/>
  <c r="M88" i="42"/>
  <c r="M84" i="42"/>
  <c r="M87" i="42"/>
  <c r="M83" i="42"/>
  <c r="F92" i="42"/>
  <c r="M86" i="42"/>
  <c r="P81" i="42"/>
  <c r="M89" i="42"/>
  <c r="F93" i="42"/>
  <c r="M90" i="42"/>
  <c r="M85" i="42"/>
  <c r="M81" i="42"/>
  <c r="M82" i="42" l="1"/>
  <c r="F85" i="42"/>
  <c r="F86" i="42"/>
  <c r="F81" i="42"/>
  <c r="F90" i="42"/>
  <c r="F83" i="42"/>
  <c r="B81" i="42"/>
  <c r="F89" i="42"/>
  <c r="F87" i="42"/>
  <c r="M75" i="42"/>
  <c r="B83" i="42"/>
  <c r="F84" i="42"/>
  <c r="F88" i="42"/>
  <c r="B82" i="42"/>
  <c r="B84" i="42"/>
  <c r="B85" i="42"/>
  <c r="B86" i="42"/>
  <c r="F82" i="42"/>
  <c r="B87" i="42" l="1"/>
  <c r="M69" i="42"/>
  <c r="M73" i="42"/>
  <c r="F75" i="42"/>
  <c r="M74" i="42"/>
  <c r="M72" i="42"/>
  <c r="F76" i="42" l="1"/>
  <c r="M71" i="42"/>
  <c r="M70" i="42"/>
  <c r="F72" i="42"/>
  <c r="F74" i="42"/>
  <c r="F73" i="42"/>
  <c r="F69" i="42"/>
  <c r="F71" i="42"/>
  <c r="M66" i="42"/>
  <c r="F70" i="42"/>
  <c r="M68" i="42" l="1"/>
  <c r="M67" i="42"/>
  <c r="F66" i="42"/>
  <c r="M56" i="42"/>
  <c r="M63" i="42"/>
  <c r="M62" i="42"/>
  <c r="F67" i="42"/>
  <c r="M61" i="42"/>
  <c r="M60" i="42"/>
  <c r="M59" i="42"/>
  <c r="F68" i="42"/>
  <c r="M58" i="42"/>
  <c r="M65" i="42"/>
  <c r="M57" i="42"/>
  <c r="M64" i="42"/>
  <c r="P56" i="42"/>
  <c r="F145" i="49" l="1"/>
  <c r="F146" i="49" s="1"/>
  <c r="F144" i="49"/>
  <c r="F143" i="49"/>
  <c r="F142" i="49"/>
  <c r="O14" i="48" s="1"/>
  <c r="F141" i="49"/>
  <c r="O13" i="48" s="1"/>
  <c r="F140" i="49"/>
  <c r="F139" i="49"/>
  <c r="O12" i="48" s="1"/>
  <c r="F138" i="49"/>
  <c r="O11" i="48" s="1"/>
  <c r="F137" i="49"/>
  <c r="F136" i="49"/>
  <c r="F135" i="49"/>
  <c r="F134" i="49"/>
  <c r="O7" i="48" s="1"/>
  <c r="F133" i="49"/>
  <c r="O6" i="48" s="1"/>
  <c r="F132" i="49"/>
  <c r="O5" i="48" s="1"/>
  <c r="F131" i="49"/>
  <c r="O4" i="48" s="1"/>
  <c r="F118" i="49"/>
  <c r="F117" i="49"/>
  <c r="F115" i="49"/>
  <c r="F100" i="49"/>
  <c r="F101" i="49" s="1"/>
  <c r="F99" i="49"/>
  <c r="M16" i="48" s="1"/>
  <c r="F98" i="49"/>
  <c r="M15" i="48" s="1"/>
  <c r="F97" i="49"/>
  <c r="M14" i="48" s="1"/>
  <c r="F96" i="49"/>
  <c r="F95" i="49"/>
  <c r="F94" i="49"/>
  <c r="M13" i="48" s="1"/>
  <c r="F93" i="49"/>
  <c r="F92" i="49"/>
  <c r="F91" i="49"/>
  <c r="F90" i="49"/>
  <c r="F89" i="49"/>
  <c r="M12" i="48" s="1"/>
  <c r="F88" i="49"/>
  <c r="M11" i="48" s="1"/>
  <c r="F87" i="49"/>
  <c r="M10" i="48" s="1"/>
  <c r="F86" i="49"/>
  <c r="M9" i="48" s="1"/>
  <c r="F85" i="49"/>
  <c r="M8" i="48" s="1"/>
  <c r="F84" i="49"/>
  <c r="M7" i="48" s="1"/>
  <c r="F83" i="49"/>
  <c r="M6" i="48" s="1"/>
  <c r="F82" i="49"/>
  <c r="M5" i="48" s="1"/>
  <c r="F81" i="49"/>
  <c r="M4" i="48" s="1"/>
  <c r="F50" i="49"/>
  <c r="F51" i="49" s="1"/>
  <c r="F49" i="49"/>
  <c r="K16" i="48" s="1"/>
  <c r="F48" i="49"/>
  <c r="K15" i="48" s="1"/>
  <c r="F47" i="49"/>
  <c r="K14" i="48" s="1"/>
  <c r="F46" i="49"/>
  <c r="F45" i="49"/>
  <c r="F44" i="49"/>
  <c r="K13" i="48" s="1"/>
  <c r="F43" i="49"/>
  <c r="F42" i="49"/>
  <c r="F41" i="49"/>
  <c r="F40" i="49"/>
  <c r="F39" i="49"/>
  <c r="K12" i="48" s="1"/>
  <c r="F38" i="49"/>
  <c r="K11" i="48" s="1"/>
  <c r="F37" i="49"/>
  <c r="K10" i="48" s="1"/>
  <c r="F36" i="49"/>
  <c r="K9" i="48" s="1"/>
  <c r="F35" i="49"/>
  <c r="K8" i="48" s="1"/>
  <c r="F34" i="49"/>
  <c r="K7" i="48" s="1"/>
  <c r="F33" i="49"/>
  <c r="K6" i="48" s="1"/>
  <c r="F32" i="49"/>
  <c r="K5" i="48" s="1"/>
  <c r="F31" i="49"/>
  <c r="K4" i="48" s="1"/>
  <c r="F25" i="49"/>
  <c r="F26" i="49" s="1"/>
  <c r="F24" i="49"/>
  <c r="J16" i="48" s="1"/>
  <c r="F23" i="49"/>
  <c r="J15" i="48" s="1"/>
  <c r="F22" i="49"/>
  <c r="J14" i="48" s="1"/>
  <c r="F21" i="49"/>
  <c r="F20" i="49"/>
  <c r="F19" i="49"/>
  <c r="J13" i="48" s="1"/>
  <c r="F18" i="49"/>
  <c r="F16" i="49"/>
  <c r="F15" i="49"/>
  <c r="F14" i="49"/>
  <c r="J12" i="48" s="1"/>
  <c r="F13" i="49"/>
  <c r="J11" i="48" s="1"/>
  <c r="F12" i="49"/>
  <c r="J10" i="48" s="1"/>
  <c r="F11" i="49"/>
  <c r="J9" i="48" s="1"/>
  <c r="F10" i="49"/>
  <c r="J8" i="48" s="1"/>
  <c r="F9" i="49"/>
  <c r="J7" i="48" s="1"/>
  <c r="F8" i="49"/>
  <c r="J6" i="48" s="1"/>
  <c r="F7" i="49"/>
  <c r="F6" i="49"/>
  <c r="J4" i="48" s="1"/>
  <c r="D3" i="49"/>
  <c r="B3" i="49"/>
  <c r="D2" i="49"/>
  <c r="B2" i="49"/>
  <c r="O16" i="48"/>
  <c r="O15" i="48"/>
  <c r="O10" i="48"/>
  <c r="O9" i="48"/>
  <c r="O8" i="48"/>
  <c r="G8" i="48"/>
  <c r="E8" i="48"/>
  <c r="G7" i="48"/>
  <c r="E7" i="48"/>
  <c r="G6" i="48"/>
  <c r="E6" i="48"/>
  <c r="J5" i="48"/>
  <c r="G5" i="48"/>
  <c r="E5" i="48"/>
  <c r="G4" i="48"/>
  <c r="E4" i="48"/>
  <c r="B4" i="48"/>
  <c r="C5" i="52" s="1"/>
  <c r="B57" i="42"/>
  <c r="F58" i="42"/>
  <c r="B56" i="42"/>
  <c r="F59" i="42"/>
  <c r="B59" i="42"/>
  <c r="F60" i="42"/>
  <c r="B60" i="42"/>
  <c r="B61" i="42"/>
  <c r="F64" i="42"/>
  <c r="F57" i="42"/>
  <c r="F65" i="42"/>
  <c r="B58" i="42"/>
  <c r="M50" i="42"/>
  <c r="F61" i="42"/>
  <c r="F62" i="42"/>
  <c r="F63" i="42"/>
  <c r="F56" i="42"/>
  <c r="M49" i="42"/>
  <c r="M48" i="42"/>
  <c r="M47" i="42"/>
  <c r="M44" i="42"/>
  <c r="M41" i="42"/>
  <c r="M38" i="42"/>
  <c r="M34" i="42"/>
  <c r="M37" i="42"/>
  <c r="M36" i="42"/>
  <c r="M32" i="42"/>
  <c r="M39" i="42"/>
  <c r="P31" i="42"/>
  <c r="M33" i="42"/>
  <c r="M40" i="42"/>
  <c r="M35" i="42"/>
  <c r="M31" i="42"/>
  <c r="F25" i="42"/>
  <c r="F17" i="42"/>
  <c r="F16" i="42"/>
  <c r="F23" i="42"/>
  <c r="F15" i="42"/>
  <c r="F14" i="42"/>
  <c r="F13" i="42"/>
  <c r="F12" i="42"/>
  <c r="F11" i="42"/>
  <c r="B11" i="42"/>
  <c r="F24" i="42"/>
  <c r="F22" i="42"/>
  <c r="F21" i="42"/>
  <c r="F20" i="42"/>
  <c r="F19" i="42"/>
  <c r="F18" i="42"/>
  <c r="B7" i="42"/>
  <c r="U167" i="49"/>
  <c r="U160" i="49"/>
  <c r="C4" i="53"/>
  <c r="K4" i="53"/>
  <c r="G5" i="53"/>
  <c r="C6" i="53"/>
  <c r="K6" i="53"/>
  <c r="G7" i="53"/>
  <c r="C8" i="53"/>
  <c r="K8" i="53"/>
  <c r="G9" i="53"/>
  <c r="C10" i="53"/>
  <c r="K10" i="53"/>
  <c r="G11" i="53"/>
  <c r="C12" i="53"/>
  <c r="K12" i="53"/>
  <c r="G13" i="53"/>
  <c r="C24" i="53"/>
  <c r="K24" i="53"/>
  <c r="H25" i="53"/>
  <c r="E26" i="53"/>
  <c r="B27" i="53"/>
  <c r="J27" i="53"/>
  <c r="G28" i="53"/>
  <c r="D29" i="53"/>
  <c r="L29" i="53"/>
  <c r="I30" i="53"/>
  <c r="F31" i="53"/>
  <c r="C32" i="53"/>
  <c r="K32" i="53"/>
  <c r="H33" i="53"/>
  <c r="E44" i="53"/>
  <c r="M44" i="53"/>
  <c r="G45" i="53"/>
  <c r="O45" i="53"/>
  <c r="I46" i="53"/>
  <c r="C47" i="53"/>
  <c r="K47" i="53"/>
  <c r="E48" i="53"/>
  <c r="M48" i="53"/>
  <c r="G49" i="53"/>
  <c r="O49" i="53"/>
  <c r="I50" i="53"/>
  <c r="C51" i="53"/>
  <c r="K51" i="53"/>
  <c r="E52" i="53"/>
  <c r="M52" i="53"/>
  <c r="H53" i="53"/>
  <c r="C54" i="53"/>
  <c r="H55" i="53"/>
  <c r="G64" i="53"/>
  <c r="O64" i="53"/>
  <c r="I65" i="53"/>
  <c r="C66" i="53"/>
  <c r="K66" i="53"/>
  <c r="E67" i="53"/>
  <c r="M67" i="53"/>
  <c r="G68" i="53"/>
  <c r="O68" i="53"/>
  <c r="I69" i="53"/>
  <c r="C70" i="53"/>
  <c r="K70" i="53"/>
  <c r="E71" i="53"/>
  <c r="M71" i="53"/>
  <c r="G72" i="53"/>
  <c r="O72" i="53"/>
  <c r="I73" i="53"/>
  <c r="C74" i="53"/>
  <c r="K74" i="53"/>
  <c r="D7" i="46"/>
  <c r="D15" i="46"/>
  <c r="D27" i="46"/>
  <c r="D35" i="46"/>
  <c r="D43" i="46"/>
  <c r="D55" i="46"/>
  <c r="D63" i="46"/>
  <c r="D75" i="46"/>
  <c r="D83" i="46"/>
  <c r="D95" i="46"/>
  <c r="D103" i="46"/>
  <c r="D115" i="46"/>
  <c r="D123" i="46"/>
  <c r="D131" i="46"/>
  <c r="D117" i="46"/>
  <c r="U172" i="49"/>
  <c r="B7" i="53"/>
  <c r="J9" i="53"/>
  <c r="J11" i="53"/>
  <c r="F24" i="53"/>
  <c r="H26" i="53"/>
  <c r="J28" i="53"/>
  <c r="L30" i="53"/>
  <c r="C33" i="53"/>
  <c r="J45" i="53"/>
  <c r="F47" i="53"/>
  <c r="B49" i="53"/>
  <c r="L50" i="53"/>
  <c r="H52" i="53"/>
  <c r="K54" i="53"/>
  <c r="D65" i="53"/>
  <c r="N66" i="53"/>
  <c r="J68" i="53"/>
  <c r="F70" i="53"/>
  <c r="B72" i="53"/>
  <c r="L73" i="53"/>
  <c r="D10" i="46"/>
  <c r="D38" i="46"/>
  <c r="D70" i="46"/>
  <c r="D98" i="46"/>
  <c r="D126" i="46"/>
  <c r="H32" i="53"/>
  <c r="F46" i="53"/>
  <c r="J48" i="53"/>
  <c r="N50" i="53"/>
  <c r="E53" i="53"/>
  <c r="F10" i="42"/>
  <c r="F6" i="42"/>
  <c r="U166" i="49"/>
  <c r="P160" i="49"/>
  <c r="D4" i="53"/>
  <c r="L4" i="53"/>
  <c r="H5" i="53"/>
  <c r="D6" i="53"/>
  <c r="L6" i="53"/>
  <c r="H7" i="53"/>
  <c r="D8" i="53"/>
  <c r="L8" i="53"/>
  <c r="H9" i="53"/>
  <c r="D10" i="53"/>
  <c r="L10" i="53"/>
  <c r="H11" i="53"/>
  <c r="D12" i="53"/>
  <c r="L12" i="53"/>
  <c r="H13" i="53"/>
  <c r="D24" i="53"/>
  <c r="L24" i="53"/>
  <c r="I25" i="53"/>
  <c r="F26" i="53"/>
  <c r="C27" i="53"/>
  <c r="K27" i="53"/>
  <c r="H28" i="53"/>
  <c r="E29" i="53"/>
  <c r="B30" i="53"/>
  <c r="J30" i="53"/>
  <c r="G31" i="53"/>
  <c r="D32" i="53"/>
  <c r="L32" i="53"/>
  <c r="I33" i="53"/>
  <c r="F44" i="53"/>
  <c r="N44" i="53"/>
  <c r="H45" i="53"/>
  <c r="B46" i="53"/>
  <c r="J46" i="53"/>
  <c r="D47" i="53"/>
  <c r="L47" i="53"/>
  <c r="F48" i="53"/>
  <c r="N48" i="53"/>
  <c r="H49" i="53"/>
  <c r="B50" i="53"/>
  <c r="J50" i="53"/>
  <c r="D51" i="53"/>
  <c r="L51" i="53"/>
  <c r="F52" i="53"/>
  <c r="N52" i="53"/>
  <c r="I53" i="53"/>
  <c r="F54" i="53"/>
  <c r="K55" i="53"/>
  <c r="H64" i="53"/>
  <c r="B65" i="53"/>
  <c r="J65" i="53"/>
  <c r="D66" i="53"/>
  <c r="L66" i="53"/>
  <c r="F67" i="53"/>
  <c r="N67" i="53"/>
  <c r="H68" i="53"/>
  <c r="B69" i="53"/>
  <c r="J69" i="53"/>
  <c r="D70" i="53"/>
  <c r="L70" i="53"/>
  <c r="F71" i="53"/>
  <c r="N71" i="53"/>
  <c r="H72" i="53"/>
  <c r="B73" i="53"/>
  <c r="J73" i="53"/>
  <c r="D74" i="53"/>
  <c r="L74" i="53"/>
  <c r="D8" i="46"/>
  <c r="D16" i="46"/>
  <c r="D28" i="46"/>
  <c r="D36" i="46"/>
  <c r="D48" i="46"/>
  <c r="D56" i="46"/>
  <c r="D64" i="46"/>
  <c r="D76" i="46"/>
  <c r="D84" i="46"/>
  <c r="D96" i="46"/>
  <c r="D104" i="46"/>
  <c r="D116" i="46"/>
  <c r="D124" i="46"/>
  <c r="D65" i="46"/>
  <c r="D85" i="46"/>
  <c r="D105" i="46"/>
  <c r="F9" i="42"/>
  <c r="F4" i="53"/>
  <c r="J5" i="53"/>
  <c r="J7" i="53"/>
  <c r="B9" i="53"/>
  <c r="B11" i="53"/>
  <c r="B13" i="53"/>
  <c r="C25" i="53"/>
  <c r="E27" i="53"/>
  <c r="G29" i="53"/>
  <c r="I31" i="53"/>
  <c r="K33" i="53"/>
  <c r="B45" i="53"/>
  <c r="L46" i="53"/>
  <c r="H48" i="53"/>
  <c r="D50" i="53"/>
  <c r="N51" i="53"/>
  <c r="K53" i="53"/>
  <c r="J64" i="53"/>
  <c r="F66" i="53"/>
  <c r="B68" i="53"/>
  <c r="L69" i="53"/>
  <c r="H71" i="53"/>
  <c r="D73" i="53"/>
  <c r="N74" i="53"/>
  <c r="D30" i="46"/>
  <c r="D58" i="46"/>
  <c r="D86" i="46"/>
  <c r="D118" i="46"/>
  <c r="K31" i="53"/>
  <c r="J44" i="53"/>
  <c r="N46" i="53"/>
  <c r="D49" i="53"/>
  <c r="H51" i="53"/>
  <c r="B10" i="42"/>
  <c r="B6" i="42"/>
  <c r="U165" i="49"/>
  <c r="U159" i="49"/>
  <c r="E4" i="53"/>
  <c r="M4" i="53"/>
  <c r="I5" i="53"/>
  <c r="E6" i="53"/>
  <c r="M6" i="53"/>
  <c r="I7" i="53"/>
  <c r="E8" i="53"/>
  <c r="M8" i="53"/>
  <c r="I9" i="53"/>
  <c r="E10" i="53"/>
  <c r="M10" i="53"/>
  <c r="I11" i="53"/>
  <c r="E12" i="53"/>
  <c r="M12" i="53"/>
  <c r="I13" i="53"/>
  <c r="E24" i="53"/>
  <c r="B25" i="53"/>
  <c r="J25" i="53"/>
  <c r="G26" i="53"/>
  <c r="D27" i="53"/>
  <c r="L27" i="53"/>
  <c r="I28" i="53"/>
  <c r="F29" i="53"/>
  <c r="C30" i="53"/>
  <c r="K30" i="53"/>
  <c r="H31" i="53"/>
  <c r="E32" i="53"/>
  <c r="B33" i="53"/>
  <c r="J33" i="53"/>
  <c r="G44" i="53"/>
  <c r="O44" i="53"/>
  <c r="I45" i="53"/>
  <c r="C46" i="53"/>
  <c r="K46" i="53"/>
  <c r="E47" i="53"/>
  <c r="M47" i="53"/>
  <c r="G48" i="53"/>
  <c r="O48" i="53"/>
  <c r="I49" i="53"/>
  <c r="C50" i="53"/>
  <c r="K50" i="53"/>
  <c r="E51" i="53"/>
  <c r="M51" i="53"/>
  <c r="G52" i="53"/>
  <c r="O52" i="53"/>
  <c r="J53" i="53"/>
  <c r="I54" i="53"/>
  <c r="O55" i="53"/>
  <c r="I64" i="53"/>
  <c r="C65" i="53"/>
  <c r="K65" i="53"/>
  <c r="E66" i="53"/>
  <c r="M66" i="53"/>
  <c r="G67" i="53"/>
  <c r="O67" i="53"/>
  <c r="I68" i="53"/>
  <c r="C69" i="53"/>
  <c r="K69" i="53"/>
  <c r="E70" i="53"/>
  <c r="M70" i="53"/>
  <c r="G71" i="53"/>
  <c r="O71" i="53"/>
  <c r="I72" i="53"/>
  <c r="C73" i="53"/>
  <c r="K73" i="53"/>
  <c r="E74" i="53"/>
  <c r="M74" i="53"/>
  <c r="D9" i="46"/>
  <c r="D17" i="46"/>
  <c r="D29" i="46"/>
  <c r="D37" i="46"/>
  <c r="D49" i="46"/>
  <c r="D57" i="46"/>
  <c r="D77" i="46"/>
  <c r="D97" i="46"/>
  <c r="D125" i="46"/>
  <c r="U164" i="49"/>
  <c r="P159" i="49"/>
  <c r="B5" i="53"/>
  <c r="F6" i="53"/>
  <c r="F8" i="53"/>
  <c r="F10" i="53"/>
  <c r="F12" i="53"/>
  <c r="J13" i="53"/>
  <c r="K25" i="53"/>
  <c r="B28" i="53"/>
  <c r="D30" i="53"/>
  <c r="F32" i="53"/>
  <c r="H44" i="53"/>
  <c r="D46" i="53"/>
  <c r="N47" i="53"/>
  <c r="J49" i="53"/>
  <c r="F51" i="53"/>
  <c r="B53" i="53"/>
  <c r="B64" i="53"/>
  <c r="L65" i="53"/>
  <c r="H67" i="53"/>
  <c r="D69" i="53"/>
  <c r="N70" i="53"/>
  <c r="J72" i="53"/>
  <c r="F74" i="53"/>
  <c r="D18" i="46"/>
  <c r="D50" i="46"/>
  <c r="D78" i="46"/>
  <c r="D106" i="46"/>
  <c r="C31" i="53"/>
  <c r="D45" i="53"/>
  <c r="B48" i="53"/>
  <c r="F50" i="53"/>
  <c r="J52" i="53"/>
  <c r="B9" i="42"/>
  <c r="U171" i="49"/>
  <c r="U163" i="49"/>
  <c r="U158" i="49"/>
  <c r="G4" i="53"/>
  <c r="C5" i="53"/>
  <c r="K5" i="53"/>
  <c r="G6" i="53"/>
  <c r="C7" i="53"/>
  <c r="K7" i="53"/>
  <c r="G8" i="53"/>
  <c r="C9" i="53"/>
  <c r="K9" i="53"/>
  <c r="G10" i="53"/>
  <c r="C11" i="53"/>
  <c r="K11" i="53"/>
  <c r="G12" i="53"/>
  <c r="C13" i="53"/>
  <c r="K13" i="53"/>
  <c r="G24" i="53"/>
  <c r="D25" i="53"/>
  <c r="L25" i="53"/>
  <c r="I26" i="53"/>
  <c r="F27" i="53"/>
  <c r="C28" i="53"/>
  <c r="K28" i="53"/>
  <c r="H29" i="53"/>
  <c r="E30" i="53"/>
  <c r="B31" i="53"/>
  <c r="J31" i="53"/>
  <c r="G32" i="53"/>
  <c r="D33" i="53"/>
  <c r="L33" i="53"/>
  <c r="I44" i="53"/>
  <c r="C45" i="53"/>
  <c r="K45" i="53"/>
  <c r="E46" i="53"/>
  <c r="M46" i="53"/>
  <c r="G47" i="53"/>
  <c r="O47" i="53"/>
  <c r="I48" i="53"/>
  <c r="C49" i="53"/>
  <c r="K49" i="53"/>
  <c r="E50" i="53"/>
  <c r="M50" i="53"/>
  <c r="G51" i="53"/>
  <c r="O51" i="53"/>
  <c r="I52" i="53"/>
  <c r="D53" i="53"/>
  <c r="L53" i="53"/>
  <c r="M54" i="53"/>
  <c r="C64" i="53"/>
  <c r="K64" i="53"/>
  <c r="E65" i="53"/>
  <c r="M65" i="53"/>
  <c r="G66" i="53"/>
  <c r="O66" i="53"/>
  <c r="I67" i="53"/>
  <c r="C68" i="53"/>
  <c r="K68" i="53"/>
  <c r="E69" i="53"/>
  <c r="M69" i="53"/>
  <c r="G70" i="53"/>
  <c r="O70" i="53"/>
  <c r="I71" i="53"/>
  <c r="C72" i="53"/>
  <c r="K72" i="53"/>
  <c r="E73" i="53"/>
  <c r="M73" i="53"/>
  <c r="G74" i="53"/>
  <c r="O74" i="53"/>
  <c r="D11" i="46"/>
  <c r="D19" i="46"/>
  <c r="D31" i="46"/>
  <c r="D39" i="46"/>
  <c r="D51" i="46"/>
  <c r="D59" i="46"/>
  <c r="D71" i="46"/>
  <c r="D79" i="46"/>
  <c r="D87" i="46"/>
  <c r="D99" i="46"/>
  <c r="D107" i="46"/>
  <c r="D119" i="46"/>
  <c r="D127" i="46"/>
  <c r="F8" i="42"/>
  <c r="U170" i="49"/>
  <c r="U162" i="49"/>
  <c r="U157" i="49"/>
  <c r="H4" i="53"/>
  <c r="D5" i="53"/>
  <c r="L5" i="53"/>
  <c r="H6" i="53"/>
  <c r="D7" i="53"/>
  <c r="L7" i="53"/>
  <c r="H8" i="53"/>
  <c r="D9" i="53"/>
  <c r="L9" i="53"/>
  <c r="H10" i="53"/>
  <c r="D11" i="53"/>
  <c r="L11" i="53"/>
  <c r="H12" i="53"/>
  <c r="D13" i="53"/>
  <c r="L13" i="53"/>
  <c r="H24" i="53"/>
  <c r="E25" i="53"/>
  <c r="B26" i="53"/>
  <c r="J26" i="53"/>
  <c r="G27" i="53"/>
  <c r="D28" i="53"/>
  <c r="L28" i="53"/>
  <c r="I29" i="53"/>
  <c r="F30" i="53"/>
  <c r="E33" i="53"/>
  <c r="B44" i="53"/>
  <c r="L45" i="53"/>
  <c r="H47" i="53"/>
  <c r="L49" i="53"/>
  <c r="B52" i="53"/>
  <c r="B8" i="42"/>
  <c r="E5" i="53"/>
  <c r="M7" i="53"/>
  <c r="I10" i="53"/>
  <c r="E13" i="53"/>
  <c r="C26" i="53"/>
  <c r="B29" i="53"/>
  <c r="L31" i="53"/>
  <c r="K44" i="53"/>
  <c r="O46" i="53"/>
  <c r="E49" i="53"/>
  <c r="I51" i="53"/>
  <c r="M53" i="53"/>
  <c r="F64" i="53"/>
  <c r="O65" i="53"/>
  <c r="J67" i="53"/>
  <c r="N68" i="53"/>
  <c r="I70" i="53"/>
  <c r="D72" i="53"/>
  <c r="H73" i="53"/>
  <c r="D5" i="46"/>
  <c r="D32" i="46"/>
  <c r="D54" i="46"/>
  <c r="D81" i="46"/>
  <c r="D108" i="46"/>
  <c r="D130" i="46"/>
  <c r="D109" i="46"/>
  <c r="D92" i="46"/>
  <c r="J8" i="53"/>
  <c r="K29" i="53"/>
  <c r="J47" i="53"/>
  <c r="O54" i="53"/>
  <c r="D68" i="53"/>
  <c r="L72" i="53"/>
  <c r="D40" i="46"/>
  <c r="D120" i="46"/>
  <c r="F7" i="42"/>
  <c r="F5" i="53"/>
  <c r="B8" i="53"/>
  <c r="J10" i="53"/>
  <c r="F13" i="53"/>
  <c r="D26" i="53"/>
  <c r="C29" i="53"/>
  <c r="B32" i="53"/>
  <c r="L44" i="53"/>
  <c r="B47" i="53"/>
  <c r="F49" i="53"/>
  <c r="J51" i="53"/>
  <c r="N53" i="53"/>
  <c r="L64" i="53"/>
  <c r="B66" i="53"/>
  <c r="K67" i="53"/>
  <c r="F69" i="53"/>
  <c r="J70" i="53"/>
  <c r="E72" i="53"/>
  <c r="N73" i="53"/>
  <c r="D6" i="46"/>
  <c r="D33" i="46"/>
  <c r="D60" i="46"/>
  <c r="D82" i="46"/>
  <c r="U168" i="49"/>
  <c r="F11" i="53"/>
  <c r="L26" i="53"/>
  <c r="F45" i="53"/>
  <c r="D52" i="53"/>
  <c r="I66" i="53"/>
  <c r="C71" i="53"/>
  <c r="D13" i="46"/>
  <c r="D62" i="46"/>
  <c r="U161" i="49"/>
  <c r="E9" i="53"/>
  <c r="I24" i="53"/>
  <c r="G30" i="53"/>
  <c r="M45" i="53"/>
  <c r="G50" i="53"/>
  <c r="C55" i="53"/>
  <c r="J66" i="53"/>
  <c r="N69" i="53"/>
  <c r="M72" i="53"/>
  <c r="D14" i="46"/>
  <c r="D72" i="46"/>
  <c r="D121" i="46"/>
  <c r="P161" i="49"/>
  <c r="J6" i="53"/>
  <c r="F9" i="53"/>
  <c r="J24" i="53"/>
  <c r="H30" i="53"/>
  <c r="N45" i="53"/>
  <c r="H50" i="53"/>
  <c r="F55" i="53"/>
  <c r="B67" i="53"/>
  <c r="O69" i="53"/>
  <c r="N72" i="53"/>
  <c r="D20" i="46"/>
  <c r="D73" i="46"/>
  <c r="D122" i="46"/>
  <c r="N58" i="49"/>
  <c r="E7" i="53"/>
  <c r="I12" i="53"/>
  <c r="E28" i="53"/>
  <c r="C44" i="53"/>
  <c r="K48" i="53"/>
  <c r="F53" i="53"/>
  <c r="C67" i="53"/>
  <c r="B70" i="53"/>
  <c r="J74" i="53"/>
  <c r="D52" i="46"/>
  <c r="D128" i="46"/>
  <c r="F7" i="53"/>
  <c r="G25" i="53"/>
  <c r="D44" i="53"/>
  <c r="B51" i="53"/>
  <c r="E64" i="53"/>
  <c r="M68" i="53"/>
  <c r="L71" i="53"/>
  <c r="D26" i="46"/>
  <c r="D102" i="46"/>
  <c r="U169" i="49"/>
  <c r="M5" i="53"/>
  <c r="I8" i="53"/>
  <c r="E11" i="53"/>
  <c r="M13" i="53"/>
  <c r="K26" i="53"/>
  <c r="J29" i="53"/>
  <c r="I32" i="53"/>
  <c r="E45" i="53"/>
  <c r="I47" i="53"/>
  <c r="M49" i="53"/>
  <c r="C52" i="53"/>
  <c r="B54" i="53"/>
  <c r="M64" i="53"/>
  <c r="H66" i="53"/>
  <c r="L67" i="53"/>
  <c r="G69" i="53"/>
  <c r="B71" i="53"/>
  <c r="F72" i="53"/>
  <c r="O73" i="53"/>
  <c r="D12" i="46"/>
  <c r="D34" i="46"/>
  <c r="D61" i="46"/>
  <c r="D114" i="46"/>
  <c r="B6" i="53"/>
  <c r="B24" i="53"/>
  <c r="J32" i="53"/>
  <c r="N49" i="53"/>
  <c r="N64" i="53"/>
  <c r="H69" i="53"/>
  <c r="B74" i="53"/>
  <c r="D93" i="46"/>
  <c r="I6" i="53"/>
  <c r="M11" i="53"/>
  <c r="H27" i="53"/>
  <c r="F33" i="53"/>
  <c r="C48" i="53"/>
  <c r="K52" i="53"/>
  <c r="F65" i="53"/>
  <c r="E68" i="53"/>
  <c r="D71" i="53"/>
  <c r="H74" i="53"/>
  <c r="D41" i="46"/>
  <c r="D94" i="46"/>
  <c r="B4" i="53"/>
  <c r="B12" i="53"/>
  <c r="I27" i="53"/>
  <c r="G33" i="53"/>
  <c r="D48" i="53"/>
  <c r="L52" i="53"/>
  <c r="G65" i="53"/>
  <c r="F68" i="53"/>
  <c r="J71" i="53"/>
  <c r="I74" i="53"/>
  <c r="D42" i="46"/>
  <c r="D100" i="46"/>
  <c r="P157" i="49"/>
  <c r="I4" i="53"/>
  <c r="M9" i="53"/>
  <c r="F25" i="53"/>
  <c r="D31" i="53"/>
  <c r="G46" i="53"/>
  <c r="O50" i="53"/>
  <c r="H65" i="53"/>
  <c r="L68" i="53"/>
  <c r="F73" i="53"/>
  <c r="D74" i="46"/>
  <c r="U156" i="49"/>
  <c r="N57" i="49"/>
  <c r="J4" i="53"/>
  <c r="J12" i="53"/>
  <c r="E31" i="53"/>
  <c r="L48" i="53"/>
  <c r="N65" i="53"/>
  <c r="H70" i="53"/>
  <c r="G73" i="53"/>
  <c r="D53" i="46"/>
  <c r="D129" i="46"/>
  <c r="D64" i="53"/>
  <c r="K71" i="53"/>
  <c r="D21" i="46"/>
  <c r="D101" i="46"/>
  <c r="B10" i="53"/>
  <c r="F28" i="53"/>
  <c r="H46" i="53"/>
  <c r="G53" i="53"/>
  <c r="D67" i="53"/>
  <c r="D4" i="46"/>
  <c r="D80" i="46"/>
  <c r="B12" i="42" l="1"/>
  <c r="F26" i="42"/>
  <c r="M43" i="42"/>
  <c r="M42" i="42"/>
  <c r="M46" i="42"/>
  <c r="M45" i="42"/>
  <c r="B62" i="42"/>
  <c r="B6" i="48"/>
  <c r="B7" i="48"/>
  <c r="B8" i="48"/>
  <c r="A182" i="39" s="1"/>
  <c r="M55" i="53"/>
  <c r="I55" i="53"/>
  <c r="B55" i="53"/>
  <c r="N54" i="53"/>
  <c r="N55" i="53" s="1"/>
  <c r="L54" i="53"/>
  <c r="L55" i="53" s="1"/>
  <c r="J54" i="53"/>
  <c r="J55" i="53" s="1"/>
  <c r="H54" i="53"/>
  <c r="G55" i="53"/>
  <c r="G54" i="53"/>
  <c r="E55" i="53"/>
  <c r="E54" i="53"/>
  <c r="D54" i="53"/>
  <c r="D55" i="53" s="1"/>
  <c r="O53" i="53"/>
  <c r="C53" i="53"/>
  <c r="A5" i="46"/>
  <c r="A4" i="46"/>
  <c r="A26" i="46" s="1"/>
  <c r="A48" i="46" s="1"/>
  <c r="A70" i="46" s="1"/>
  <c r="A92" i="46" s="1"/>
  <c r="A114" i="46" s="1"/>
  <c r="A74" i="53"/>
  <c r="A73" i="53"/>
  <c r="A72" i="53"/>
  <c r="A71" i="53"/>
  <c r="A70" i="53"/>
  <c r="A69" i="53"/>
  <c r="A68" i="53"/>
  <c r="A67" i="53"/>
  <c r="A66" i="53"/>
  <c r="A65" i="53"/>
  <c r="A64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2" i="53"/>
  <c r="C56" i="39"/>
  <c r="C56" i="50"/>
  <c r="C56" i="42"/>
  <c r="C56" i="49"/>
  <c r="C31" i="39"/>
  <c r="C31" i="50"/>
  <c r="C31" i="42"/>
  <c r="C31" i="49"/>
  <c r="C6" i="39"/>
  <c r="C6" i="50"/>
  <c r="C6" i="42"/>
  <c r="C6" i="49"/>
  <c r="C131" i="49"/>
  <c r="C181" i="39"/>
  <c r="C181" i="50"/>
  <c r="C181" i="42"/>
  <c r="C181" i="49"/>
  <c r="L6" i="39"/>
  <c r="C156" i="50"/>
  <c r="C156" i="39"/>
  <c r="C156" i="42"/>
  <c r="C106" i="39"/>
  <c r="C106" i="49"/>
  <c r="C131" i="39"/>
  <c r="C131" i="50"/>
  <c r="C131" i="42"/>
  <c r="C106" i="50"/>
  <c r="C106" i="42"/>
  <c r="C81" i="39"/>
  <c r="C81" i="50"/>
  <c r="C81" i="42"/>
  <c r="C81" i="49"/>
  <c r="L6" i="42"/>
  <c r="C156" i="49"/>
  <c r="B34" i="42"/>
  <c r="F34" i="42"/>
  <c r="F45" i="42"/>
  <c r="B136" i="50"/>
  <c r="B109" i="50"/>
  <c r="B82" i="50"/>
  <c r="B36" i="50"/>
  <c r="B8" i="50"/>
  <c r="B136" i="49"/>
  <c r="B107" i="49"/>
  <c r="B60" i="49"/>
  <c r="B31" i="49"/>
  <c r="F194" i="50"/>
  <c r="F183" i="50"/>
  <c r="T168" i="50"/>
  <c r="T160" i="50"/>
  <c r="F143" i="50"/>
  <c r="F135" i="50"/>
  <c r="F121" i="50"/>
  <c r="F113" i="50"/>
  <c r="F93" i="50"/>
  <c r="F85" i="50"/>
  <c r="F73" i="50"/>
  <c r="F65" i="50"/>
  <c r="F57" i="50"/>
  <c r="F45" i="50"/>
  <c r="F37" i="50"/>
  <c r="F25" i="50"/>
  <c r="F15" i="50"/>
  <c r="F7" i="50"/>
  <c r="T168" i="42"/>
  <c r="T160" i="42"/>
  <c r="T188" i="49"/>
  <c r="T165" i="49"/>
  <c r="T157" i="49"/>
  <c r="T140" i="49"/>
  <c r="T132" i="49"/>
  <c r="T118" i="49"/>
  <c r="T110" i="49"/>
  <c r="T98" i="49"/>
  <c r="T90" i="49"/>
  <c r="T82" i="49"/>
  <c r="T70" i="49"/>
  <c r="T62" i="49"/>
  <c r="T50" i="49"/>
  <c r="T42" i="49"/>
  <c r="T34" i="49"/>
  <c r="T22" i="49"/>
  <c r="T14" i="49"/>
  <c r="T6" i="49"/>
  <c r="F44" i="42"/>
  <c r="B133" i="50"/>
  <c r="B32" i="50"/>
  <c r="B85" i="49"/>
  <c r="F140" i="50"/>
  <c r="F110" i="50"/>
  <c r="F82" i="50"/>
  <c r="F50" i="50"/>
  <c r="F22" i="50"/>
  <c r="F12" i="50"/>
  <c r="T157" i="42"/>
  <c r="T185" i="49"/>
  <c r="T162" i="49"/>
  <c r="T145" i="49"/>
  <c r="T123" i="49"/>
  <c r="T95" i="49"/>
  <c r="T67" i="49"/>
  <c r="T47" i="49"/>
  <c r="T31" i="49"/>
  <c r="F32" i="50"/>
  <c r="T183" i="49"/>
  <c r="T143" i="49"/>
  <c r="T121" i="49"/>
  <c r="T9" i="49"/>
  <c r="B32" i="42"/>
  <c r="B57" i="50"/>
  <c r="B34" i="49"/>
  <c r="T170" i="50"/>
  <c r="F123" i="50"/>
  <c r="F87" i="50"/>
  <c r="F47" i="50"/>
  <c r="F17" i="50"/>
  <c r="T72" i="49"/>
  <c r="T8" i="49"/>
  <c r="B33" i="42"/>
  <c r="B56" i="50"/>
  <c r="B32" i="49"/>
  <c r="T169" i="50"/>
  <c r="F136" i="50"/>
  <c r="F106" i="50"/>
  <c r="F74" i="50"/>
  <c r="F46" i="50"/>
  <c r="F16" i="50"/>
  <c r="T161" i="42"/>
  <c r="T111" i="49"/>
  <c r="B35" i="42"/>
  <c r="F38" i="42"/>
  <c r="F48" i="42"/>
  <c r="B135" i="50"/>
  <c r="B108" i="50"/>
  <c r="B81" i="50"/>
  <c r="B35" i="50"/>
  <c r="B7" i="50"/>
  <c r="B135" i="49"/>
  <c r="B106" i="49"/>
  <c r="B59" i="49"/>
  <c r="B11" i="49"/>
  <c r="F191" i="50"/>
  <c r="F182" i="50"/>
  <c r="T167" i="50"/>
  <c r="T159" i="50"/>
  <c r="F142" i="50"/>
  <c r="F134" i="50"/>
  <c r="F120" i="50"/>
  <c r="F112" i="50"/>
  <c r="F100" i="50"/>
  <c r="F92" i="50"/>
  <c r="F84" i="50"/>
  <c r="F72" i="50"/>
  <c r="F64" i="50"/>
  <c r="F56" i="50"/>
  <c r="F44" i="50"/>
  <c r="F36" i="50"/>
  <c r="F24" i="50"/>
  <c r="F14" i="50"/>
  <c r="F6" i="50"/>
  <c r="T167" i="42"/>
  <c r="T159" i="42"/>
  <c r="T187" i="49"/>
  <c r="T172" i="49"/>
  <c r="T164" i="49"/>
  <c r="T156" i="49"/>
  <c r="T139" i="49"/>
  <c r="T131" i="49"/>
  <c r="T117" i="49"/>
  <c r="T109" i="49"/>
  <c r="T97" i="49"/>
  <c r="T89" i="49"/>
  <c r="T81" i="49"/>
  <c r="T69" i="49"/>
  <c r="T61" i="49"/>
  <c r="T49" i="49"/>
  <c r="T41" i="49"/>
  <c r="T33" i="49"/>
  <c r="T21" i="49"/>
  <c r="T13" i="49"/>
  <c r="F35" i="42"/>
  <c r="B106" i="50"/>
  <c r="B186" i="49"/>
  <c r="B56" i="49"/>
  <c r="F188" i="50"/>
  <c r="T165" i="50"/>
  <c r="T157" i="50"/>
  <c r="F132" i="50"/>
  <c r="F118" i="50"/>
  <c r="F90" i="50"/>
  <c r="F70" i="50"/>
  <c r="F34" i="50"/>
  <c r="T165" i="42"/>
  <c r="T170" i="49"/>
  <c r="T137" i="49"/>
  <c r="T107" i="49"/>
  <c r="T87" i="49"/>
  <c r="T59" i="49"/>
  <c r="T19" i="49"/>
  <c r="F18" i="50"/>
  <c r="T65" i="49"/>
  <c r="T25" i="49"/>
  <c r="F47" i="42"/>
  <c r="B159" i="49"/>
  <c r="B6" i="49"/>
  <c r="T162" i="50"/>
  <c r="F115" i="50"/>
  <c r="F75" i="50"/>
  <c r="F39" i="50"/>
  <c r="T170" i="42"/>
  <c r="T167" i="49"/>
  <c r="T134" i="49"/>
  <c r="T92" i="49"/>
  <c r="T64" i="49"/>
  <c r="T36" i="49"/>
  <c r="B182" i="50"/>
  <c r="B83" i="50"/>
  <c r="B109" i="49"/>
  <c r="F197" i="50"/>
  <c r="T161" i="50"/>
  <c r="F122" i="50"/>
  <c r="F86" i="50"/>
  <c r="F38" i="50"/>
  <c r="F8" i="50"/>
  <c r="T189" i="49"/>
  <c r="T166" i="49"/>
  <c r="T119" i="49"/>
  <c r="T91" i="49"/>
  <c r="T63" i="49"/>
  <c r="T35" i="49"/>
  <c r="F31" i="42"/>
  <c r="B36" i="42"/>
  <c r="F41" i="42"/>
  <c r="F49" i="42"/>
  <c r="B134" i="50"/>
  <c r="B107" i="50"/>
  <c r="B61" i="50"/>
  <c r="B34" i="50"/>
  <c r="B6" i="50"/>
  <c r="B134" i="49"/>
  <c r="B86" i="49"/>
  <c r="B57" i="49"/>
  <c r="B10" i="49"/>
  <c r="F189" i="50"/>
  <c r="F181" i="50"/>
  <c r="T166" i="50"/>
  <c r="T158" i="50"/>
  <c r="F141" i="50"/>
  <c r="F133" i="50"/>
  <c r="F119" i="50"/>
  <c r="F111" i="50"/>
  <c r="F99" i="50"/>
  <c r="F91" i="50"/>
  <c r="F83" i="50"/>
  <c r="F71" i="50"/>
  <c r="F63" i="50"/>
  <c r="F43" i="50"/>
  <c r="F35" i="50"/>
  <c r="F23" i="50"/>
  <c r="F13" i="50"/>
  <c r="T166" i="42"/>
  <c r="T158" i="42"/>
  <c r="T186" i="49"/>
  <c r="T171" i="49"/>
  <c r="T163" i="49"/>
  <c r="T138" i="49"/>
  <c r="T116" i="49"/>
  <c r="T108" i="49"/>
  <c r="T96" i="49"/>
  <c r="T88" i="49"/>
  <c r="T68" i="49"/>
  <c r="T60" i="49"/>
  <c r="T48" i="49"/>
  <c r="T40" i="49"/>
  <c r="T32" i="49"/>
  <c r="T20" i="49"/>
  <c r="T12" i="49"/>
  <c r="B181" i="50"/>
  <c r="B31" i="42"/>
  <c r="F50" i="42"/>
  <c r="B187" i="50"/>
  <c r="B60" i="50"/>
  <c r="B132" i="49"/>
  <c r="B9" i="49"/>
  <c r="F98" i="50"/>
  <c r="F62" i="50"/>
  <c r="F42" i="50"/>
  <c r="T115" i="49"/>
  <c r="T75" i="49"/>
  <c r="T39" i="49"/>
  <c r="T11" i="49"/>
  <c r="F40" i="50"/>
  <c r="T194" i="49"/>
  <c r="T160" i="49"/>
  <c r="T113" i="49"/>
  <c r="T85" i="49"/>
  <c r="T57" i="49"/>
  <c r="T37" i="49"/>
  <c r="F36" i="42"/>
  <c r="B184" i="50"/>
  <c r="B111" i="50"/>
  <c r="B10" i="50"/>
  <c r="B81" i="49"/>
  <c r="F185" i="50"/>
  <c r="F137" i="50"/>
  <c r="F95" i="50"/>
  <c r="F59" i="50"/>
  <c r="F9" i="50"/>
  <c r="T182" i="49"/>
  <c r="T142" i="49"/>
  <c r="T100" i="49"/>
  <c r="T56" i="49"/>
  <c r="T16" i="49"/>
  <c r="F37" i="42"/>
  <c r="B9" i="50"/>
  <c r="F58" i="50"/>
  <c r="T169" i="42"/>
  <c r="T181" i="49"/>
  <c r="T158" i="49"/>
  <c r="T133" i="49"/>
  <c r="T99" i="49"/>
  <c r="T71" i="49"/>
  <c r="T23" i="49"/>
  <c r="T7" i="49"/>
  <c r="F40" i="42"/>
  <c r="F39" i="42"/>
  <c r="F43" i="42"/>
  <c r="B186" i="50"/>
  <c r="B132" i="50"/>
  <c r="B86" i="50"/>
  <c r="B59" i="50"/>
  <c r="B31" i="50"/>
  <c r="B161" i="49"/>
  <c r="B131" i="49"/>
  <c r="B84" i="49"/>
  <c r="B36" i="49"/>
  <c r="B8" i="49"/>
  <c r="F187" i="50"/>
  <c r="T172" i="50"/>
  <c r="T164" i="50"/>
  <c r="T156" i="50"/>
  <c r="F139" i="50"/>
  <c r="F131" i="50"/>
  <c r="F117" i="50"/>
  <c r="F109" i="50"/>
  <c r="F97" i="50"/>
  <c r="F89" i="50"/>
  <c r="F81" i="50"/>
  <c r="F69" i="50"/>
  <c r="F61" i="50"/>
  <c r="F49" i="50"/>
  <c r="F41" i="50"/>
  <c r="F33" i="50"/>
  <c r="F19" i="50"/>
  <c r="F11" i="50"/>
  <c r="T172" i="42"/>
  <c r="T164" i="42"/>
  <c r="T156" i="42"/>
  <c r="T197" i="49"/>
  <c r="T184" i="49"/>
  <c r="T169" i="49"/>
  <c r="T161" i="49"/>
  <c r="T144" i="49"/>
  <c r="T136" i="49"/>
  <c r="T122" i="49"/>
  <c r="T114" i="49"/>
  <c r="T106" i="49"/>
  <c r="T94" i="49"/>
  <c r="T86" i="49"/>
  <c r="T74" i="49"/>
  <c r="T66" i="49"/>
  <c r="T58" i="49"/>
  <c r="T46" i="49"/>
  <c r="T38" i="49"/>
  <c r="T18" i="49"/>
  <c r="T10" i="49"/>
  <c r="F33" i="42"/>
  <c r="F32" i="42"/>
  <c r="F42" i="42"/>
  <c r="B185" i="50"/>
  <c r="B131" i="50"/>
  <c r="B85" i="50"/>
  <c r="B58" i="50"/>
  <c r="B11" i="50"/>
  <c r="B160" i="49"/>
  <c r="B111" i="49"/>
  <c r="B82" i="49"/>
  <c r="B35" i="49"/>
  <c r="B7" i="49"/>
  <c r="F186" i="50"/>
  <c r="T171" i="50"/>
  <c r="T163" i="50"/>
  <c r="F138" i="50"/>
  <c r="F116" i="50"/>
  <c r="F108" i="50"/>
  <c r="F96" i="50"/>
  <c r="F88" i="50"/>
  <c r="F68" i="50"/>
  <c r="F60" i="50"/>
  <c r="F48" i="50"/>
  <c r="F10" i="50"/>
  <c r="T171" i="42"/>
  <c r="T163" i="42"/>
  <c r="T168" i="49"/>
  <c r="T135" i="49"/>
  <c r="T93" i="49"/>
  <c r="T73" i="49"/>
  <c r="T45" i="49"/>
  <c r="T17" i="49"/>
  <c r="B84" i="50"/>
  <c r="B110" i="49"/>
  <c r="F145" i="50"/>
  <c r="F107" i="50"/>
  <c r="F67" i="50"/>
  <c r="F31" i="50"/>
  <c r="T162" i="42"/>
  <c r="T191" i="49"/>
  <c r="T159" i="49"/>
  <c r="T120" i="49"/>
  <c r="T112" i="49"/>
  <c r="T84" i="49"/>
  <c r="T44" i="49"/>
  <c r="T24" i="49"/>
  <c r="F46" i="42"/>
  <c r="B110" i="50"/>
  <c r="B157" i="49"/>
  <c r="B158" i="49" s="1"/>
  <c r="B61" i="49"/>
  <c r="F184" i="50"/>
  <c r="F144" i="50"/>
  <c r="F114" i="50"/>
  <c r="F94" i="50"/>
  <c r="F66" i="50"/>
  <c r="T141" i="49"/>
  <c r="T83" i="49"/>
  <c r="T43" i="49"/>
  <c r="T15" i="49"/>
  <c r="F20" i="50"/>
  <c r="F21" i="50"/>
  <c r="L6" i="50"/>
  <c r="L6" i="49"/>
  <c r="A136" i="42" l="1"/>
  <c r="A137" i="42" s="1"/>
  <c r="F51" i="42"/>
  <c r="B37" i="42"/>
  <c r="A188" i="39"/>
  <c r="A61" i="42"/>
  <c r="A62" i="42" s="1"/>
  <c r="A35" i="49"/>
  <c r="A59" i="49"/>
  <c r="A185" i="42"/>
  <c r="A181" i="39"/>
  <c r="A33" i="49"/>
  <c r="A185" i="39"/>
  <c r="A35" i="42"/>
  <c r="A132" i="49"/>
  <c r="A108" i="50"/>
  <c r="A6" i="49"/>
  <c r="A31" i="42"/>
  <c r="A134" i="50"/>
  <c r="A32" i="42"/>
  <c r="A186" i="50"/>
  <c r="E106" i="49"/>
  <c r="E107" i="49" s="1"/>
  <c r="E108" i="49" s="1"/>
  <c r="E109" i="49" s="1"/>
  <c r="E110" i="49" s="1"/>
  <c r="E111" i="49" s="1"/>
  <c r="E112" i="49" s="1"/>
  <c r="E113" i="49" s="1"/>
  <c r="E114" i="49" s="1"/>
  <c r="E115" i="49" s="1"/>
  <c r="E116" i="49" s="1"/>
  <c r="E117" i="49" s="1"/>
  <c r="E118" i="49" s="1"/>
  <c r="E119" i="49" s="1"/>
  <c r="E120" i="49" s="1"/>
  <c r="E121" i="49" s="1"/>
  <c r="E122" i="49" s="1"/>
  <c r="E123" i="49" s="1"/>
  <c r="E124" i="49" s="1"/>
  <c r="A188" i="42"/>
  <c r="A7" i="49"/>
  <c r="A157" i="49"/>
  <c r="A158" i="49" s="1"/>
  <c r="A159" i="49" s="1"/>
  <c r="A160" i="49" s="1"/>
  <c r="A161" i="49" s="1"/>
  <c r="A157" i="42"/>
  <c r="A10" i="39"/>
  <c r="A10" i="49"/>
  <c r="A181" i="49"/>
  <c r="A181" i="42"/>
  <c r="A111" i="39"/>
  <c r="E131" i="49"/>
  <c r="E132" i="49" s="1"/>
  <c r="E133" i="49" s="1"/>
  <c r="E134" i="49" s="1"/>
  <c r="E135" i="49" s="1"/>
  <c r="E136" i="49" s="1"/>
  <c r="E137" i="49" s="1"/>
  <c r="E138" i="49" s="1"/>
  <c r="E139" i="49" s="1"/>
  <c r="E140" i="49" s="1"/>
  <c r="E141" i="49" s="1"/>
  <c r="E142" i="49" s="1"/>
  <c r="E143" i="49" s="1"/>
  <c r="E144" i="49" s="1"/>
  <c r="E145" i="49" s="1"/>
  <c r="E146" i="49" s="1"/>
  <c r="E81" i="42"/>
  <c r="E82" i="42" s="1"/>
  <c r="E83" i="42" s="1"/>
  <c r="E84" i="42" s="1"/>
  <c r="E85" i="42" s="1"/>
  <c r="E86" i="42" s="1"/>
  <c r="E87" i="42" s="1"/>
  <c r="E88" i="42" s="1"/>
  <c r="E89" i="42" s="1"/>
  <c r="E90" i="42" s="1"/>
  <c r="E91" i="42" s="1"/>
  <c r="E92" i="42" s="1"/>
  <c r="E93" i="42" s="1"/>
  <c r="E94" i="42" s="1"/>
  <c r="E95" i="42" s="1"/>
  <c r="E96" i="42" s="1"/>
  <c r="E97" i="42" s="1"/>
  <c r="E98" i="42" s="1"/>
  <c r="E99" i="42" s="1"/>
  <c r="E100" i="42" s="1"/>
  <c r="E101" i="42" s="1"/>
  <c r="A183" i="50"/>
  <c r="A85" i="49"/>
  <c r="A188" i="49"/>
  <c r="A106" i="42"/>
  <c r="A61" i="50"/>
  <c r="A62" i="50" s="1"/>
  <c r="A59" i="39"/>
  <c r="A106" i="49"/>
  <c r="A9" i="42"/>
  <c r="A107" i="42"/>
  <c r="A106" i="50"/>
  <c r="E106" i="39"/>
  <c r="E107" i="39" s="1"/>
  <c r="E108" i="39" s="1"/>
  <c r="E109" i="39" s="1"/>
  <c r="E110" i="39" s="1"/>
  <c r="E111" i="39" s="1"/>
  <c r="E112" i="39" s="1"/>
  <c r="E113" i="39" s="1"/>
  <c r="E114" i="39" s="1"/>
  <c r="E115" i="39" s="1"/>
  <c r="E116" i="39" s="1"/>
  <c r="E117" i="39" s="1"/>
  <c r="E118" i="39" s="1"/>
  <c r="E119" i="39" s="1"/>
  <c r="E120" i="39" s="1"/>
  <c r="E121" i="39" s="1"/>
  <c r="E122" i="39" s="1"/>
  <c r="E123" i="39" s="1"/>
  <c r="E124" i="39" s="1"/>
  <c r="A61" i="49"/>
  <c r="A182" i="49"/>
  <c r="A84" i="42"/>
  <c r="E56" i="50"/>
  <c r="E57" i="50" s="1"/>
  <c r="E58" i="50" s="1"/>
  <c r="E59" i="50" s="1"/>
  <c r="E60" i="50" s="1"/>
  <c r="E61" i="50" s="1"/>
  <c r="E62" i="50" s="1"/>
  <c r="E63" i="50" s="1"/>
  <c r="E64" i="50" s="1"/>
  <c r="E65" i="50" s="1"/>
  <c r="E66" i="50" s="1"/>
  <c r="E67" i="50" s="1"/>
  <c r="E68" i="50" s="1"/>
  <c r="E69" i="50" s="1"/>
  <c r="E70" i="50" s="1"/>
  <c r="E71" i="50" s="1"/>
  <c r="E72" i="50" s="1"/>
  <c r="E73" i="50" s="1"/>
  <c r="E74" i="50" s="1"/>
  <c r="E75" i="50" s="1"/>
  <c r="E76" i="50" s="1"/>
  <c r="A36" i="39"/>
  <c r="A9" i="49"/>
  <c r="A81" i="49"/>
  <c r="A156" i="49"/>
  <c r="A11" i="42"/>
  <c r="A12" i="42" s="1"/>
  <c r="A82" i="42"/>
  <c r="A159" i="42"/>
  <c r="A82" i="50"/>
  <c r="A7" i="39"/>
  <c r="A132" i="39"/>
  <c r="A36" i="49"/>
  <c r="A108" i="49"/>
  <c r="A185" i="49"/>
  <c r="A110" i="42"/>
  <c r="A31" i="50"/>
  <c r="A157" i="50"/>
  <c r="A81" i="39"/>
  <c r="A56" i="42"/>
  <c r="E56" i="49"/>
  <c r="E57" i="49" s="1"/>
  <c r="E58" i="49" s="1"/>
  <c r="E59" i="49" s="1"/>
  <c r="E60" i="49" s="1"/>
  <c r="E61" i="49" s="1"/>
  <c r="E62" i="49" s="1"/>
  <c r="E63" i="49" s="1"/>
  <c r="E64" i="49" s="1"/>
  <c r="E65" i="49" s="1"/>
  <c r="E66" i="49" s="1"/>
  <c r="E67" i="49" s="1"/>
  <c r="E68" i="49" s="1"/>
  <c r="E69" i="49" s="1"/>
  <c r="E70" i="49" s="1"/>
  <c r="E71" i="49" s="1"/>
  <c r="E72" i="49" s="1"/>
  <c r="E73" i="49" s="1"/>
  <c r="E74" i="49" s="1"/>
  <c r="E75" i="49" s="1"/>
  <c r="E76" i="49" s="1"/>
  <c r="A111" i="49"/>
  <c r="A187" i="49"/>
  <c r="E56" i="42"/>
  <c r="E57" i="42" s="1"/>
  <c r="E58" i="42" s="1"/>
  <c r="E59" i="42" s="1"/>
  <c r="E60" i="42" s="1"/>
  <c r="E61" i="42" s="1"/>
  <c r="E62" i="42" s="1"/>
  <c r="E63" i="42" s="1"/>
  <c r="E64" i="42" s="1"/>
  <c r="E65" i="42" s="1"/>
  <c r="E66" i="42" s="1"/>
  <c r="E67" i="42" s="1"/>
  <c r="E68" i="42" s="1"/>
  <c r="E69" i="42" s="1"/>
  <c r="E70" i="42" s="1"/>
  <c r="E71" i="42" s="1"/>
  <c r="E72" i="42" s="1"/>
  <c r="E73" i="42" s="1"/>
  <c r="E74" i="42" s="1"/>
  <c r="E75" i="42" s="1"/>
  <c r="E76" i="42" s="1"/>
  <c r="A133" i="42"/>
  <c r="A35" i="50"/>
  <c r="A160" i="50"/>
  <c r="A85" i="39"/>
  <c r="A31" i="49"/>
  <c r="A82" i="49"/>
  <c r="A134" i="49"/>
  <c r="E6" i="42"/>
  <c r="E7" i="42" s="1"/>
  <c r="E8" i="42" s="1"/>
  <c r="E9" i="42" s="1"/>
  <c r="E10" i="42" s="1"/>
  <c r="E11" i="42" s="1"/>
  <c r="E12" i="42" s="1"/>
  <c r="E13" i="42" s="1"/>
  <c r="E14" i="42" s="1"/>
  <c r="E15" i="42" s="1"/>
  <c r="E16" i="42" s="1"/>
  <c r="E17" i="42" s="1"/>
  <c r="E18" i="42" s="1"/>
  <c r="E19" i="42" s="1"/>
  <c r="E20" i="42" s="1"/>
  <c r="E21" i="42" s="1"/>
  <c r="E22" i="42" s="1"/>
  <c r="E23" i="42" s="1"/>
  <c r="E24" i="42" s="1"/>
  <c r="E25" i="42" s="1"/>
  <c r="E26" i="42" s="1"/>
  <c r="A58" i="42"/>
  <c r="E131" i="42"/>
  <c r="E132" i="42" s="1"/>
  <c r="E133" i="42" s="1"/>
  <c r="E134" i="42" s="1"/>
  <c r="E135" i="42" s="1"/>
  <c r="E136" i="42" s="1"/>
  <c r="E137" i="42" s="1"/>
  <c r="E138" i="42" s="1"/>
  <c r="E139" i="42" s="1"/>
  <c r="E140" i="42" s="1"/>
  <c r="E141" i="42" s="1"/>
  <c r="E142" i="42" s="1"/>
  <c r="E143" i="42" s="1"/>
  <c r="E144" i="42" s="1"/>
  <c r="E145" i="42" s="1"/>
  <c r="E146" i="42" s="1"/>
  <c r="A9" i="50"/>
  <c r="E131" i="50"/>
  <c r="E132" i="50" s="1"/>
  <c r="E133" i="50" s="1"/>
  <c r="E134" i="50" s="1"/>
  <c r="E135" i="50" s="1"/>
  <c r="E136" i="50" s="1"/>
  <c r="E137" i="50" s="1"/>
  <c r="E138" i="50" s="1"/>
  <c r="E139" i="50" s="1"/>
  <c r="E140" i="50" s="1"/>
  <c r="E141" i="50" s="1"/>
  <c r="E142" i="50" s="1"/>
  <c r="E143" i="50" s="1"/>
  <c r="E144" i="50" s="1"/>
  <c r="E145" i="50" s="1"/>
  <c r="E146" i="50" s="1"/>
  <c r="A33" i="39"/>
  <c r="A156" i="39"/>
  <c r="A183" i="42"/>
  <c r="A7" i="50"/>
  <c r="A33" i="50"/>
  <c r="A59" i="50"/>
  <c r="A85" i="50"/>
  <c r="A111" i="50"/>
  <c r="A112" i="50" s="1"/>
  <c r="A156" i="50"/>
  <c r="E181" i="50"/>
  <c r="E182" i="50" s="1"/>
  <c r="E183" i="50" s="1"/>
  <c r="E184" i="50" s="1"/>
  <c r="E185" i="50" s="1"/>
  <c r="E186" i="50" s="1"/>
  <c r="E187" i="50" s="1"/>
  <c r="E188" i="50" s="1"/>
  <c r="E189" i="50" s="1"/>
  <c r="E190" i="50" s="1"/>
  <c r="E191" i="50" s="1"/>
  <c r="E192" i="50" s="1"/>
  <c r="E193" i="50" s="1"/>
  <c r="E194" i="50" s="1"/>
  <c r="E195" i="50" s="1"/>
  <c r="E196" i="50" s="1"/>
  <c r="E197" i="50" s="1"/>
  <c r="E198" i="50" s="1"/>
  <c r="E199" i="50" s="1"/>
  <c r="E200" i="50" s="1"/>
  <c r="E201" i="50" s="1"/>
  <c r="A6" i="39"/>
  <c r="E31" i="39"/>
  <c r="E32" i="39" s="1"/>
  <c r="E33" i="39" s="1"/>
  <c r="E34" i="39" s="1"/>
  <c r="E35" i="39" s="1"/>
  <c r="E36" i="39" s="1"/>
  <c r="E37" i="39" s="1"/>
  <c r="E38" i="39" s="1"/>
  <c r="E39" i="39" s="1"/>
  <c r="E40" i="39" s="1"/>
  <c r="E41" i="39" s="1"/>
  <c r="E42" i="39" s="1"/>
  <c r="E43" i="39" s="1"/>
  <c r="E44" i="39" s="1"/>
  <c r="E45" i="39" s="1"/>
  <c r="E46" i="39" s="1"/>
  <c r="E47" i="39" s="1"/>
  <c r="E48" i="39" s="1"/>
  <c r="E49" i="39" s="1"/>
  <c r="E50" i="39" s="1"/>
  <c r="E51" i="39" s="1"/>
  <c r="A57" i="39"/>
  <c r="A83" i="39"/>
  <c r="A109" i="39"/>
  <c r="A135" i="39"/>
  <c r="A183" i="39"/>
  <c r="A8" i="49"/>
  <c r="A34" i="49"/>
  <c r="A60" i="49"/>
  <c r="A86" i="49"/>
  <c r="A131" i="49"/>
  <c r="E156" i="49"/>
  <c r="E157" i="49" s="1"/>
  <c r="E158" i="49" s="1"/>
  <c r="E159" i="49" s="1"/>
  <c r="E160" i="49" s="1"/>
  <c r="E161" i="49" s="1"/>
  <c r="E162" i="49" s="1"/>
  <c r="E163" i="49" s="1"/>
  <c r="E164" i="49" s="1"/>
  <c r="E165" i="49" s="1"/>
  <c r="E166" i="49" s="1"/>
  <c r="E167" i="49" s="1"/>
  <c r="E168" i="49" s="1"/>
  <c r="E169" i="49" s="1"/>
  <c r="E170" i="49" s="1"/>
  <c r="E171" i="49" s="1"/>
  <c r="E172" i="49" s="1"/>
  <c r="A186" i="49"/>
  <c r="A10" i="42"/>
  <c r="A36" i="42"/>
  <c r="A37" i="42" s="1"/>
  <c r="A81" i="42"/>
  <c r="E106" i="42"/>
  <c r="E107" i="42" s="1"/>
  <c r="E108" i="42" s="1"/>
  <c r="E109" i="42" s="1"/>
  <c r="E110" i="42" s="1"/>
  <c r="E111" i="42" s="1"/>
  <c r="E112" i="42" s="1"/>
  <c r="E113" i="42" s="1"/>
  <c r="E114" i="42" s="1"/>
  <c r="E115" i="42" s="1"/>
  <c r="E116" i="42" s="1"/>
  <c r="E117" i="42" s="1"/>
  <c r="E118" i="42" s="1"/>
  <c r="E119" i="42" s="1"/>
  <c r="E120" i="42" s="1"/>
  <c r="E121" i="42" s="1"/>
  <c r="E122" i="42" s="1"/>
  <c r="E123" i="42" s="1"/>
  <c r="E124" i="42" s="1"/>
  <c r="A132" i="42"/>
  <c r="A158" i="42"/>
  <c r="A184" i="42"/>
  <c r="A8" i="50"/>
  <c r="A34" i="50"/>
  <c r="A60" i="50"/>
  <c r="A86" i="50"/>
  <c r="A87" i="50" s="1"/>
  <c r="A131" i="50"/>
  <c r="E156" i="50"/>
  <c r="E157" i="50" s="1"/>
  <c r="E158" i="50" s="1"/>
  <c r="E159" i="50" s="1"/>
  <c r="E160" i="50" s="1"/>
  <c r="E161" i="50" s="1"/>
  <c r="E162" i="50" s="1"/>
  <c r="E163" i="50" s="1"/>
  <c r="E164" i="50" s="1"/>
  <c r="E165" i="50" s="1"/>
  <c r="E166" i="50" s="1"/>
  <c r="E167" i="50" s="1"/>
  <c r="E168" i="50" s="1"/>
  <c r="E169" i="50" s="1"/>
  <c r="E170" i="50" s="1"/>
  <c r="E171" i="50" s="1"/>
  <c r="E172" i="50" s="1"/>
  <c r="A182" i="50"/>
  <c r="E6" i="39"/>
  <c r="E7" i="39" s="1"/>
  <c r="E8" i="39" s="1"/>
  <c r="E9" i="39" s="1"/>
  <c r="E10" i="39" s="1"/>
  <c r="E11" i="39" s="1"/>
  <c r="E12" i="39" s="1"/>
  <c r="E13" i="39" s="1"/>
  <c r="E14" i="39" s="1"/>
  <c r="E15" i="39" s="1"/>
  <c r="E16" i="39" s="1"/>
  <c r="E17" i="39" s="1"/>
  <c r="E18" i="39" s="1"/>
  <c r="E19" i="39" s="1"/>
  <c r="E20" i="39" s="1"/>
  <c r="E21" i="39" s="1"/>
  <c r="E22" i="39" s="1"/>
  <c r="E23" i="39" s="1"/>
  <c r="E24" i="39" s="1"/>
  <c r="E25" i="39" s="1"/>
  <c r="E26" i="39" s="1"/>
  <c r="A32" i="39"/>
  <c r="A58" i="39"/>
  <c r="A84" i="39"/>
  <c r="A110" i="39"/>
  <c r="A136" i="39"/>
  <c r="A184" i="39"/>
  <c r="A108" i="42"/>
  <c r="A134" i="42"/>
  <c r="A160" i="42"/>
  <c r="A186" i="42"/>
  <c r="A10" i="50"/>
  <c r="A36" i="50"/>
  <c r="A37" i="50" s="1"/>
  <c r="A81" i="50"/>
  <c r="E106" i="50"/>
  <c r="E107" i="50" s="1"/>
  <c r="E108" i="50" s="1"/>
  <c r="E109" i="50" s="1"/>
  <c r="E110" i="50" s="1"/>
  <c r="E111" i="50" s="1"/>
  <c r="E112" i="50" s="1"/>
  <c r="E113" i="50" s="1"/>
  <c r="E114" i="50" s="1"/>
  <c r="E115" i="50" s="1"/>
  <c r="E116" i="50" s="1"/>
  <c r="E117" i="50" s="1"/>
  <c r="E118" i="50" s="1"/>
  <c r="E119" i="50" s="1"/>
  <c r="E120" i="50" s="1"/>
  <c r="E121" i="50" s="1"/>
  <c r="E122" i="50" s="1"/>
  <c r="E123" i="50" s="1"/>
  <c r="E124" i="50" s="1"/>
  <c r="A132" i="50"/>
  <c r="A158" i="50"/>
  <c r="A184" i="50"/>
  <c r="A8" i="39"/>
  <c r="A34" i="39"/>
  <c r="A60" i="39"/>
  <c r="A86" i="39"/>
  <c r="A131" i="39"/>
  <c r="E156" i="39"/>
  <c r="E157" i="39" s="1"/>
  <c r="E158" i="39" s="1"/>
  <c r="E159" i="39" s="1"/>
  <c r="E160" i="39" s="1"/>
  <c r="E161" i="39" s="1"/>
  <c r="E162" i="39" s="1"/>
  <c r="E163" i="39" s="1"/>
  <c r="E164" i="39" s="1"/>
  <c r="E165" i="39" s="1"/>
  <c r="E166" i="39" s="1"/>
  <c r="E167" i="39" s="1"/>
  <c r="E168" i="39" s="1"/>
  <c r="E169" i="39" s="1"/>
  <c r="E170" i="39" s="1"/>
  <c r="E171" i="39" s="1"/>
  <c r="E172" i="39" s="1"/>
  <c r="A186" i="39"/>
  <c r="A11" i="49"/>
  <c r="A56" i="49"/>
  <c r="E81" i="49"/>
  <c r="E82" i="49" s="1"/>
  <c r="E83" i="49" s="1"/>
  <c r="E84" i="49" s="1"/>
  <c r="E85" i="49" s="1"/>
  <c r="E86" i="49" s="1"/>
  <c r="E87" i="49" s="1"/>
  <c r="E88" i="49" s="1"/>
  <c r="E89" i="49" s="1"/>
  <c r="E90" i="49" s="1"/>
  <c r="E91" i="49" s="1"/>
  <c r="E92" i="49" s="1"/>
  <c r="E93" i="49" s="1"/>
  <c r="E94" i="49" s="1"/>
  <c r="E95" i="49" s="1"/>
  <c r="E96" i="49" s="1"/>
  <c r="E97" i="49" s="1"/>
  <c r="E98" i="49" s="1"/>
  <c r="E99" i="49" s="1"/>
  <c r="E100" i="49" s="1"/>
  <c r="E101" i="49" s="1"/>
  <c r="A107" i="49"/>
  <c r="A133" i="49"/>
  <c r="E181" i="49"/>
  <c r="E182" i="49" s="1"/>
  <c r="E183" i="49" s="1"/>
  <c r="E184" i="49" s="1"/>
  <c r="E185" i="49" s="1"/>
  <c r="E186" i="49" s="1"/>
  <c r="E187" i="49" s="1"/>
  <c r="E188" i="49" s="1"/>
  <c r="E189" i="49" s="1"/>
  <c r="E190" i="49" s="1"/>
  <c r="E191" i="49" s="1"/>
  <c r="E192" i="49" s="1"/>
  <c r="E193" i="49" s="1"/>
  <c r="E194" i="49" s="1"/>
  <c r="E195" i="49" s="1"/>
  <c r="E196" i="49" s="1"/>
  <c r="E197" i="49" s="1"/>
  <c r="E198" i="49" s="1"/>
  <c r="E199" i="49" s="1"/>
  <c r="E200" i="49" s="1"/>
  <c r="E201" i="49" s="1"/>
  <c r="A6" i="42"/>
  <c r="E31" i="42"/>
  <c r="E32" i="42" s="1"/>
  <c r="E33" i="42" s="1"/>
  <c r="E34" i="42" s="1"/>
  <c r="E35" i="42" s="1"/>
  <c r="E36" i="42" s="1"/>
  <c r="E37" i="42" s="1"/>
  <c r="E38" i="42" s="1"/>
  <c r="E39" i="42" s="1"/>
  <c r="E40" i="42" s="1"/>
  <c r="E41" i="42" s="1"/>
  <c r="E42" i="42" s="1"/>
  <c r="E43" i="42" s="1"/>
  <c r="E44" i="42" s="1"/>
  <c r="E45" i="42" s="1"/>
  <c r="E46" i="42" s="1"/>
  <c r="E47" i="42" s="1"/>
  <c r="E48" i="42" s="1"/>
  <c r="E49" i="42" s="1"/>
  <c r="E50" i="42" s="1"/>
  <c r="E51" i="42" s="1"/>
  <c r="A57" i="42"/>
  <c r="A83" i="42"/>
  <c r="A109" i="42"/>
  <c r="A135" i="42"/>
  <c r="A161" i="42"/>
  <c r="A162" i="42" s="1"/>
  <c r="A187" i="42"/>
  <c r="A11" i="50"/>
  <c r="A12" i="50" s="1"/>
  <c r="A56" i="50"/>
  <c r="E81" i="50"/>
  <c r="E82" i="50" s="1"/>
  <c r="E83" i="50" s="1"/>
  <c r="E84" i="50" s="1"/>
  <c r="E85" i="50" s="1"/>
  <c r="E86" i="50" s="1"/>
  <c r="E87" i="50" s="1"/>
  <c r="E88" i="50" s="1"/>
  <c r="E89" i="50" s="1"/>
  <c r="E90" i="50" s="1"/>
  <c r="E91" i="50" s="1"/>
  <c r="E92" i="50" s="1"/>
  <c r="E93" i="50" s="1"/>
  <c r="E94" i="50" s="1"/>
  <c r="E95" i="50" s="1"/>
  <c r="E96" i="50" s="1"/>
  <c r="E97" i="50" s="1"/>
  <c r="E98" i="50" s="1"/>
  <c r="E99" i="50" s="1"/>
  <c r="E100" i="50" s="1"/>
  <c r="E101" i="50" s="1"/>
  <c r="A107" i="50"/>
  <c r="A133" i="50"/>
  <c r="A159" i="50"/>
  <c r="A185" i="50"/>
  <c r="A9" i="39"/>
  <c r="A35" i="39"/>
  <c r="A61" i="39"/>
  <c r="A106" i="39"/>
  <c r="E131" i="39"/>
  <c r="E132" i="39" s="1"/>
  <c r="E133" i="39" s="1"/>
  <c r="E134" i="39" s="1"/>
  <c r="E135" i="39" s="1"/>
  <c r="E136" i="39" s="1"/>
  <c r="E137" i="39" s="1"/>
  <c r="E138" i="39" s="1"/>
  <c r="E139" i="39" s="1"/>
  <c r="E140" i="39" s="1"/>
  <c r="E141" i="39" s="1"/>
  <c r="E142" i="39" s="1"/>
  <c r="E143" i="39" s="1"/>
  <c r="E144" i="39" s="1"/>
  <c r="E145" i="39" s="1"/>
  <c r="E146" i="39" s="1"/>
  <c r="A157" i="39"/>
  <c r="A158" i="39" s="1"/>
  <c r="A159" i="39" s="1"/>
  <c r="A160" i="39" s="1"/>
  <c r="A161" i="39" s="1"/>
  <c r="A187" i="39"/>
  <c r="B1" i="49"/>
  <c r="C3" i="49" s="1"/>
  <c r="E31" i="49"/>
  <c r="E32" i="49" s="1"/>
  <c r="E33" i="49" s="1"/>
  <c r="E34" i="49" s="1"/>
  <c r="E35" i="49" s="1"/>
  <c r="E36" i="49" s="1"/>
  <c r="E37" i="49" s="1"/>
  <c r="E38" i="49" s="1"/>
  <c r="E39" i="49" s="1"/>
  <c r="E40" i="49" s="1"/>
  <c r="E41" i="49" s="1"/>
  <c r="E42" i="49" s="1"/>
  <c r="E43" i="49" s="1"/>
  <c r="E44" i="49" s="1"/>
  <c r="E45" i="49" s="1"/>
  <c r="E46" i="49" s="1"/>
  <c r="E47" i="49" s="1"/>
  <c r="E48" i="49" s="1"/>
  <c r="E49" i="49" s="1"/>
  <c r="E50" i="49" s="1"/>
  <c r="E51" i="49" s="1"/>
  <c r="A57" i="49"/>
  <c r="A83" i="49"/>
  <c r="A109" i="49"/>
  <c r="A135" i="49"/>
  <c r="A183" i="49"/>
  <c r="A7" i="42"/>
  <c r="A33" i="42"/>
  <c r="A59" i="42"/>
  <c r="A85" i="42"/>
  <c r="A111" i="42"/>
  <c r="A112" i="42" s="1"/>
  <c r="A156" i="42"/>
  <c r="E181" i="42"/>
  <c r="E182" i="42" s="1"/>
  <c r="E183" i="42" s="1"/>
  <c r="E184" i="42" s="1"/>
  <c r="E185" i="42" s="1"/>
  <c r="E186" i="42" s="1"/>
  <c r="E187" i="42" s="1"/>
  <c r="E188" i="42" s="1"/>
  <c r="E189" i="42" s="1"/>
  <c r="E190" i="42" s="1"/>
  <c r="E191" i="42" s="1"/>
  <c r="E192" i="42" s="1"/>
  <c r="E193" i="42" s="1"/>
  <c r="E194" i="42" s="1"/>
  <c r="E195" i="42" s="1"/>
  <c r="E196" i="42" s="1"/>
  <c r="E197" i="42" s="1"/>
  <c r="E198" i="42" s="1"/>
  <c r="E199" i="42" s="1"/>
  <c r="E200" i="42" s="1"/>
  <c r="E201" i="42" s="1"/>
  <c r="A6" i="50"/>
  <c r="E31" i="50"/>
  <c r="E32" i="50" s="1"/>
  <c r="E33" i="50" s="1"/>
  <c r="E34" i="50" s="1"/>
  <c r="E35" i="50" s="1"/>
  <c r="E36" i="50" s="1"/>
  <c r="E37" i="50" s="1"/>
  <c r="E38" i="50" s="1"/>
  <c r="E39" i="50" s="1"/>
  <c r="E40" i="50" s="1"/>
  <c r="E41" i="50" s="1"/>
  <c r="E42" i="50" s="1"/>
  <c r="E43" i="50" s="1"/>
  <c r="E44" i="50" s="1"/>
  <c r="E45" i="50" s="1"/>
  <c r="E46" i="50" s="1"/>
  <c r="E47" i="50" s="1"/>
  <c r="E48" i="50" s="1"/>
  <c r="E49" i="50" s="1"/>
  <c r="E50" i="50" s="1"/>
  <c r="E51" i="50" s="1"/>
  <c r="A57" i="50"/>
  <c r="A83" i="50"/>
  <c r="A109" i="50"/>
  <c r="A135" i="50"/>
  <c r="A161" i="50"/>
  <c r="A162" i="50" s="1"/>
  <c r="A187" i="50"/>
  <c r="A11" i="39"/>
  <c r="A56" i="39"/>
  <c r="E81" i="39"/>
  <c r="E82" i="39" s="1"/>
  <c r="E83" i="39" s="1"/>
  <c r="E84" i="39" s="1"/>
  <c r="E85" i="39" s="1"/>
  <c r="E86" i="39" s="1"/>
  <c r="E87" i="39" s="1"/>
  <c r="E88" i="39" s="1"/>
  <c r="E89" i="39" s="1"/>
  <c r="E90" i="39" s="1"/>
  <c r="E91" i="39" s="1"/>
  <c r="E92" i="39" s="1"/>
  <c r="E93" i="39" s="1"/>
  <c r="E94" i="39" s="1"/>
  <c r="E95" i="39" s="1"/>
  <c r="E96" i="39" s="1"/>
  <c r="E97" i="39" s="1"/>
  <c r="E98" i="39" s="1"/>
  <c r="E99" i="39" s="1"/>
  <c r="E100" i="39" s="1"/>
  <c r="E101" i="39" s="1"/>
  <c r="A107" i="39"/>
  <c r="A133" i="39"/>
  <c r="E181" i="39"/>
  <c r="E182" i="39" s="1"/>
  <c r="E183" i="39" s="1"/>
  <c r="E184" i="39" s="1"/>
  <c r="E185" i="39" s="1"/>
  <c r="E186" i="39" s="1"/>
  <c r="E187" i="39" s="1"/>
  <c r="E188" i="39" s="1"/>
  <c r="E189" i="39" s="1"/>
  <c r="E190" i="39" s="1"/>
  <c r="E191" i="39" s="1"/>
  <c r="E192" i="39" s="1"/>
  <c r="E193" i="39" s="1"/>
  <c r="E194" i="39" s="1"/>
  <c r="E195" i="39" s="1"/>
  <c r="E196" i="39" s="1"/>
  <c r="E197" i="39" s="1"/>
  <c r="E198" i="39" s="1"/>
  <c r="E199" i="39" s="1"/>
  <c r="E200" i="39" s="1"/>
  <c r="E201" i="39" s="1"/>
  <c r="E6" i="49"/>
  <c r="E7" i="49" s="1"/>
  <c r="E8" i="49" s="1"/>
  <c r="E9" i="49" s="1"/>
  <c r="E10" i="49" s="1"/>
  <c r="E11" i="49" s="1"/>
  <c r="E12" i="49" s="1"/>
  <c r="E13" i="49" s="1"/>
  <c r="E14" i="49" s="1"/>
  <c r="E15" i="49" s="1"/>
  <c r="E16" i="49" s="1"/>
  <c r="E17" i="49" s="1"/>
  <c r="E18" i="49" s="1"/>
  <c r="E19" i="49" s="1"/>
  <c r="E20" i="49" s="1"/>
  <c r="E21" i="49" s="1"/>
  <c r="E22" i="49" s="1"/>
  <c r="E23" i="49" s="1"/>
  <c r="E24" i="49" s="1"/>
  <c r="E25" i="49" s="1"/>
  <c r="E26" i="49" s="1"/>
  <c r="A32" i="49"/>
  <c r="A58" i="49"/>
  <c r="A84" i="49"/>
  <c r="A110" i="49"/>
  <c r="A136" i="49"/>
  <c r="A184" i="49"/>
  <c r="A8" i="42"/>
  <c r="A34" i="42"/>
  <c r="A60" i="42"/>
  <c r="A86" i="42"/>
  <c r="A87" i="42" s="1"/>
  <c r="A131" i="42"/>
  <c r="E156" i="42"/>
  <c r="E157" i="42" s="1"/>
  <c r="E158" i="42" s="1"/>
  <c r="E159" i="42" s="1"/>
  <c r="E160" i="42" s="1"/>
  <c r="E161" i="42" s="1"/>
  <c r="E162" i="42" s="1"/>
  <c r="E163" i="42" s="1"/>
  <c r="E164" i="42" s="1"/>
  <c r="E165" i="42" s="1"/>
  <c r="E166" i="42" s="1"/>
  <c r="E167" i="42" s="1"/>
  <c r="E168" i="42" s="1"/>
  <c r="E169" i="42" s="1"/>
  <c r="E170" i="42" s="1"/>
  <c r="E171" i="42" s="1"/>
  <c r="E172" i="42" s="1"/>
  <c r="A182" i="42"/>
  <c r="E6" i="50"/>
  <c r="E7" i="50" s="1"/>
  <c r="E8" i="50" s="1"/>
  <c r="E9" i="50" s="1"/>
  <c r="E10" i="50" s="1"/>
  <c r="E11" i="50" s="1"/>
  <c r="E12" i="50" s="1"/>
  <c r="E13" i="50" s="1"/>
  <c r="E14" i="50" s="1"/>
  <c r="E15" i="50" s="1"/>
  <c r="E16" i="50" s="1"/>
  <c r="E17" i="50" s="1"/>
  <c r="E18" i="50" s="1"/>
  <c r="E19" i="50" s="1"/>
  <c r="E20" i="50" s="1"/>
  <c r="E21" i="50" s="1"/>
  <c r="E22" i="50" s="1"/>
  <c r="E23" i="50" s="1"/>
  <c r="E24" i="50" s="1"/>
  <c r="E25" i="50" s="1"/>
  <c r="E26" i="50" s="1"/>
  <c r="A32" i="50"/>
  <c r="A58" i="50"/>
  <c r="A84" i="50"/>
  <c r="A110" i="50"/>
  <c r="A136" i="50"/>
  <c r="A137" i="50" s="1"/>
  <c r="A181" i="50"/>
  <c r="A188" i="50"/>
  <c r="A31" i="39"/>
  <c r="E56" i="39"/>
  <c r="E57" i="39" s="1"/>
  <c r="E58" i="39" s="1"/>
  <c r="E59" i="39" s="1"/>
  <c r="E60" i="39" s="1"/>
  <c r="E61" i="39" s="1"/>
  <c r="E62" i="39" s="1"/>
  <c r="E63" i="39" s="1"/>
  <c r="E64" i="39" s="1"/>
  <c r="E65" i="39" s="1"/>
  <c r="E66" i="39" s="1"/>
  <c r="E67" i="39" s="1"/>
  <c r="E68" i="39" s="1"/>
  <c r="E69" i="39" s="1"/>
  <c r="E70" i="39" s="1"/>
  <c r="E71" i="39" s="1"/>
  <c r="E72" i="39" s="1"/>
  <c r="E73" i="39" s="1"/>
  <c r="E74" i="39" s="1"/>
  <c r="E75" i="39" s="1"/>
  <c r="E76" i="39" s="1"/>
  <c r="A82" i="39"/>
  <c r="A108" i="39"/>
  <c r="A134" i="39"/>
  <c r="I81" i="49"/>
  <c r="I56" i="49"/>
  <c r="I31" i="49"/>
  <c r="I6" i="49"/>
  <c r="I131" i="49"/>
  <c r="I106" i="49"/>
  <c r="I131" i="42"/>
  <c r="I6" i="42"/>
  <c r="I106" i="42"/>
  <c r="I81" i="42"/>
  <c r="I56" i="42"/>
  <c r="I31" i="42"/>
  <c r="I56" i="50"/>
  <c r="I81" i="50"/>
  <c r="I131" i="50"/>
  <c r="I106" i="50"/>
  <c r="I31" i="50"/>
  <c r="I6" i="50"/>
  <c r="I31" i="39"/>
  <c r="I106" i="39"/>
  <c r="I6" i="39"/>
  <c r="I131" i="39"/>
  <c r="I81" i="39"/>
  <c r="I56" i="39"/>
  <c r="U6" i="49"/>
  <c r="U7" i="49"/>
  <c r="U8" i="49"/>
  <c r="U9" i="49"/>
  <c r="U10" i="49"/>
  <c r="U11" i="49"/>
  <c r="U12" i="49"/>
  <c r="U13" i="49"/>
  <c r="U14" i="49"/>
  <c r="U15" i="49"/>
  <c r="U16" i="49"/>
  <c r="U17" i="49"/>
  <c r="F17" i="49"/>
  <c r="U18" i="49"/>
  <c r="U19" i="49"/>
  <c r="U20" i="49"/>
  <c r="U21" i="49"/>
  <c r="U22" i="49"/>
  <c r="U23" i="49"/>
  <c r="U24" i="49"/>
  <c r="U25" i="49"/>
  <c r="U31" i="49"/>
  <c r="U32" i="49"/>
  <c r="U33" i="49"/>
  <c r="U34" i="49"/>
  <c r="U35" i="49"/>
  <c r="U36" i="49"/>
  <c r="U37" i="49"/>
  <c r="U38" i="49"/>
  <c r="U39" i="49"/>
  <c r="U40" i="49"/>
  <c r="U41" i="49"/>
  <c r="U42" i="49"/>
  <c r="U43" i="49"/>
  <c r="U44" i="49"/>
  <c r="U45" i="49"/>
  <c r="U46" i="49"/>
  <c r="U47" i="49"/>
  <c r="U48" i="49"/>
  <c r="U49" i="49"/>
  <c r="U50" i="49"/>
  <c r="U56" i="49"/>
  <c r="F56" i="49"/>
  <c r="L4" i="48" s="1"/>
  <c r="U57" i="49"/>
  <c r="F57" i="49"/>
  <c r="L5" i="48" s="1"/>
  <c r="U58" i="49"/>
  <c r="F58" i="49"/>
  <c r="L6" i="48" s="1"/>
  <c r="U59" i="49"/>
  <c r="F59" i="49"/>
  <c r="L7" i="48" s="1"/>
  <c r="U60" i="49"/>
  <c r="F60" i="49"/>
  <c r="L8" i="48" s="1"/>
  <c r="U61" i="49"/>
  <c r="F61" i="49"/>
  <c r="L9" i="48" s="1"/>
  <c r="U62" i="49"/>
  <c r="F62" i="49"/>
  <c r="L10" i="48" s="1"/>
  <c r="U63" i="49"/>
  <c r="F63" i="49"/>
  <c r="L11" i="48" s="1"/>
  <c r="F64" i="49"/>
  <c r="L12" i="48" s="1"/>
  <c r="U64" i="49"/>
  <c r="U65" i="49"/>
  <c r="F65" i="49"/>
  <c r="U66" i="49"/>
  <c r="F66" i="49"/>
  <c r="U67" i="49"/>
  <c r="U68" i="49"/>
  <c r="U69" i="49"/>
  <c r="F70" i="49"/>
  <c r="F68" i="49"/>
  <c r="F67" i="49"/>
  <c r="F69" i="49"/>
  <c r="L13" i="48" s="1"/>
  <c r="U70" i="49"/>
  <c r="U71" i="49"/>
  <c r="F71" i="49"/>
  <c r="U72" i="49"/>
  <c r="F72" i="49"/>
  <c r="L14" i="48" s="1"/>
  <c r="U73" i="49"/>
  <c r="F73" i="49"/>
  <c r="L15" i="48" s="1"/>
  <c r="U74" i="49"/>
  <c r="F74" i="49"/>
  <c r="L16" i="48" s="1"/>
  <c r="U75" i="49"/>
  <c r="F75" i="49"/>
  <c r="F76" i="49" s="1"/>
  <c r="U81" i="49"/>
  <c r="U82" i="49"/>
  <c r="U83" i="49"/>
  <c r="U84" i="49"/>
  <c r="U85" i="49"/>
  <c r="U86" i="49"/>
  <c r="U87" i="49"/>
  <c r="U88" i="49"/>
  <c r="U89" i="49"/>
  <c r="U90" i="49"/>
  <c r="U91" i="49"/>
  <c r="U92" i="49"/>
  <c r="U93" i="49"/>
  <c r="U94" i="49"/>
  <c r="U95" i="49"/>
  <c r="U96" i="49"/>
  <c r="U97" i="49"/>
  <c r="U98" i="49"/>
  <c r="U99" i="49"/>
  <c r="U100" i="49"/>
  <c r="U106" i="49"/>
  <c r="F106" i="49"/>
  <c r="N4" i="48" s="1"/>
  <c r="U107" i="49"/>
  <c r="F107" i="49"/>
  <c r="N5" i="48" s="1"/>
  <c r="U108" i="49"/>
  <c r="F108" i="49"/>
  <c r="N6" i="48" s="1"/>
  <c r="F109" i="49"/>
  <c r="N7" i="48" s="1"/>
  <c r="U109" i="49"/>
  <c r="U110" i="49"/>
  <c r="F110" i="49"/>
  <c r="N8" i="48" s="1"/>
  <c r="U111" i="49"/>
  <c r="F111" i="49"/>
  <c r="N9" i="48" s="1"/>
  <c r="U112" i="49"/>
  <c r="F112" i="49"/>
  <c r="N10" i="48" s="1"/>
  <c r="F113" i="49"/>
  <c r="N11" i="48" s="1"/>
  <c r="U113" i="49"/>
  <c r="U114" i="49"/>
  <c r="F114" i="49"/>
  <c r="N12" i="48" s="1"/>
  <c r="U115" i="49"/>
  <c r="F116" i="49"/>
  <c r="U116" i="49"/>
  <c r="U117" i="49"/>
  <c r="U118" i="49"/>
  <c r="F119" i="49"/>
  <c r="N13" i="48" s="1"/>
  <c r="U119" i="49"/>
  <c r="U120" i="49"/>
  <c r="F120" i="49"/>
  <c r="N14" i="48" s="1"/>
  <c r="F121" i="49"/>
  <c r="N15" i="48" s="1"/>
  <c r="U121" i="49"/>
  <c r="U122" i="49"/>
  <c r="F122" i="49"/>
  <c r="N16" i="48" s="1"/>
  <c r="U123" i="49"/>
  <c r="F123" i="49"/>
  <c r="F124" i="49" s="1"/>
  <c r="F156" i="49"/>
  <c r="O156" i="49" s="1"/>
  <c r="F157" i="49"/>
  <c r="O157" i="49" s="1"/>
  <c r="F158" i="49"/>
  <c r="O158" i="49" s="1"/>
  <c r="F159" i="49"/>
  <c r="O159" i="49" s="1"/>
  <c r="F160" i="49"/>
  <c r="O160" i="49" s="1"/>
  <c r="F161" i="49"/>
  <c r="O161" i="49" s="1"/>
  <c r="F162" i="49"/>
  <c r="O162" i="49" s="1"/>
  <c r="F163" i="49"/>
  <c r="F164" i="49"/>
  <c r="O164" i="49" s="1"/>
  <c r="O165" i="49" s="1"/>
  <c r="O166" i="49" s="1"/>
  <c r="O167" i="49" s="1"/>
  <c r="O168" i="49" s="1"/>
  <c r="O169" i="49" s="1"/>
  <c r="O170" i="49" s="1"/>
  <c r="O171" i="49" s="1"/>
  <c r="O172" i="49" s="1"/>
  <c r="F165" i="49"/>
  <c r="F184" i="49"/>
  <c r="F182" i="49" s="1"/>
  <c r="F186" i="49"/>
  <c r="F185" i="49" s="1"/>
  <c r="T190" i="49"/>
  <c r="F190" i="49" s="1"/>
  <c r="F189" i="49"/>
  <c r="F188" i="49" s="1"/>
  <c r="F191" i="49"/>
  <c r="F194" i="49"/>
  <c r="T193" i="49"/>
  <c r="F193" i="49" s="1"/>
  <c r="T192" i="49"/>
  <c r="F192" i="49" s="1"/>
  <c r="T195" i="49"/>
  <c r="F195" i="49" s="1"/>
  <c r="F197" i="49"/>
  <c r="F198" i="49" s="1"/>
  <c r="F199" i="49" s="1"/>
  <c r="F200" i="49" s="1"/>
  <c r="F201" i="49" s="1"/>
  <c r="T196" i="49"/>
  <c r="F196" i="49" s="1"/>
  <c r="F156" i="42"/>
  <c r="O156" i="42" s="1"/>
  <c r="F157" i="42"/>
  <c r="O157" i="42" s="1"/>
  <c r="F158" i="42"/>
  <c r="O158" i="42" s="1"/>
  <c r="F159" i="42"/>
  <c r="O159" i="42" s="1"/>
  <c r="F160" i="42"/>
  <c r="O160" i="42" s="1"/>
  <c r="F161" i="42"/>
  <c r="O161" i="42" s="1"/>
  <c r="F162" i="42"/>
  <c r="O162" i="42" s="1"/>
  <c r="F163" i="42"/>
  <c r="F164" i="42"/>
  <c r="O164" i="42" s="1"/>
  <c r="O165" i="42" s="1"/>
  <c r="O166" i="42" s="1"/>
  <c r="O167" i="42" s="1"/>
  <c r="O168" i="42" s="1"/>
  <c r="O169" i="42" s="1"/>
  <c r="O170" i="42" s="1"/>
  <c r="O171" i="42" s="1"/>
  <c r="O172" i="42" s="1"/>
  <c r="F165" i="42"/>
  <c r="F26" i="50"/>
  <c r="F51" i="50"/>
  <c r="F76" i="50"/>
  <c r="F101" i="50"/>
  <c r="F124" i="50"/>
  <c r="F146" i="50"/>
  <c r="F156" i="50"/>
  <c r="O156" i="50" s="1"/>
  <c r="F157" i="50"/>
  <c r="O157" i="50" s="1"/>
  <c r="F158" i="50"/>
  <c r="O158" i="50" s="1"/>
  <c r="F159" i="50"/>
  <c r="O159" i="50" s="1"/>
  <c r="F160" i="50"/>
  <c r="F161" i="50"/>
  <c r="O161" i="50" s="1"/>
  <c r="F162" i="50"/>
  <c r="O162" i="50" s="1"/>
  <c r="F163" i="50"/>
  <c r="O163" i="50" s="1"/>
  <c r="F164" i="50"/>
  <c r="O164" i="50" s="1"/>
  <c r="O165" i="50" s="1"/>
  <c r="O166" i="50" s="1"/>
  <c r="O167" i="50" s="1"/>
  <c r="O168" i="50" s="1"/>
  <c r="O169" i="50" s="1"/>
  <c r="O170" i="50" s="1"/>
  <c r="O171" i="50" s="1"/>
  <c r="O172" i="50" s="1"/>
  <c r="F165" i="50"/>
  <c r="F190" i="50"/>
  <c r="F192" i="50"/>
  <c r="F193" i="50"/>
  <c r="F196" i="50"/>
  <c r="F198" i="50"/>
  <c r="F199" i="50" s="1"/>
  <c r="F200" i="50" s="1"/>
  <c r="F201" i="50" s="1"/>
  <c r="F195" i="50"/>
  <c r="B156" i="49"/>
  <c r="B12" i="50"/>
  <c r="B37" i="50"/>
  <c r="B62" i="50"/>
  <c r="B87" i="50"/>
  <c r="B112" i="50"/>
  <c r="B137" i="50"/>
  <c r="B183" i="50"/>
  <c r="B188" i="50"/>
  <c r="A27" i="46"/>
  <c r="A49" i="46" s="1"/>
  <c r="A71" i="46" s="1"/>
  <c r="A93" i="46" s="1"/>
  <c r="A115" i="46" s="1"/>
  <c r="A6" i="46"/>
  <c r="C157" i="49"/>
  <c r="C132" i="50"/>
  <c r="C182" i="42"/>
  <c r="C32" i="49"/>
  <c r="C82" i="49"/>
  <c r="C132" i="39"/>
  <c r="C182" i="50"/>
  <c r="C32" i="42"/>
  <c r="C7" i="42"/>
  <c r="C82" i="42"/>
  <c r="C107" i="49"/>
  <c r="C182" i="39"/>
  <c r="C32" i="50"/>
  <c r="C82" i="50"/>
  <c r="C107" i="39"/>
  <c r="C132" i="49"/>
  <c r="C32" i="39"/>
  <c r="C107" i="42"/>
  <c r="C82" i="39"/>
  <c r="C157" i="42"/>
  <c r="C7" i="49"/>
  <c r="C57" i="49"/>
  <c r="C157" i="39"/>
  <c r="C107" i="50"/>
  <c r="C157" i="50"/>
  <c r="C7" i="50"/>
  <c r="C57" i="50"/>
  <c r="C57" i="42"/>
  <c r="C132" i="42"/>
  <c r="C182" i="49"/>
  <c r="C7" i="39"/>
  <c r="C57" i="39"/>
  <c r="B83" i="49"/>
  <c r="B108" i="49"/>
  <c r="D106" i="49"/>
  <c r="D106" i="50"/>
  <c r="D6" i="42"/>
  <c r="D81" i="42"/>
  <c r="B133" i="49"/>
  <c r="D131" i="39"/>
  <c r="B33" i="49"/>
  <c r="D6" i="39"/>
  <c r="D81" i="49"/>
  <c r="D31" i="42"/>
  <c r="B58" i="49"/>
  <c r="D56" i="50"/>
  <c r="D31" i="50"/>
  <c r="D56" i="49"/>
  <c r="D56" i="42"/>
  <c r="D81" i="50"/>
  <c r="D131" i="49"/>
  <c r="D131" i="42"/>
  <c r="D56" i="39"/>
  <c r="B181" i="49"/>
  <c r="D131" i="50"/>
  <c r="D31" i="39"/>
  <c r="B33" i="50"/>
  <c r="D81" i="39"/>
  <c r="D6" i="49"/>
  <c r="D106" i="42"/>
  <c r="D31" i="49"/>
  <c r="D106" i="39"/>
  <c r="D6" i="50"/>
  <c r="B182" i="49"/>
  <c r="B185" i="49"/>
  <c r="B184" i="49"/>
  <c r="B187" i="49"/>
  <c r="L7" i="42"/>
  <c r="L7" i="49"/>
  <c r="L7" i="50"/>
  <c r="L7" i="39"/>
  <c r="I57" i="39" l="1"/>
  <c r="I7" i="39"/>
  <c r="I132" i="39"/>
  <c r="I82" i="39"/>
  <c r="I107" i="39"/>
  <c r="I32" i="39"/>
  <c r="I82" i="50"/>
  <c r="I7" i="50"/>
  <c r="I57" i="50"/>
  <c r="I32" i="50"/>
  <c r="I132" i="50"/>
  <c r="I107" i="50"/>
  <c r="I57" i="49"/>
  <c r="I32" i="49"/>
  <c r="I7" i="49"/>
  <c r="I107" i="49"/>
  <c r="I82" i="49"/>
  <c r="I132" i="49"/>
  <c r="I82" i="42"/>
  <c r="I57" i="42"/>
  <c r="I32" i="42"/>
  <c r="I7" i="42"/>
  <c r="I132" i="42"/>
  <c r="I107" i="42"/>
  <c r="B188" i="49"/>
  <c r="B183" i="49"/>
  <c r="G160" i="50"/>
  <c r="G165" i="49"/>
  <c r="E3" i="49"/>
  <c r="E3" i="42" s="1"/>
  <c r="E3" i="50" s="1"/>
  <c r="E2" i="49"/>
  <c r="G157" i="49"/>
  <c r="L154" i="49"/>
  <c r="F166" i="49" s="1"/>
  <c r="F167" i="49" s="1"/>
  <c r="F168" i="49" s="1"/>
  <c r="F169" i="49" s="1"/>
  <c r="F170" i="49" s="1"/>
  <c r="F171" i="49" s="1"/>
  <c r="F172" i="49" s="1"/>
  <c r="G161" i="42"/>
  <c r="F183" i="49"/>
  <c r="F181" i="49"/>
  <c r="O160" i="50"/>
  <c r="G163" i="42"/>
  <c r="C2" i="49"/>
  <c r="G158" i="49"/>
  <c r="F166" i="39"/>
  <c r="P166" i="39" s="1"/>
  <c r="G164" i="49"/>
  <c r="G159" i="49"/>
  <c r="G162" i="50"/>
  <c r="G165" i="42"/>
  <c r="G163" i="50"/>
  <c r="G164" i="42"/>
  <c r="F187" i="49"/>
  <c r="G162" i="42"/>
  <c r="G158" i="42"/>
  <c r="G157" i="50"/>
  <c r="O163" i="42"/>
  <c r="G164" i="50"/>
  <c r="G160" i="49"/>
  <c r="G161" i="50"/>
  <c r="L154" i="42"/>
  <c r="F166" i="42" s="1"/>
  <c r="F167" i="42" s="1"/>
  <c r="F168" i="42" s="1"/>
  <c r="F169" i="42" s="1"/>
  <c r="F170" i="42" s="1"/>
  <c r="F171" i="42" s="1"/>
  <c r="F172" i="42" s="1"/>
  <c r="O163" i="49"/>
  <c r="G157" i="42"/>
  <c r="G161" i="49"/>
  <c r="G159" i="42"/>
  <c r="L154" i="50"/>
  <c r="F166" i="50" s="1"/>
  <c r="F167" i="50" s="1"/>
  <c r="F168" i="50" s="1"/>
  <c r="F169" i="50" s="1"/>
  <c r="F170" i="50" s="1"/>
  <c r="F171" i="50" s="1"/>
  <c r="F172" i="50" s="1"/>
  <c r="G160" i="42"/>
  <c r="G165" i="50"/>
  <c r="G162" i="49"/>
  <c r="G163" i="49"/>
  <c r="G159" i="50"/>
  <c r="G158" i="50"/>
  <c r="A28" i="46"/>
  <c r="A50" i="46" s="1"/>
  <c r="A72" i="46" s="1"/>
  <c r="A94" i="46" s="1"/>
  <c r="A116" i="46" s="1"/>
  <c r="A7" i="46"/>
  <c r="D82" i="49"/>
  <c r="C58" i="39"/>
  <c r="C108" i="50"/>
  <c r="C133" i="49"/>
  <c r="C33" i="42"/>
  <c r="D7" i="39"/>
  <c r="C8" i="39"/>
  <c r="C158" i="39"/>
  <c r="C108" i="39"/>
  <c r="C183" i="50"/>
  <c r="C183" i="49"/>
  <c r="C58" i="49"/>
  <c r="C83" i="50"/>
  <c r="C133" i="39"/>
  <c r="C83" i="49"/>
  <c r="C133" i="42"/>
  <c r="C8" i="49"/>
  <c r="C33" i="50"/>
  <c r="C58" i="42"/>
  <c r="C158" i="42"/>
  <c r="C183" i="39"/>
  <c r="C33" i="49"/>
  <c r="D7" i="42"/>
  <c r="C58" i="50"/>
  <c r="C83" i="39"/>
  <c r="C108" i="49"/>
  <c r="C183" i="42"/>
  <c r="C158" i="49"/>
  <c r="D7" i="49"/>
  <c r="C8" i="50"/>
  <c r="C108" i="42"/>
  <c r="C83" i="42"/>
  <c r="C133" i="50"/>
  <c r="D7" i="50"/>
  <c r="C158" i="50"/>
  <c r="C33" i="39"/>
  <c r="C8" i="42"/>
  <c r="R170" i="49"/>
  <c r="R162" i="49"/>
  <c r="R122" i="49"/>
  <c r="R111" i="49"/>
  <c r="R88" i="49"/>
  <c r="R43" i="49"/>
  <c r="R118" i="49"/>
  <c r="R117" i="49"/>
  <c r="R34" i="49"/>
  <c r="R94" i="49"/>
  <c r="R24" i="49"/>
  <c r="R135" i="49"/>
  <c r="R9" i="49"/>
  <c r="R143" i="49"/>
  <c r="R192" i="49"/>
  <c r="R184" i="49"/>
  <c r="R71" i="49"/>
  <c r="R63" i="49"/>
  <c r="R17" i="49"/>
  <c r="R183" i="49"/>
  <c r="R62" i="49"/>
  <c r="R165" i="49"/>
  <c r="R87" i="49"/>
  <c r="R46" i="49"/>
  <c r="R12" i="49"/>
  <c r="R74" i="49"/>
  <c r="R156" i="49"/>
  <c r="R36" i="49"/>
  <c r="R21" i="49"/>
  <c r="R123" i="49"/>
  <c r="R86" i="49"/>
  <c r="R138" i="49"/>
  <c r="R185" i="49"/>
  <c r="D132" i="42"/>
  <c r="R169" i="49"/>
  <c r="R161" i="49"/>
  <c r="R121" i="49"/>
  <c r="R110" i="49"/>
  <c r="R99" i="49"/>
  <c r="R100" i="49"/>
  <c r="R96" i="49"/>
  <c r="R97" i="49"/>
  <c r="R98" i="49"/>
  <c r="R13" i="49"/>
  <c r="R140" i="49"/>
  <c r="R18" i="49"/>
  <c r="R7" i="49"/>
  <c r="R134" i="49"/>
  <c r="R191" i="49"/>
  <c r="R70" i="49"/>
  <c r="R114" i="49"/>
  <c r="R50" i="49"/>
  <c r="R84" i="49"/>
  <c r="R6" i="49"/>
  <c r="R187" i="49"/>
  <c r="R66" i="49"/>
  <c r="D32" i="42"/>
  <c r="R113" i="49"/>
  <c r="R37" i="49"/>
  <c r="R136" i="49"/>
  <c r="R65" i="49"/>
  <c r="R163" i="49"/>
  <c r="R81" i="49"/>
  <c r="R141" i="49"/>
  <c r="R64" i="49"/>
  <c r="D82" i="42"/>
  <c r="R168" i="49"/>
  <c r="R160" i="49"/>
  <c r="R120" i="49"/>
  <c r="R109" i="49"/>
  <c r="R89" i="49"/>
  <c r="R47" i="49"/>
  <c r="R95" i="49"/>
  <c r="R39" i="49"/>
  <c r="R49" i="49"/>
  <c r="R16" i="49"/>
  <c r="R15" i="49"/>
  <c r="R132" i="49"/>
  <c r="R10" i="49"/>
  <c r="R139" i="49"/>
  <c r="R190" i="49"/>
  <c r="R182" i="49"/>
  <c r="R69" i="49"/>
  <c r="R61" i="49"/>
  <c r="R68" i="49"/>
  <c r="R157" i="49"/>
  <c r="R106" i="49"/>
  <c r="R35" i="49"/>
  <c r="R25" i="49"/>
  <c r="R133" i="49"/>
  <c r="R58" i="49"/>
  <c r="R172" i="49"/>
  <c r="R45" i="49"/>
  <c r="R44" i="49"/>
  <c r="R20" i="49"/>
  <c r="R73" i="49"/>
  <c r="R42" i="49"/>
  <c r="R82" i="49"/>
  <c r="R193" i="49"/>
  <c r="R56" i="49"/>
  <c r="D57" i="42"/>
  <c r="R167" i="49"/>
  <c r="R159" i="49"/>
  <c r="R119" i="49"/>
  <c r="R108" i="49"/>
  <c r="R93" i="49"/>
  <c r="R83" i="49"/>
  <c r="R41" i="49"/>
  <c r="R90" i="49"/>
  <c r="R85" i="49"/>
  <c r="R137" i="49"/>
  <c r="R8" i="49"/>
  <c r="R11" i="49"/>
  <c r="R19" i="49"/>
  <c r="R197" i="49"/>
  <c r="R189" i="49"/>
  <c r="R181" i="49"/>
  <c r="R60" i="49"/>
  <c r="R195" i="49"/>
  <c r="R38" i="49"/>
  <c r="R194" i="49"/>
  <c r="R57" i="49"/>
  <c r="R171" i="49"/>
  <c r="R92" i="49"/>
  <c r="R145" i="49"/>
  <c r="R72" i="49"/>
  <c r="D32" i="49"/>
  <c r="R166" i="49"/>
  <c r="R158" i="49"/>
  <c r="R116" i="49"/>
  <c r="R107" i="49"/>
  <c r="R32" i="49"/>
  <c r="R91" i="49"/>
  <c r="R40" i="49"/>
  <c r="R31" i="49"/>
  <c r="R33" i="49"/>
  <c r="R23" i="49"/>
  <c r="R22" i="49"/>
  <c r="R144" i="49"/>
  <c r="R142" i="49"/>
  <c r="R196" i="49"/>
  <c r="R188" i="49"/>
  <c r="R75" i="49"/>
  <c r="R67" i="49"/>
  <c r="R59" i="49"/>
  <c r="D107" i="42"/>
  <c r="R164" i="49"/>
  <c r="R115" i="49"/>
  <c r="R14" i="49"/>
  <c r="R186" i="49"/>
  <c r="R112" i="49"/>
  <c r="R48" i="49"/>
  <c r="R131" i="49"/>
  <c r="L8" i="39"/>
  <c r="L8" i="49"/>
  <c r="L8" i="50"/>
  <c r="L8" i="42"/>
  <c r="I83" i="42" l="1"/>
  <c r="I33" i="42"/>
  <c r="I58" i="42"/>
  <c r="I8" i="42"/>
  <c r="I133" i="42"/>
  <c r="I108" i="42"/>
  <c r="I83" i="50"/>
  <c r="I8" i="50"/>
  <c r="I58" i="50"/>
  <c r="I33" i="50"/>
  <c r="I133" i="50"/>
  <c r="I108" i="50"/>
  <c r="I58" i="49"/>
  <c r="I133" i="49"/>
  <c r="I33" i="49"/>
  <c r="I108" i="49"/>
  <c r="I8" i="49"/>
  <c r="I83" i="49"/>
  <c r="I33" i="39"/>
  <c r="I8" i="39"/>
  <c r="I133" i="39"/>
  <c r="I83" i="39"/>
  <c r="I108" i="39"/>
  <c r="I58" i="39"/>
  <c r="E2" i="42"/>
  <c r="E2" i="50" s="1"/>
  <c r="A29" i="46"/>
  <c r="A51" i="46" s="1"/>
  <c r="A73" i="46" s="1"/>
  <c r="A95" i="46" s="1"/>
  <c r="A117" i="46" s="1"/>
  <c r="A8" i="46"/>
  <c r="D83" i="42"/>
  <c r="D58" i="50"/>
  <c r="D57" i="50" s="1"/>
  <c r="D8" i="49"/>
  <c r="C9" i="42"/>
  <c r="C184" i="42"/>
  <c r="C34" i="50"/>
  <c r="C184" i="50"/>
  <c r="D133" i="49"/>
  <c r="D132" i="49" s="1"/>
  <c r="C84" i="50"/>
  <c r="C9" i="50"/>
  <c r="C159" i="42"/>
  <c r="D108" i="49"/>
  <c r="D107" i="49" s="1"/>
  <c r="C59" i="39"/>
  <c r="D33" i="50"/>
  <c r="D32" i="50" s="1"/>
  <c r="D83" i="49"/>
  <c r="C34" i="39"/>
  <c r="C109" i="49"/>
  <c r="C9" i="49"/>
  <c r="C109" i="39"/>
  <c r="D58" i="42"/>
  <c r="D133" i="50"/>
  <c r="D132" i="50" s="1"/>
  <c r="D33" i="39"/>
  <c r="D32" i="39" s="1"/>
  <c r="C159" i="50"/>
  <c r="C84" i="39"/>
  <c r="C134" i="42"/>
  <c r="C159" i="39"/>
  <c r="D83" i="50"/>
  <c r="D82" i="50" s="1"/>
  <c r="C59" i="49"/>
  <c r="C159" i="49"/>
  <c r="C59" i="42"/>
  <c r="D8" i="42"/>
  <c r="D108" i="50"/>
  <c r="D107" i="50" s="1"/>
  <c r="D8" i="39"/>
  <c r="C134" i="50"/>
  <c r="C59" i="50"/>
  <c r="C84" i="49"/>
  <c r="C9" i="39"/>
  <c r="D108" i="42"/>
  <c r="C184" i="39"/>
  <c r="D33" i="49"/>
  <c r="D58" i="39"/>
  <c r="D57" i="39" s="1"/>
  <c r="D133" i="42"/>
  <c r="D58" i="49"/>
  <c r="D57" i="49" s="1"/>
  <c r="D133" i="39"/>
  <c r="D132" i="39" s="1"/>
  <c r="C84" i="42"/>
  <c r="C34" i="49"/>
  <c r="C134" i="39"/>
  <c r="C34" i="42"/>
  <c r="D83" i="39"/>
  <c r="D82" i="39" s="1"/>
  <c r="C109" i="42"/>
  <c r="C134" i="49"/>
  <c r="D108" i="39"/>
  <c r="D107" i="39" s="1"/>
  <c r="D8" i="50"/>
  <c r="C184" i="49"/>
  <c r="C109" i="50"/>
  <c r="R168" i="50"/>
  <c r="R160" i="50"/>
  <c r="R159" i="50"/>
  <c r="R169" i="50"/>
  <c r="R167" i="50"/>
  <c r="R171" i="50"/>
  <c r="R161" i="50"/>
  <c r="R166" i="50"/>
  <c r="R158" i="50"/>
  <c r="R157" i="50"/>
  <c r="R170" i="50"/>
  <c r="R165" i="50"/>
  <c r="R162" i="50"/>
  <c r="R172" i="50"/>
  <c r="R164" i="50"/>
  <c r="R156" i="50"/>
  <c r="R163" i="50"/>
  <c r="L9" i="42"/>
  <c r="L9" i="50"/>
  <c r="L9" i="49"/>
  <c r="L9" i="39"/>
  <c r="I59" i="39" l="1"/>
  <c r="I9" i="39"/>
  <c r="I134" i="39"/>
  <c r="I84" i="39"/>
  <c r="I109" i="39"/>
  <c r="I34" i="39"/>
  <c r="I134" i="49"/>
  <c r="I59" i="49"/>
  <c r="I34" i="49"/>
  <c r="I84" i="49"/>
  <c r="I9" i="49"/>
  <c r="I109" i="49"/>
  <c r="I84" i="50"/>
  <c r="I9" i="50"/>
  <c r="I59" i="50"/>
  <c r="I34" i="50"/>
  <c r="I134" i="50"/>
  <c r="I109" i="50"/>
  <c r="I9" i="42"/>
  <c r="I84" i="42"/>
  <c r="I59" i="42"/>
  <c r="I34" i="42"/>
  <c r="I134" i="42"/>
  <c r="I109" i="42"/>
  <c r="A30" i="46"/>
  <c r="A52" i="46" s="1"/>
  <c r="A74" i="46" s="1"/>
  <c r="A96" i="46" s="1"/>
  <c r="A118" i="46" s="1"/>
  <c r="A9" i="46"/>
  <c r="D59" i="39"/>
  <c r="D34" i="49"/>
  <c r="D134" i="50"/>
  <c r="C110" i="50"/>
  <c r="C185" i="39"/>
  <c r="C160" i="39"/>
  <c r="C60" i="39"/>
  <c r="C110" i="42"/>
  <c r="C160" i="50"/>
  <c r="C110" i="39"/>
  <c r="D9" i="50"/>
  <c r="C35" i="50"/>
  <c r="C160" i="49"/>
  <c r="D9" i="39"/>
  <c r="D84" i="49"/>
  <c r="D109" i="50"/>
  <c r="C185" i="49"/>
  <c r="C10" i="39"/>
  <c r="C135" i="42"/>
  <c r="C160" i="42"/>
  <c r="C135" i="50"/>
  <c r="C135" i="39"/>
  <c r="C10" i="49"/>
  <c r="D134" i="42"/>
  <c r="D134" i="39"/>
  <c r="D9" i="49"/>
  <c r="D9" i="42"/>
  <c r="C135" i="49"/>
  <c r="C85" i="49"/>
  <c r="C85" i="39"/>
  <c r="C10" i="50"/>
  <c r="D84" i="39"/>
  <c r="D84" i="42"/>
  <c r="C60" i="50"/>
  <c r="D34" i="39"/>
  <c r="C60" i="42"/>
  <c r="C35" i="49"/>
  <c r="C185" i="42"/>
  <c r="D109" i="39"/>
  <c r="D84" i="50"/>
  <c r="D59" i="42"/>
  <c r="C35" i="42"/>
  <c r="D134" i="49"/>
  <c r="D59" i="49"/>
  <c r="D34" i="50"/>
  <c r="D109" i="42"/>
  <c r="C85" i="42"/>
  <c r="C60" i="49"/>
  <c r="C35" i="39"/>
  <c r="C10" i="42"/>
  <c r="D109" i="49"/>
  <c r="C85" i="50"/>
  <c r="C185" i="50"/>
  <c r="D34" i="42"/>
  <c r="D33" i="42" s="1"/>
  <c r="D59" i="50"/>
  <c r="C110" i="49"/>
  <c r="L10" i="39"/>
  <c r="L10" i="49"/>
  <c r="L10" i="50"/>
  <c r="L10" i="42"/>
  <c r="I85" i="42" l="1"/>
  <c r="I35" i="42"/>
  <c r="I60" i="42"/>
  <c r="I10" i="42"/>
  <c r="I135" i="42"/>
  <c r="I110" i="42"/>
  <c r="I85" i="50"/>
  <c r="I60" i="50"/>
  <c r="I10" i="50"/>
  <c r="I35" i="50"/>
  <c r="I135" i="50"/>
  <c r="I110" i="50"/>
  <c r="I135" i="49"/>
  <c r="I60" i="49"/>
  <c r="I35" i="49"/>
  <c r="I110" i="49"/>
  <c r="I10" i="49"/>
  <c r="I85" i="49"/>
  <c r="I35" i="39"/>
  <c r="I10" i="39"/>
  <c r="I135" i="39"/>
  <c r="I85" i="39"/>
  <c r="I110" i="39"/>
  <c r="I60" i="39"/>
  <c r="A31" i="46"/>
  <c r="A53" i="46" s="1"/>
  <c r="A75" i="46" s="1"/>
  <c r="A97" i="46" s="1"/>
  <c r="A119" i="46" s="1"/>
  <c r="A10" i="46"/>
  <c r="D85" i="42"/>
  <c r="D10" i="50"/>
  <c r="D10" i="49"/>
  <c r="C111" i="49"/>
  <c r="C186" i="42"/>
  <c r="C11" i="49"/>
  <c r="C36" i="50"/>
  <c r="C161" i="50"/>
  <c r="D10" i="39"/>
  <c r="C111" i="42"/>
  <c r="C161" i="39"/>
  <c r="D35" i="49"/>
  <c r="D35" i="42"/>
  <c r="D35" i="50"/>
  <c r="D85" i="49"/>
  <c r="C186" i="50"/>
  <c r="C36" i="49"/>
  <c r="C136" i="39"/>
  <c r="C111" i="39"/>
  <c r="D10" i="42"/>
  <c r="C186" i="49"/>
  <c r="D60" i="42"/>
  <c r="D135" i="50"/>
  <c r="D35" i="39"/>
  <c r="C86" i="50"/>
  <c r="C61" i="42"/>
  <c r="C136" i="50"/>
  <c r="C11" i="42"/>
  <c r="C61" i="50"/>
  <c r="C86" i="39"/>
  <c r="D110" i="39"/>
  <c r="D135" i="42"/>
  <c r="D135" i="49"/>
  <c r="D135" i="39"/>
  <c r="C36" i="39"/>
  <c r="C11" i="50"/>
  <c r="C136" i="42"/>
  <c r="C61" i="39"/>
  <c r="D110" i="42"/>
  <c r="D60" i="49"/>
  <c r="D85" i="39"/>
  <c r="C61" i="49"/>
  <c r="C11" i="39"/>
  <c r="C86" i="42"/>
  <c r="C186" i="39"/>
  <c r="D60" i="50"/>
  <c r="D110" i="49"/>
  <c r="D60" i="39"/>
  <c r="C36" i="42"/>
  <c r="C136" i="49"/>
  <c r="C161" i="49"/>
  <c r="C111" i="50"/>
  <c r="D110" i="50"/>
  <c r="C161" i="42"/>
  <c r="D85" i="50"/>
  <c r="C86" i="49"/>
  <c r="L11" i="49"/>
  <c r="L11" i="42"/>
  <c r="L11" i="50"/>
  <c r="L11" i="39"/>
  <c r="I61" i="39" l="1"/>
  <c r="I11" i="39"/>
  <c r="I136" i="39"/>
  <c r="I86" i="39"/>
  <c r="I111" i="39"/>
  <c r="I36" i="39"/>
  <c r="I86" i="50"/>
  <c r="I61" i="50"/>
  <c r="I11" i="50"/>
  <c r="I36" i="50"/>
  <c r="I136" i="50"/>
  <c r="I111" i="50"/>
  <c r="I86" i="42"/>
  <c r="I36" i="42"/>
  <c r="I61" i="42"/>
  <c r="I11" i="42"/>
  <c r="I136" i="42"/>
  <c r="I111" i="42"/>
  <c r="I61" i="49"/>
  <c r="I136" i="49"/>
  <c r="I36" i="49"/>
  <c r="I86" i="49"/>
  <c r="I11" i="49"/>
  <c r="I111" i="49"/>
  <c r="A32" i="46"/>
  <c r="A54" i="46" s="1"/>
  <c r="A76" i="46" s="1"/>
  <c r="A98" i="46" s="1"/>
  <c r="A120" i="46" s="1"/>
  <c r="A11" i="46"/>
  <c r="D61" i="39"/>
  <c r="D11" i="50"/>
  <c r="D136" i="42"/>
  <c r="C87" i="49"/>
  <c r="C12" i="39"/>
  <c r="C12" i="42"/>
  <c r="C187" i="50"/>
  <c r="D11" i="39"/>
  <c r="D36" i="50"/>
  <c r="D111" i="42"/>
  <c r="C162" i="42"/>
  <c r="C62" i="49"/>
  <c r="C137" i="50"/>
  <c r="C162" i="39"/>
  <c r="C12" i="50"/>
  <c r="C62" i="50"/>
  <c r="C112" i="49"/>
  <c r="D136" i="39"/>
  <c r="D136" i="50"/>
  <c r="D61" i="49"/>
  <c r="C112" i="50"/>
  <c r="C62" i="39"/>
  <c r="C62" i="42"/>
  <c r="C112" i="42"/>
  <c r="C37" i="50"/>
  <c r="D111" i="49"/>
  <c r="D86" i="39"/>
  <c r="D111" i="50"/>
  <c r="D136" i="49"/>
  <c r="C162" i="49"/>
  <c r="C137" i="42"/>
  <c r="C87" i="50"/>
  <c r="C162" i="50"/>
  <c r="C187" i="49"/>
  <c r="C87" i="42"/>
  <c r="C37" i="49"/>
  <c r="D111" i="39"/>
  <c r="D86" i="42"/>
  <c r="D36" i="49"/>
  <c r="C137" i="49"/>
  <c r="D36" i="39"/>
  <c r="D36" i="42"/>
  <c r="D86" i="49"/>
  <c r="C37" i="42"/>
  <c r="C37" i="39"/>
  <c r="C112" i="39"/>
  <c r="C12" i="49"/>
  <c r="D61" i="50"/>
  <c r="D86" i="50"/>
  <c r="D61" i="42"/>
  <c r="D11" i="49"/>
  <c r="C187" i="39"/>
  <c r="C87" i="39"/>
  <c r="C137" i="39"/>
  <c r="C187" i="42"/>
  <c r="D11" i="42"/>
  <c r="L12" i="39"/>
  <c r="L12" i="42"/>
  <c r="L12" i="50"/>
  <c r="L12" i="49"/>
  <c r="I62" i="49" l="1"/>
  <c r="I137" i="49"/>
  <c r="I37" i="49"/>
  <c r="I112" i="49"/>
  <c r="I12" i="49"/>
  <c r="I87" i="49"/>
  <c r="I62" i="50"/>
  <c r="I137" i="50"/>
  <c r="I37" i="50"/>
  <c r="I87" i="50"/>
  <c r="I12" i="50"/>
  <c r="I112" i="50"/>
  <c r="I87" i="42"/>
  <c r="I12" i="42"/>
  <c r="I62" i="42"/>
  <c r="I37" i="42"/>
  <c r="I137" i="42"/>
  <c r="I112" i="42"/>
  <c r="I87" i="39"/>
  <c r="I37" i="39"/>
  <c r="I12" i="39"/>
  <c r="I137" i="39"/>
  <c r="I62" i="39"/>
  <c r="I112" i="39"/>
  <c r="A33" i="46"/>
  <c r="A55" i="46" s="1"/>
  <c r="A77" i="46" s="1"/>
  <c r="A99" i="46" s="1"/>
  <c r="A121" i="46" s="1"/>
  <c r="A12" i="46"/>
  <c r="D62" i="49"/>
  <c r="D37" i="50"/>
  <c r="D137" i="42"/>
  <c r="C188" i="42"/>
  <c r="C138" i="49"/>
  <c r="C38" i="50"/>
  <c r="C163" i="39"/>
  <c r="C188" i="50"/>
  <c r="C113" i="39"/>
  <c r="C38" i="39"/>
  <c r="C63" i="50"/>
  <c r="D37" i="42"/>
  <c r="D137" i="49"/>
  <c r="D87" i="50"/>
  <c r="D112" i="42"/>
  <c r="C138" i="39"/>
  <c r="C38" i="49"/>
  <c r="C113" i="42"/>
  <c r="C138" i="50"/>
  <c r="D137" i="50"/>
  <c r="D37" i="49"/>
  <c r="D12" i="50"/>
  <c r="D87" i="39"/>
  <c r="C88" i="39"/>
  <c r="C88" i="42"/>
  <c r="C63" i="42"/>
  <c r="C63" i="49"/>
  <c r="C113" i="49"/>
  <c r="D62" i="39"/>
  <c r="C13" i="39"/>
  <c r="C38" i="42"/>
  <c r="C13" i="50"/>
  <c r="D112" i="49"/>
  <c r="D112" i="50"/>
  <c r="D37" i="39"/>
  <c r="C188" i="39"/>
  <c r="C188" i="49"/>
  <c r="C63" i="39"/>
  <c r="C163" i="42"/>
  <c r="C13" i="49"/>
  <c r="C113" i="50"/>
  <c r="C88" i="50"/>
  <c r="D62" i="42"/>
  <c r="D112" i="39"/>
  <c r="D12" i="49"/>
  <c r="D87" i="42"/>
  <c r="D12" i="39"/>
  <c r="C163" i="50"/>
  <c r="D62" i="50"/>
  <c r="C138" i="42"/>
  <c r="C163" i="49"/>
  <c r="C88" i="49"/>
  <c r="D87" i="49"/>
  <c r="D12" i="42"/>
  <c r="D137" i="39"/>
  <c r="C13" i="42"/>
  <c r="A34" i="46" l="1"/>
  <c r="A56" i="46" s="1"/>
  <c r="A78" i="46" s="1"/>
  <c r="A100" i="46" s="1"/>
  <c r="A122" i="46" s="1"/>
  <c r="A13" i="46"/>
  <c r="L13" i="42"/>
  <c r="L13" i="50"/>
  <c r="L13" i="39"/>
  <c r="L13" i="49"/>
  <c r="I88" i="49" l="1"/>
  <c r="I63" i="49"/>
  <c r="I38" i="49"/>
  <c r="I13" i="49"/>
  <c r="I138" i="49"/>
  <c r="I113" i="49"/>
  <c r="I38" i="39"/>
  <c r="I13" i="39"/>
  <c r="I138" i="39"/>
  <c r="I88" i="39"/>
  <c r="I113" i="39"/>
  <c r="I63" i="39"/>
  <c r="I88" i="50"/>
  <c r="I38" i="50"/>
  <c r="I63" i="50"/>
  <c r="I13" i="50"/>
  <c r="I138" i="50"/>
  <c r="I113" i="50"/>
  <c r="I38" i="42"/>
  <c r="I13" i="42"/>
  <c r="I138" i="42"/>
  <c r="I88" i="42"/>
  <c r="I113" i="42"/>
  <c r="I63" i="42"/>
  <c r="A35" i="46"/>
  <c r="A57" i="46" s="1"/>
  <c r="A79" i="46" s="1"/>
  <c r="A101" i="46" s="1"/>
  <c r="A123" i="46" s="1"/>
  <c r="A14" i="46"/>
  <c r="D88" i="49"/>
  <c r="D138" i="39"/>
  <c r="D138" i="50"/>
  <c r="D38" i="50"/>
  <c r="D113" i="42"/>
  <c r="D63" i="49"/>
  <c r="D88" i="39"/>
  <c r="D113" i="50"/>
  <c r="D38" i="42"/>
  <c r="D13" i="49"/>
  <c r="D13" i="42"/>
  <c r="D88" i="42"/>
  <c r="D38" i="39"/>
  <c r="D13" i="50"/>
  <c r="D63" i="42"/>
  <c r="D38" i="49"/>
  <c r="D113" i="39"/>
  <c r="D63" i="39"/>
  <c r="D113" i="49"/>
  <c r="D63" i="50"/>
  <c r="D138" i="49"/>
  <c r="D88" i="50"/>
  <c r="D138" i="42"/>
  <c r="D13" i="39"/>
  <c r="A36" i="46" l="1"/>
  <c r="A58" i="46" s="1"/>
  <c r="A80" i="46" s="1"/>
  <c r="A102" i="46" s="1"/>
  <c r="A124" i="46" s="1"/>
  <c r="A15" i="46"/>
  <c r="A37" i="46" l="1"/>
  <c r="A59" i="46" s="1"/>
  <c r="A81" i="46" s="1"/>
  <c r="A103" i="46" s="1"/>
  <c r="A125" i="46" s="1"/>
  <c r="A16" i="46"/>
  <c r="A38" i="46" l="1"/>
  <c r="A60" i="46" s="1"/>
  <c r="A82" i="46" s="1"/>
  <c r="A104" i="46" s="1"/>
  <c r="A126" i="46" s="1"/>
  <c r="A17" i="46"/>
  <c r="A39" i="46" l="1"/>
  <c r="A61" i="46" s="1"/>
  <c r="A83" i="46" s="1"/>
  <c r="A105" i="46" s="1"/>
  <c r="A127" i="46" s="1"/>
  <c r="A18" i="46"/>
  <c r="A40" i="46" l="1"/>
  <c r="A62" i="46" s="1"/>
  <c r="A84" i="46" s="1"/>
  <c r="A106" i="46" s="1"/>
  <c r="A128" i="46" s="1"/>
  <c r="A19" i="46"/>
  <c r="A41" i="46" l="1"/>
  <c r="A63" i="46" s="1"/>
  <c r="A85" i="46" s="1"/>
  <c r="A107" i="46" s="1"/>
  <c r="A129" i="46" s="1"/>
  <c r="A20" i="46"/>
  <c r="A42" i="46" l="1"/>
  <c r="A64" i="46" s="1"/>
  <c r="A86" i="46" s="1"/>
  <c r="A108" i="46" s="1"/>
  <c r="A130" i="46" s="1"/>
  <c r="A21" i="46"/>
  <c r="A43" i="46" s="1"/>
  <c r="A65" i="46" s="1"/>
  <c r="A87" i="46" s="1"/>
  <c r="A109" i="46" s="1"/>
  <c r="A131" i="46" s="1"/>
</calcChain>
</file>

<file path=xl/sharedStrings.xml><?xml version="1.0" encoding="utf-8"?>
<sst xmlns="http://schemas.openxmlformats.org/spreadsheetml/2006/main" count="1741" uniqueCount="725">
  <si>
    <t>JY00S/N Index</t>
  </si>
  <si>
    <t>JY0001M Index</t>
  </si>
  <si>
    <t>JY0002M Index</t>
  </si>
  <si>
    <t>JY0003M Index</t>
  </si>
  <si>
    <t>JY0006M Index</t>
  </si>
  <si>
    <t>JY0012M Index</t>
  </si>
  <si>
    <t>EUSWEC Curncy</t>
  </si>
  <si>
    <t>Base</t>
  </si>
  <si>
    <t>Foreign</t>
  </si>
  <si>
    <t>Code</t>
  </si>
  <si>
    <t>Bloomberg ticker</t>
  </si>
  <si>
    <t>FX Live</t>
  </si>
  <si>
    <t>USD</t>
  </si>
  <si>
    <t>EUR</t>
  </si>
  <si>
    <t>GBP</t>
  </si>
  <si>
    <t>KRW</t>
  </si>
  <si>
    <t>NOK</t>
  </si>
  <si>
    <t>SEK</t>
  </si>
  <si>
    <t>TWD</t>
  </si>
  <si>
    <t>JPY</t>
  </si>
  <si>
    <t>NZD</t>
  </si>
  <si>
    <t>CAD</t>
  </si>
  <si>
    <t>AUD</t>
  </si>
  <si>
    <t>SAR</t>
  </si>
  <si>
    <t>Dates</t>
  </si>
  <si>
    <t>USSW10 Index</t>
  </si>
  <si>
    <t>EUSA10 Index</t>
  </si>
  <si>
    <t>BPSW10 Index</t>
  </si>
  <si>
    <t>cash</t>
  </si>
  <si>
    <t>Cash Rates</t>
  </si>
  <si>
    <t>future</t>
  </si>
  <si>
    <t>Future Rates</t>
  </si>
  <si>
    <t>swap</t>
  </si>
  <si>
    <t>Swap Rates</t>
  </si>
  <si>
    <t>Tickers</t>
  </si>
  <si>
    <t>US00o/n Index</t>
  </si>
  <si>
    <t>US0001m Index</t>
  </si>
  <si>
    <t>US0002m Index</t>
  </si>
  <si>
    <t>US0003m Index</t>
  </si>
  <si>
    <t>US0006m Index</t>
  </si>
  <si>
    <t>US0012m Index</t>
  </si>
  <si>
    <t>USSW2 Index</t>
  </si>
  <si>
    <t>USSW3 Index</t>
  </si>
  <si>
    <t>USSW4 Index</t>
  </si>
  <si>
    <t>USSW5 Index</t>
  </si>
  <si>
    <t>USSW6 Index</t>
  </si>
  <si>
    <t>USSW7 Index</t>
  </si>
  <si>
    <t>USSW8 Index</t>
  </si>
  <si>
    <t>USSW9 Index</t>
  </si>
  <si>
    <t>USSW11 Index</t>
  </si>
  <si>
    <t>USSW12 Index</t>
  </si>
  <si>
    <t>USSW13 Index</t>
  </si>
  <si>
    <t>USSW14 Index</t>
  </si>
  <si>
    <t>USSW15 Index</t>
  </si>
  <si>
    <t>USSW16 Index</t>
  </si>
  <si>
    <t>USSW17 Index</t>
  </si>
  <si>
    <t>USSW20 Index</t>
  </si>
  <si>
    <t>USSW25 Index</t>
  </si>
  <si>
    <t>USSW30 Index</t>
  </si>
  <si>
    <t>USSW40 Index</t>
  </si>
  <si>
    <t>Current Date</t>
  </si>
  <si>
    <t>Settlement Date</t>
  </si>
  <si>
    <t>Previous Date</t>
  </si>
  <si>
    <t>EUR001m Index</t>
  </si>
  <si>
    <t>EUR002m Index</t>
  </si>
  <si>
    <t>EUR003m Index</t>
  </si>
  <si>
    <t>EUR006m Index</t>
  </si>
  <si>
    <t>EUR012m Index</t>
  </si>
  <si>
    <t>EUSA2 Index</t>
  </si>
  <si>
    <t>EUSA3 Index</t>
  </si>
  <si>
    <t>EUSA5 Index</t>
  </si>
  <si>
    <t>EUSA7 Index</t>
  </si>
  <si>
    <t>EUSA4 Index</t>
  </si>
  <si>
    <t>EUSA6 Index</t>
  </si>
  <si>
    <t>EUSA8 Index</t>
  </si>
  <si>
    <t>EUSA9 Index</t>
  </si>
  <si>
    <t>EUSA11 Index</t>
  </si>
  <si>
    <t>EUSA12 Index</t>
  </si>
  <si>
    <t>EUSA13 Index</t>
  </si>
  <si>
    <t>EUSA14 Index</t>
  </si>
  <si>
    <t>EUSA15 Index</t>
  </si>
  <si>
    <t>EUSA16 Index</t>
  </si>
  <si>
    <t>EUSA17 Index</t>
  </si>
  <si>
    <t>EUSA20 Index</t>
  </si>
  <si>
    <t>EUSA25 Index</t>
  </si>
  <si>
    <t>EUSA30 Index</t>
  </si>
  <si>
    <t>EUSA40 Index</t>
  </si>
  <si>
    <t>JYSW2 Index</t>
  </si>
  <si>
    <t>JYSW3 Index</t>
  </si>
  <si>
    <t>JYSW4 Index</t>
  </si>
  <si>
    <t>JYSW5 Index</t>
  </si>
  <si>
    <t>JYSW6 Index</t>
  </si>
  <si>
    <t>JYSW7 Index</t>
  </si>
  <si>
    <t>JYSW8 Index</t>
  </si>
  <si>
    <t>JYSW9 Index</t>
  </si>
  <si>
    <t>JYSW10 Index</t>
  </si>
  <si>
    <t>JYSW11 Index</t>
  </si>
  <si>
    <t>JYSW12 Index</t>
  </si>
  <si>
    <t>JYSW13 Index</t>
  </si>
  <si>
    <t>JYSW14 Index</t>
  </si>
  <si>
    <t>JYSW15 Index</t>
  </si>
  <si>
    <t>JYSW16 Index</t>
  </si>
  <si>
    <t>JYSW17 Index</t>
  </si>
  <si>
    <t>JYSW20 Index</t>
  </si>
  <si>
    <t>JYSW25 Index</t>
  </si>
  <si>
    <t>JYSW30 Index</t>
  </si>
  <si>
    <t>JYSW40 Index</t>
  </si>
  <si>
    <t>Special Case for JPY</t>
  </si>
  <si>
    <t>1 Year Adjustment</t>
  </si>
  <si>
    <t>2 Year Adjustment</t>
  </si>
  <si>
    <t>BP00O/N Index</t>
  </si>
  <si>
    <t>BP0001M Index</t>
  </si>
  <si>
    <t>BP0002M Index</t>
  </si>
  <si>
    <t>BP0003M Index</t>
  </si>
  <si>
    <t>BP0006M Index</t>
  </si>
  <si>
    <t>BP0012M Index</t>
  </si>
  <si>
    <t>BPSW2 Index</t>
  </si>
  <si>
    <t>BPSW3 Index</t>
  </si>
  <si>
    <t>BPSW4 Index</t>
  </si>
  <si>
    <t>BPSW5 Index</t>
  </si>
  <si>
    <t>BPSW6 Index</t>
  </si>
  <si>
    <t>BPSW7 Index</t>
  </si>
  <si>
    <t>BPSW8 Index</t>
  </si>
  <si>
    <t>BPSW9 Index</t>
  </si>
  <si>
    <t>BPSW11 Index</t>
  </si>
  <si>
    <t>BPSW12 Index</t>
  </si>
  <si>
    <t>BPSW13 Index</t>
  </si>
  <si>
    <t>BPSW14 Index</t>
  </si>
  <si>
    <t>BPSW15 Index</t>
  </si>
  <si>
    <t>BPSW16 Index</t>
  </si>
  <si>
    <t>BPSW17 Index</t>
  </si>
  <si>
    <t>BPSW20 Index</t>
  </si>
  <si>
    <t>BPSW25 Index</t>
  </si>
  <si>
    <t>BPSW30 Index</t>
  </si>
  <si>
    <t>BPSW40 Index</t>
  </si>
  <si>
    <t>SF00S/N Index</t>
  </si>
  <si>
    <t>SF0001M Index</t>
  </si>
  <si>
    <t>SF0002M Index</t>
  </si>
  <si>
    <t>SF0003M Index</t>
  </si>
  <si>
    <t>SF0006M Index</t>
  </si>
  <si>
    <t>SF0012M Index</t>
  </si>
  <si>
    <t>SFSW2 Index</t>
  </si>
  <si>
    <t>SFSW3 Index</t>
  </si>
  <si>
    <t>SFSW4 Index</t>
  </si>
  <si>
    <t>SFSW5 Index</t>
  </si>
  <si>
    <t>SFSW6 Index</t>
  </si>
  <si>
    <t>SFSW7 Index</t>
  </si>
  <si>
    <t>SFSW8 Index</t>
  </si>
  <si>
    <t>SFSW9 Index</t>
  </si>
  <si>
    <t>SFSW10 Index</t>
  </si>
  <si>
    <t>SFSW11 Index</t>
  </si>
  <si>
    <t>SFSW12 Index</t>
  </si>
  <si>
    <t>SFSW13 Index</t>
  </si>
  <si>
    <t>SFSW14 Index</t>
  </si>
  <si>
    <t>SFSW15 Index</t>
  </si>
  <si>
    <t>SFSW20 Index</t>
  </si>
  <si>
    <t>SFSW25 Index</t>
  </si>
  <si>
    <t>SFSW30 Index</t>
  </si>
  <si>
    <t>SFSW40 Index</t>
  </si>
  <si>
    <t>CABROVER Index</t>
  </si>
  <si>
    <t>CDOR01 Index</t>
  </si>
  <si>
    <t>CDOR02 Index</t>
  </si>
  <si>
    <t>CDOR03 Index</t>
  </si>
  <si>
    <t>CDOR06 Index</t>
  </si>
  <si>
    <t>CDOR12 Index</t>
  </si>
  <si>
    <t>CDSW2 Index</t>
  </si>
  <si>
    <t>CDSW3 Index</t>
  </si>
  <si>
    <t>CDSW4 Index</t>
  </si>
  <si>
    <t>CDSW5 Index</t>
  </si>
  <si>
    <t>CDSW6 Index</t>
  </si>
  <si>
    <t>CDSW7 Index</t>
  </si>
  <si>
    <t>CDSW8 Index</t>
  </si>
  <si>
    <t>CDSW9 Index</t>
  </si>
  <si>
    <t>CDSW10 Index</t>
  </si>
  <si>
    <t>CDSW12 Index</t>
  </si>
  <si>
    <t>CDSW15 Index</t>
  </si>
  <si>
    <t>CDSW20 Index</t>
  </si>
  <si>
    <t>CDSW25 Index</t>
  </si>
  <si>
    <t>CDSW30 Index</t>
  </si>
  <si>
    <t>CDSW40 Index</t>
  </si>
  <si>
    <t>Currency</t>
  </si>
  <si>
    <t>BRL</t>
  </si>
  <si>
    <t>HASWDI1M Index</t>
  </si>
  <si>
    <t>HASWDI2M Index</t>
  </si>
  <si>
    <t>HASWDI3M Index</t>
  </si>
  <si>
    <t>HASWDI6M Index</t>
  </si>
  <si>
    <t>HASWDI9M Index</t>
  </si>
  <si>
    <t>HASWDI1Y Index</t>
  </si>
  <si>
    <t>HASWDI2Y Index</t>
  </si>
  <si>
    <t>HASWDI3Y Index</t>
  </si>
  <si>
    <t>HASWDI4Y Index</t>
  </si>
  <si>
    <t>HASWDI5Y Index</t>
  </si>
  <si>
    <t>HASWDI6Y Index</t>
  </si>
  <si>
    <t>HASWDI7Y Index</t>
  </si>
  <si>
    <t>HASWDI8Y Index</t>
  </si>
  <si>
    <t>HASWDI9Y Index</t>
  </si>
  <si>
    <t>HASWDI10Y Index</t>
  </si>
  <si>
    <t>NAN</t>
  </si>
  <si>
    <t>CHF</t>
  </si>
  <si>
    <t>B.S. Adjustments</t>
  </si>
  <si>
    <t>EUBS2 Index</t>
  </si>
  <si>
    <t>EUBS3 Index</t>
  </si>
  <si>
    <t>EUBS4 Index</t>
  </si>
  <si>
    <t>EUBS5 Index</t>
  </si>
  <si>
    <t>EUBS6 Index</t>
  </si>
  <si>
    <t>EUBS7 Index</t>
  </si>
  <si>
    <t>EUBS8 Index</t>
  </si>
  <si>
    <t>EUBS9 Index</t>
  </si>
  <si>
    <t>EUBS10 Index</t>
  </si>
  <si>
    <t>EUBS11 Index</t>
  </si>
  <si>
    <t>EUBS12 Index</t>
  </si>
  <si>
    <t>EUBS13 Index</t>
  </si>
  <si>
    <t>EUBS14 Index</t>
  </si>
  <si>
    <t>EUBS15 Index</t>
  </si>
  <si>
    <t>EUBS16 Index</t>
  </si>
  <si>
    <t>EUBS17 Index</t>
  </si>
  <si>
    <t>EUBS20 Index</t>
  </si>
  <si>
    <t>EUBS25 Index</t>
  </si>
  <si>
    <t>EUBS30 Index</t>
  </si>
  <si>
    <t>EUBS40 Index</t>
  </si>
  <si>
    <t>JYBS2 Index</t>
  </si>
  <si>
    <t>JYBS3 Index</t>
  </si>
  <si>
    <t>JYBS4 Index</t>
  </si>
  <si>
    <t>JYBS5 Index</t>
  </si>
  <si>
    <t>JYBS6 Index</t>
  </si>
  <si>
    <t>JYBS7 Index</t>
  </si>
  <si>
    <t>JYBS8 Index</t>
  </si>
  <si>
    <t>JYBS9 Index</t>
  </si>
  <si>
    <t>JYBS10 Index</t>
  </si>
  <si>
    <t>JYBS11 Index</t>
  </si>
  <si>
    <t>JYBS12 Index</t>
  </si>
  <si>
    <t>JYBS13 Index</t>
  </si>
  <si>
    <t>JYBS14 Index</t>
  </si>
  <si>
    <t>JYBS15 Index</t>
  </si>
  <si>
    <t>JYBS16 Index</t>
  </si>
  <si>
    <t>JYBS17 Index</t>
  </si>
  <si>
    <t>JYBS20 Index</t>
  </si>
  <si>
    <t>JYBS25 Index</t>
  </si>
  <si>
    <t>JYBS30 Index</t>
  </si>
  <si>
    <t>JYBS40 Index</t>
  </si>
  <si>
    <t>BPBS3 Index</t>
  </si>
  <si>
    <t>BPBS4 Index</t>
  </si>
  <si>
    <t>BPBS5 Index</t>
  </si>
  <si>
    <t>BPBS6 Index</t>
  </si>
  <si>
    <t>BPBS7 Index</t>
  </si>
  <si>
    <t>BPBS8 Index</t>
  </si>
  <si>
    <t>BPBS9 Index</t>
  </si>
  <si>
    <t>BPBS10 Index</t>
  </si>
  <si>
    <t>BPBS11 Index</t>
  </si>
  <si>
    <t>BPBS12 Index</t>
  </si>
  <si>
    <t>BPBS13 Index</t>
  </si>
  <si>
    <t>BPBS14 Index</t>
  </si>
  <si>
    <t>BPBS15 Index</t>
  </si>
  <si>
    <t>BPBS16 Index</t>
  </si>
  <si>
    <t>BPBS17 Index</t>
  </si>
  <si>
    <t>BPBS20 Index</t>
  </si>
  <si>
    <t>BPBS25 Index</t>
  </si>
  <si>
    <t>BPBS30 Index</t>
  </si>
  <si>
    <t>BPBS40 Index</t>
  </si>
  <si>
    <t>BPBS2 Index</t>
  </si>
  <si>
    <t>SFBS2 Index</t>
  </si>
  <si>
    <t>SFBS3 Index</t>
  </si>
  <si>
    <t>SFBS4 Index</t>
  </si>
  <si>
    <t>SFBS5 Index</t>
  </si>
  <si>
    <t>SFBS6 Index</t>
  </si>
  <si>
    <t>SFBS7 Index</t>
  </si>
  <si>
    <t>SFBS8 Index</t>
  </si>
  <si>
    <t>SFBS9 Index</t>
  </si>
  <si>
    <t>SFBS10 Index</t>
  </si>
  <si>
    <t>SFBS11 Index</t>
  </si>
  <si>
    <t>SFBS12 Index</t>
  </si>
  <si>
    <t>SFBS13 Index</t>
  </si>
  <si>
    <t>SFBS14 Index</t>
  </si>
  <si>
    <t>SFBS15 Index</t>
  </si>
  <si>
    <t>SFBS20 Index</t>
  </si>
  <si>
    <t>SFBS25 Index</t>
  </si>
  <si>
    <t>SFBS30 Index</t>
  </si>
  <si>
    <t>SFBS40 Index</t>
  </si>
  <si>
    <t>CDBS2 Index</t>
  </si>
  <si>
    <t>CDBS3 Index</t>
  </si>
  <si>
    <t>CDBS4 Index</t>
  </si>
  <si>
    <t>CDBS5 Index</t>
  </si>
  <si>
    <t>CDBS6 Index</t>
  </si>
  <si>
    <t>CDBS7 Index</t>
  </si>
  <si>
    <t>CDBS8 Index</t>
  </si>
  <si>
    <t>CDBS9 Index</t>
  </si>
  <si>
    <t>CDBS10 Index</t>
  </si>
  <si>
    <t>CDBS12 Index</t>
  </si>
  <si>
    <t>CDBS15 Index</t>
  </si>
  <si>
    <t>CDBS20 Index</t>
  </si>
  <si>
    <t>CDBS25 Index</t>
  </si>
  <si>
    <t>CDBS30 Index</t>
  </si>
  <si>
    <t>CDBS40 Index</t>
  </si>
  <si>
    <t>EUBS1 Index</t>
  </si>
  <si>
    <t>JYBS1 Index</t>
  </si>
  <si>
    <t>SFBS1 Index</t>
  </si>
  <si>
    <t>CDBS1 Index</t>
  </si>
  <si>
    <t>BPBS1 curncy</t>
  </si>
  <si>
    <t>Synthetic BRL curve inputs</t>
  </si>
  <si>
    <t>Delta 5-10 years</t>
  </si>
  <si>
    <t>BCN1W BGN Curncy</t>
  </si>
  <si>
    <t>BCN1M BGN Curncy</t>
  </si>
  <si>
    <t>BCN2M BGN Curncy</t>
  </si>
  <si>
    <t>BCN3M BGN Curncy</t>
  </si>
  <si>
    <t>BCN4M BGN Curncy</t>
  </si>
  <si>
    <t>BCN5M BGN Curncy</t>
  </si>
  <si>
    <t>BCN6M BGN Curncy</t>
  </si>
  <si>
    <t>BCN9M BGN Curncy</t>
  </si>
  <si>
    <t>BCN12M BGN Curncy</t>
  </si>
  <si>
    <t>BCN2Y BGN Curncy</t>
  </si>
  <si>
    <t>BCN3Y BGN Curncy</t>
  </si>
  <si>
    <t>BCN4Y BGN Curncy</t>
  </si>
  <si>
    <t>BCN5Y BGN Curncy</t>
  </si>
  <si>
    <t>BCN6Y BGN Curncy</t>
  </si>
  <si>
    <t>BCN7Y BGN Curncy</t>
  </si>
  <si>
    <t>BCN8Y BGN Curncy</t>
  </si>
  <si>
    <t>BCN9Y BGN Curncy</t>
  </si>
  <si>
    <t>BCN10Y BGN Curncy</t>
  </si>
  <si>
    <t>SEC ID</t>
  </si>
  <si>
    <t>Basis Points</t>
  </si>
  <si>
    <t>EUR1W BGN Curncy</t>
  </si>
  <si>
    <t>EUR1M BGN Curncy</t>
  </si>
  <si>
    <t>EUR2M BGN Curncy</t>
  </si>
  <si>
    <t>EUR3M BGN Curncy</t>
  </si>
  <si>
    <t>EUR4M BGN Curncy</t>
  </si>
  <si>
    <t>EUR5M BGN Curncy</t>
  </si>
  <si>
    <t>EUR6M BGN Curncy</t>
  </si>
  <si>
    <t>EUR9M BGN Curncy</t>
  </si>
  <si>
    <t>EUR12M BGN Curncy</t>
  </si>
  <si>
    <t>EUR2Y BGN Curncy</t>
  </si>
  <si>
    <t>EUR3Y BGN Curncy</t>
  </si>
  <si>
    <t>EUR4Y BGN Curncy</t>
  </si>
  <si>
    <t>EUR5Y BGN Curncy</t>
  </si>
  <si>
    <t>EUR6Y BGN Curncy</t>
  </si>
  <si>
    <t>EUR7Y BGN Curncy</t>
  </si>
  <si>
    <t>EUR8Y BGN Curncy</t>
  </si>
  <si>
    <t>EUR9Y BGN Curncy</t>
  </si>
  <si>
    <t>EUR10Y BGN Curncy</t>
  </si>
  <si>
    <t>GBP1W BGN Curncy</t>
  </si>
  <si>
    <t>GBP1M BGN Curncy</t>
  </si>
  <si>
    <t>GBP2M BGN Curncy</t>
  </si>
  <si>
    <t>GBP3M BGN Curncy</t>
  </si>
  <si>
    <t>GBP4M BGN Curncy</t>
  </si>
  <si>
    <t>GBP5M BGN Curncy</t>
  </si>
  <si>
    <t>GBP6M BGN Curncy</t>
  </si>
  <si>
    <t>GBP9M BGN Curncy</t>
  </si>
  <si>
    <t>GBP12M BGN Curncy</t>
  </si>
  <si>
    <t>GBP2Y BGN Curncy</t>
  </si>
  <si>
    <t>GBP3Y BGN Curncy</t>
  </si>
  <si>
    <t>GBP4Y BGN Curncy</t>
  </si>
  <si>
    <t>GBP5Y BGN Curncy</t>
  </si>
  <si>
    <t>GBP6Y BGN Curncy</t>
  </si>
  <si>
    <t>GBP7Y BGN Curncy</t>
  </si>
  <si>
    <t>GBP8Y BGN Curncy</t>
  </si>
  <si>
    <t>GBP9Y BGN Curncy</t>
  </si>
  <si>
    <t>GBP10Y BGN Curncy</t>
  </si>
  <si>
    <t>Forward Rates Adjustments Basis Points</t>
  </si>
  <si>
    <t>JPY1W BGN Curncy</t>
  </si>
  <si>
    <t>JPY1M BGN Curncy</t>
  </si>
  <si>
    <t>JPY2M BGN Curncy</t>
  </si>
  <si>
    <t>JPY3M BGN Curncy</t>
  </si>
  <si>
    <t>JPY4M BGN Curncy</t>
  </si>
  <si>
    <t>JPY5M BGN Curncy</t>
  </si>
  <si>
    <t>JPY6M BGN Curncy</t>
  </si>
  <si>
    <t>JPY9M BGN Curncy</t>
  </si>
  <si>
    <t>JPY12M BGN Curncy</t>
  </si>
  <si>
    <t>JPY2Y BGN Curncy</t>
  </si>
  <si>
    <t>JPY3Y BGN Curncy</t>
  </si>
  <si>
    <t>JPY4Y BGN Curncy</t>
  </si>
  <si>
    <t>JPY5Y BGN Curncy</t>
  </si>
  <si>
    <t>JPY6Y BGN Curncy</t>
  </si>
  <si>
    <t>JPY7Y BGN Curncy</t>
  </si>
  <si>
    <t>JPY8Y BGN Curncy</t>
  </si>
  <si>
    <t>JPY9Y BGN Curncy</t>
  </si>
  <si>
    <t>JPY10Y BGN Curncy</t>
  </si>
  <si>
    <t>CAD1W BGN Curncy</t>
  </si>
  <si>
    <t>CAD1M BGN Curncy</t>
  </si>
  <si>
    <t>CAD2M BGN Curncy</t>
  </si>
  <si>
    <t>CAD3M BGN Curncy</t>
  </si>
  <si>
    <t>CAD4M BGN Curncy</t>
  </si>
  <si>
    <t>CAD5M BGN Curncy</t>
  </si>
  <si>
    <t>CAD6M BGN Curncy</t>
  </si>
  <si>
    <t>CAD9M BGN Curncy</t>
  </si>
  <si>
    <t>CAD12M BGN Curncy</t>
  </si>
  <si>
    <t>CAD2Y BGN Curncy</t>
  </si>
  <si>
    <t>CAD3Y BGN Curncy</t>
  </si>
  <si>
    <t>CAD4Y BGN Curncy</t>
  </si>
  <si>
    <t>CAD5Y BGN Curncy</t>
  </si>
  <si>
    <t>CAD6Y BGN Curncy</t>
  </si>
  <si>
    <t>CAD7Y BGN Curncy</t>
  </si>
  <si>
    <t>CAD8Y BGN Curncy</t>
  </si>
  <si>
    <t>CAD9Y BGN Curncy</t>
  </si>
  <si>
    <t>CAD10Y BGN Curncy</t>
  </si>
  <si>
    <t>CHF1W BGN Curncy</t>
  </si>
  <si>
    <t>CHF1M BGN Curncy</t>
  </si>
  <si>
    <t>CHF2M BGN Curncy</t>
  </si>
  <si>
    <t>CHF3M BGN Curncy</t>
  </si>
  <si>
    <t>CHF4M BGN Curncy</t>
  </si>
  <si>
    <t>CHF5M BGN Curncy</t>
  </si>
  <si>
    <t>CHF6M BGN Curncy</t>
  </si>
  <si>
    <t>CHF9M BGN Curncy</t>
  </si>
  <si>
    <t>CHF12M BGN Curncy</t>
  </si>
  <si>
    <t>CHF2Y BGN Curncy</t>
  </si>
  <si>
    <t>CHF3Y BGN Curncy</t>
  </si>
  <si>
    <t>CHF4Y BGN Curncy</t>
  </si>
  <si>
    <t>CHF5Y BGN Curncy</t>
  </si>
  <si>
    <t>CHF6Y BGN Curncy</t>
  </si>
  <si>
    <t>CHF7Y BGN Curncy</t>
  </si>
  <si>
    <t>CHF8Y BGN Curncy</t>
  </si>
  <si>
    <t>CHF9Y BGN Curncy</t>
  </si>
  <si>
    <t>CHF10Y BGN Curncy</t>
  </si>
  <si>
    <t xml:space="preserve">SWAP Pricing Engine   </t>
  </si>
  <si>
    <t>Value Date</t>
  </si>
  <si>
    <t>General Settings</t>
  </si>
  <si>
    <t>Money Market Date</t>
  </si>
  <si>
    <t>Future Market Date</t>
  </si>
  <si>
    <t>Swap Market Date</t>
  </si>
  <si>
    <t>COP</t>
  </si>
  <si>
    <t>CORRRMIN Index</t>
  </si>
  <si>
    <t>CLSWIB2 Index</t>
  </si>
  <si>
    <t>CLSWIB3 Index</t>
  </si>
  <si>
    <t>CLSWIB4 Index</t>
  </si>
  <si>
    <t>CLSWIB5 Index</t>
  </si>
  <si>
    <t>CLSWIB6 Index</t>
  </si>
  <si>
    <t>CLSWIB7 Index</t>
  </si>
  <si>
    <t>CLSWIB8 Index</t>
  </si>
  <si>
    <t>CLSWIB9 Index</t>
  </si>
  <si>
    <t>CLSWIB10 Index</t>
  </si>
  <si>
    <t>CLSWIB11 Index</t>
  </si>
  <si>
    <t>CLSWIB12 Index</t>
  </si>
  <si>
    <t>CLSWIB13 Index</t>
  </si>
  <si>
    <t>CLSWIB14 Index</t>
  </si>
  <si>
    <t>CLSWIB15 Index</t>
  </si>
  <si>
    <t>CLSWIB16 Index</t>
  </si>
  <si>
    <t>CLSWIB17 Index</t>
  </si>
  <si>
    <t>CLSWIB20 Index</t>
  </si>
  <si>
    <t>CLSWIBA Index</t>
  </si>
  <si>
    <t>CLSWIBC Index</t>
  </si>
  <si>
    <t>CLSWIBI Index</t>
  </si>
  <si>
    <t>CLSWIB1 Index</t>
  </si>
  <si>
    <t>CLSWIB1F Index</t>
  </si>
  <si>
    <t xml:space="preserve">Discount Factors Generation   </t>
  </si>
  <si>
    <t>Discount Factors</t>
  </si>
  <si>
    <t>Date</t>
  </si>
  <si>
    <t>USD LIBOR</t>
  </si>
  <si>
    <t>USD FX</t>
  </si>
  <si>
    <t>EUR LIBOR</t>
  </si>
  <si>
    <t>EUR FX</t>
  </si>
  <si>
    <t>BRL LIBOR</t>
  </si>
  <si>
    <t>BRL FX</t>
  </si>
  <si>
    <t>COP LIBOR</t>
  </si>
  <si>
    <t>COP FX</t>
  </si>
  <si>
    <t>JPY LIBOR</t>
  </si>
  <si>
    <t>JPY FX</t>
  </si>
  <si>
    <t>GBP LIBOR</t>
  </si>
  <si>
    <t>GBP FX</t>
  </si>
  <si>
    <t>CHF LIBOR</t>
  </si>
  <si>
    <t>CHF FX</t>
  </si>
  <si>
    <t>CAD LIBOR</t>
  </si>
  <si>
    <t>CAD FX</t>
  </si>
  <si>
    <t>3PM</t>
  </si>
  <si>
    <t>EOD</t>
  </si>
  <si>
    <t>Diff.(%)</t>
  </si>
  <si>
    <t>Swap Date</t>
  </si>
  <si>
    <t>Snap Time</t>
  </si>
  <si>
    <t>Snap End</t>
  </si>
  <si>
    <t>EUSA2 CMPN Curncy</t>
  </si>
  <si>
    <t>EUSA3 CMPN Curncy</t>
  </si>
  <si>
    <t>EUSA4 CMPN Curncy</t>
  </si>
  <si>
    <t>EUSA5 CMPN Curncy</t>
  </si>
  <si>
    <t>EUSA6 CMPN Curncy</t>
  </si>
  <si>
    <t>EUSA7 CMPN Curncy</t>
  </si>
  <si>
    <t>EUSA8 CMPN Curncy</t>
  </si>
  <si>
    <t>EUSA9 CMPN Curncy</t>
  </si>
  <si>
    <t>EUSA10 CMPN Curncy</t>
  </si>
  <si>
    <t>EUSA11 CMPN Curncy</t>
  </si>
  <si>
    <t>EUSA12 CMPN Curncy</t>
  </si>
  <si>
    <t>EUSA13 CMPN Curncy</t>
  </si>
  <si>
    <t>EUSA14 CMPN Curncy</t>
  </si>
  <si>
    <t>EUSA15 CMPN Curncy</t>
  </si>
  <si>
    <t>EUSA16 CMPN Curncy</t>
  </si>
  <si>
    <t>EUSA17 CMPN Curncy</t>
  </si>
  <si>
    <t>EUSA20 CMPN Curncy</t>
  </si>
  <si>
    <t>EUSA25 CMPN Curncy</t>
  </si>
  <si>
    <t>EUSA30 CMPN Curncy</t>
  </si>
  <si>
    <t>EUSA40 CMPN Curncy</t>
  </si>
  <si>
    <t>USSW2 CMPN Curncy</t>
  </si>
  <si>
    <t>USSW3 CMPN Curncy</t>
  </si>
  <si>
    <t>USSW4 CMPN Curncy</t>
  </si>
  <si>
    <t>USSW5 CMPN Curncy</t>
  </si>
  <si>
    <t>USSW6 CMPN Curncy</t>
  </si>
  <si>
    <t>USSW7 CMPN Curncy</t>
  </si>
  <si>
    <t>USSW8 CMPN Curncy</t>
  </si>
  <si>
    <t>USSW9 CMPN Curncy</t>
  </si>
  <si>
    <t>USSW10 CMPN Curncy</t>
  </si>
  <si>
    <t>USSW11 CMPN Curncy</t>
  </si>
  <si>
    <t>USSW12 CMPN Curncy</t>
  </si>
  <si>
    <t>USSW13 CMPN Curncy</t>
  </si>
  <si>
    <t>USSW14 CMPN Curncy</t>
  </si>
  <si>
    <t>USSW15 CMPN Curncy</t>
  </si>
  <si>
    <t>USSW16 CMPN Curncy</t>
  </si>
  <si>
    <t>USSW17 CMPN Curncy</t>
  </si>
  <si>
    <t>USSW20 CMPN Curncy</t>
  </si>
  <si>
    <t>USSW25 CMPN Curncy</t>
  </si>
  <si>
    <t>USSW30 CMPN Curncy</t>
  </si>
  <si>
    <t>USSW40 CMPN Curncy</t>
  </si>
  <si>
    <t>JYSW2 CMPN Curncy</t>
  </si>
  <si>
    <t>JYSW3 CMPN Curncy</t>
  </si>
  <si>
    <t>JYSW4 CMPN Curncy</t>
  </si>
  <si>
    <t>JYSW5 CMPN Curncy</t>
  </si>
  <si>
    <t>JYSW6 CMPN Curncy</t>
  </si>
  <si>
    <t>JYSW7 CMPN Curncy</t>
  </si>
  <si>
    <t>JYSW8 CMPN Curncy</t>
  </si>
  <si>
    <t>JYSW9 CMPN Curncy</t>
  </si>
  <si>
    <t>JYSW10 CMPN Curncy</t>
  </si>
  <si>
    <t>JYSW11 CMPN Curncy</t>
  </si>
  <si>
    <t>JYSW12 CMPN Curncy</t>
  </si>
  <si>
    <t>JYSW13 CMPN Curncy</t>
  </si>
  <si>
    <t>JYSW14 CMPN Curncy</t>
  </si>
  <si>
    <t>JYSW15 CMPN Curncy</t>
  </si>
  <si>
    <t>JYSW16 CMPN Curncy</t>
  </si>
  <si>
    <t>JYSW17 CMPN Curncy</t>
  </si>
  <si>
    <t>JYSW20 CMPN Curncy</t>
  </si>
  <si>
    <t>JYSW25 CMPN Curncy</t>
  </si>
  <si>
    <t>JYSW30 CMPN Curncy</t>
  </si>
  <si>
    <t>JYSW40 CMPN Curncy</t>
  </si>
  <si>
    <t>BPSW2 CMPN Curncy</t>
  </si>
  <si>
    <t>BPSW3 CMPN Curncy</t>
  </si>
  <si>
    <t>BPSW4 CMPN Curncy</t>
  </si>
  <si>
    <t>BPSW5 CMPN Curncy</t>
  </si>
  <si>
    <t>BPSW6 CMPN Curncy</t>
  </si>
  <si>
    <t>BPSW7 CMPN Curncy</t>
  </si>
  <si>
    <t>BPSW8 CMPN Curncy</t>
  </si>
  <si>
    <t>BPSW9 CMPN Curncy</t>
  </si>
  <si>
    <t>BPSW10 CMPN Curncy</t>
  </si>
  <si>
    <t>BPSW11 CMPN Curncy</t>
  </si>
  <si>
    <t>BPSW12 CMPN Curncy</t>
  </si>
  <si>
    <t>BPSW13 CMPN Curncy</t>
  </si>
  <si>
    <t>BPSW14 CMPN Curncy</t>
  </si>
  <si>
    <t>BPSW15 CMPN Curncy</t>
  </si>
  <si>
    <t>BPSW16 CMPN Curncy</t>
  </si>
  <si>
    <t>BPSW17 CMPN Curncy</t>
  </si>
  <si>
    <t>BPSW20 CMPN Curncy</t>
  </si>
  <si>
    <t>BPSW25 CMPN Curncy</t>
  </si>
  <si>
    <t>BPSW30 CMPN Curncy</t>
  </si>
  <si>
    <t>BPSW40 CMPN Curncy</t>
  </si>
  <si>
    <t>SFSW2 CMPN Curncy</t>
  </si>
  <si>
    <t>SFSW3 CMPN Curncy</t>
  </si>
  <si>
    <t>SFSW4 CMPN Curncy</t>
  </si>
  <si>
    <t>SFSW5 CMPN Curncy</t>
  </si>
  <si>
    <t>SFSW6 CMPN Curncy</t>
  </si>
  <si>
    <t>SFSW7 CMPN Curncy</t>
  </si>
  <si>
    <t>SFSW8 CMPN Curncy</t>
  </si>
  <si>
    <t>SFSW9 CMPN Curncy</t>
  </si>
  <si>
    <t>SFSW10 CMPN Curncy</t>
  </si>
  <si>
    <t>SFSW11 CMPN Curncy</t>
  </si>
  <si>
    <t>SFSW12 CMPN Curncy</t>
  </si>
  <si>
    <t>SFSW13 CMPN Curncy</t>
  </si>
  <si>
    <t>SFSW14 CMPN Curncy</t>
  </si>
  <si>
    <t>SFSW15 CMPN Curncy</t>
  </si>
  <si>
    <t>SFSW20 CMPN Curncy</t>
  </si>
  <si>
    <t>SFSW25 CMPN Curncy</t>
  </si>
  <si>
    <t>SFSW30 CMPN Curncy</t>
  </si>
  <si>
    <t>SFSW40 CMPN Curncy</t>
  </si>
  <si>
    <t>CDSW2 CMPN Curncy</t>
  </si>
  <si>
    <t>CDSW3 CMPN Curncy</t>
  </si>
  <si>
    <t>CDSW4 CMPN Curncy</t>
  </si>
  <si>
    <t>CDSW5 CMPN Curncy</t>
  </si>
  <si>
    <t>CDSW6 CMPN Curncy</t>
  </si>
  <si>
    <t>CDSW7 CMPN Curncy</t>
  </si>
  <si>
    <t>CDSW8 CMPN Curncy</t>
  </si>
  <si>
    <t>CDSW9 CMPN Curncy</t>
  </si>
  <si>
    <t>CDSW10 CMPN Curncy</t>
  </si>
  <si>
    <t>CDSW12 CMPN Curncy</t>
  </si>
  <si>
    <t>CDSW15 CMPN Curncy</t>
  </si>
  <si>
    <t>CDSW20 CMPN Curncy</t>
  </si>
  <si>
    <t>CDSW25 CMPN Curncy</t>
  </si>
  <si>
    <t>CDSW30 CMPN Curncy</t>
  </si>
  <si>
    <t>CDSW40 CMPN Curncy</t>
  </si>
  <si>
    <t>HASWDI1Y CMPN Curncy</t>
  </si>
  <si>
    <t>HASWDI2Y CMPN Curncy</t>
  </si>
  <si>
    <t>HASWDI3Y CMPN Curncy</t>
  </si>
  <si>
    <t>HASWDI4Y CMPN Curncy</t>
  </si>
  <si>
    <t>HASWDI5Y CMPN Curncy</t>
  </si>
  <si>
    <t>HASWDI6Y CMPN Curncy</t>
  </si>
  <si>
    <t>HASWDI7Y CMPN Curncy</t>
  </si>
  <si>
    <t>HASWDI8Y CMPN Curncy</t>
  </si>
  <si>
    <t>HASWDI9Y CMPN Curncy</t>
  </si>
  <si>
    <t>HASWDI10Y CMPN Curncy</t>
  </si>
  <si>
    <t>CLSWIB2 CMPN Index</t>
  </si>
  <si>
    <t>CLSWIB3 CMPN Index</t>
  </si>
  <si>
    <t>CLSWIB4 CMPN Index</t>
  </si>
  <si>
    <t>CLSWIB5 CMPN Index</t>
  </si>
  <si>
    <t>CLSWIB6 CMPN Index</t>
  </si>
  <si>
    <t>CLSWIB7 CMPN Index</t>
  </si>
  <si>
    <t>CLSWIB8 CMPN Index</t>
  </si>
  <si>
    <t>CLSWIB9 CMPN Index</t>
  </si>
  <si>
    <t>CLSWIB10 CMPN Index</t>
  </si>
  <si>
    <t>CLSWIB11 CMPN Index</t>
  </si>
  <si>
    <t>CLSWIB12 CMPN Index</t>
  </si>
  <si>
    <t>CLSWIB13 CMPN Index</t>
  </si>
  <si>
    <t>CLSWIB14 CMPN Index</t>
  </si>
  <si>
    <t>CLSWIB15 CMPN Index</t>
  </si>
  <si>
    <t>CLSWIB16 CMPN Index</t>
  </si>
  <si>
    <t>CLSWIB17 CMPN Index</t>
  </si>
  <si>
    <t>CLSWIB20 CMPN Index</t>
  </si>
  <si>
    <t xml:space="preserve"> </t>
  </si>
  <si>
    <t>Curve Frequency (M)</t>
  </si>
  <si>
    <r>
      <rPr>
        <sz val="20"/>
        <color theme="1"/>
        <rFont val="Calibri"/>
        <family val="2"/>
        <scheme val="minor"/>
      </rPr>
      <t>ADVOCATE CAPITAL MANAGEMENT, LLC</t>
    </r>
  </si>
  <si>
    <t>Month End Reset (Y/N)</t>
  </si>
  <si>
    <t>Y</t>
  </si>
  <si>
    <t>Margin</t>
  </si>
  <si>
    <t>USD Normal C/F</t>
  </si>
  <si>
    <t>Normal Vol</t>
  </si>
  <si>
    <t>Make sure fillin NAN for no values</t>
  </si>
  <si>
    <t>USONX</t>
  </si>
  <si>
    <t>USONY</t>
  </si>
  <si>
    <t>USONZ</t>
  </si>
  <si>
    <t>USONA</t>
  </si>
  <si>
    <t>USONB</t>
  </si>
  <si>
    <t>USONC</t>
  </si>
  <si>
    <t>USOND</t>
  </si>
  <si>
    <t>USONE</t>
  </si>
  <si>
    <t>USONH</t>
  </si>
  <si>
    <t>USONI</t>
  </si>
  <si>
    <t>USONJ</t>
  </si>
  <si>
    <t>USONK</t>
  </si>
  <si>
    <t>Tenor</t>
  </si>
  <si>
    <t>Nan</t>
  </si>
  <si>
    <t>EUR Normal C/F</t>
  </si>
  <si>
    <t>EU0Z05</t>
  </si>
  <si>
    <t>EU0Z25</t>
  </si>
  <si>
    <t>EU0Z13</t>
  </si>
  <si>
    <t>EUNZO</t>
  </si>
  <si>
    <t>EUNZA</t>
  </si>
  <si>
    <t>EUNZ05</t>
  </si>
  <si>
    <t>EUNZ10</t>
  </si>
  <si>
    <t>EUNZ15</t>
  </si>
  <si>
    <t>EUNZ20</t>
  </si>
  <si>
    <t>EUNZ30</t>
  </si>
  <si>
    <t>EUNZ50</t>
  </si>
  <si>
    <t>USD Normal SWAP</t>
  </si>
  <si>
    <t>ATM Normal VOL</t>
  </si>
  <si>
    <t>USSN</t>
  </si>
  <si>
    <t>Start/Tenor</t>
  </si>
  <si>
    <t>EUR Normal SWAP</t>
  </si>
  <si>
    <t>EUNE</t>
  </si>
  <si>
    <t>Manual Inputs BVOL</t>
  </si>
  <si>
    <t>EOF</t>
  </si>
  <si>
    <t>H</t>
  </si>
  <si>
    <t>ED</t>
  </si>
  <si>
    <t>ER</t>
  </si>
  <si>
    <t>YE</t>
  </si>
  <si>
    <t xml:space="preserve">L </t>
  </si>
  <si>
    <t>ES</t>
  </si>
  <si>
    <t>BA</t>
  </si>
  <si>
    <t>Comdty</t>
  </si>
  <si>
    <t>Notional</t>
  </si>
  <si>
    <t>Source (Live/Hist.)</t>
  </si>
  <si>
    <t>Start Date</t>
  </si>
  <si>
    <t>Pay Frequency</t>
  </si>
  <si>
    <t>Accrual</t>
  </si>
  <si>
    <t>3M</t>
  </si>
  <si>
    <t>6M</t>
  </si>
  <si>
    <t>Pay</t>
  </si>
  <si>
    <t>12M</t>
  </si>
  <si>
    <t>Rate Index</t>
  </si>
  <si>
    <t>Results</t>
  </si>
  <si>
    <t>NPV</t>
  </si>
  <si>
    <t>PV01</t>
  </si>
  <si>
    <t>Reset Frequency</t>
  </si>
  <si>
    <t>Tenor (Y)</t>
  </si>
  <si>
    <t>Day Count</t>
  </si>
  <si>
    <t>30/360</t>
  </si>
  <si>
    <t>DC</t>
  </si>
  <si>
    <t>ACT/360</t>
  </si>
  <si>
    <t>ACT/365</t>
  </si>
  <si>
    <t>Basic Forward Start Swap</t>
  </si>
  <si>
    <t>KRD1</t>
  </si>
  <si>
    <t>KRD3</t>
  </si>
  <si>
    <t>KRD5</t>
  </si>
  <si>
    <t>KRD7</t>
  </si>
  <si>
    <t>KRD10</t>
  </si>
  <si>
    <t>KRD15</t>
  </si>
  <si>
    <t>KRD2</t>
  </si>
  <si>
    <t>KRD20-40</t>
  </si>
  <si>
    <t>Swap rate with NPV</t>
  </si>
  <si>
    <t>CVA (by cds)</t>
  </si>
  <si>
    <t>USDEUR</t>
  </si>
  <si>
    <t>USDGBP</t>
  </si>
  <si>
    <t>USDJPY</t>
  </si>
  <si>
    <t>USDCAD</t>
  </si>
  <si>
    <t>USDBRL</t>
  </si>
  <si>
    <t>End Date</t>
  </si>
  <si>
    <t xml:space="preserve">BASIC Pricing Engine   </t>
  </si>
  <si>
    <t>Forward Start FX</t>
  </si>
  <si>
    <t>Forward Start Option</t>
  </si>
  <si>
    <t>Settings</t>
  </si>
  <si>
    <t>USDAUD</t>
  </si>
  <si>
    <t>USDCHF</t>
  </si>
  <si>
    <t>USDCOP</t>
  </si>
  <si>
    <t>USDTWD</t>
  </si>
  <si>
    <t>USDSEK</t>
  </si>
  <si>
    <t>Type</t>
  </si>
  <si>
    <t>OPT_TYPE</t>
  </si>
  <si>
    <t>Cap</t>
  </si>
  <si>
    <t>Floor</t>
  </si>
  <si>
    <t>Swaption</t>
  </si>
  <si>
    <t>Delta</t>
  </si>
  <si>
    <t>Gamma</t>
  </si>
  <si>
    <t>Vega</t>
  </si>
  <si>
    <t>Rho</t>
  </si>
  <si>
    <t>Theta</t>
  </si>
  <si>
    <t>Strike</t>
  </si>
  <si>
    <t>Settle Date</t>
  </si>
  <si>
    <t>Maturity</t>
  </si>
  <si>
    <t>Rates Market</t>
  </si>
  <si>
    <t>FX Market</t>
  </si>
  <si>
    <t>Rec</t>
  </si>
  <si>
    <t>Curve Date</t>
  </si>
  <si>
    <r>
      <rPr>
        <sz val="20"/>
        <color theme="1"/>
        <rFont val="Times New Roman"/>
        <family val="1"/>
      </rPr>
      <t xml:space="preserve">ADVOCATE </t>
    </r>
    <r>
      <rPr>
        <sz val="11"/>
        <color theme="1"/>
        <rFont val="Times New Roman"/>
        <family val="1"/>
      </rPr>
      <t>CAPITAL MANAGEMENT, LLC</t>
    </r>
  </si>
  <si>
    <t>Manually Check on Vol Surface</t>
  </si>
  <si>
    <t>NPV(rec ccy)</t>
  </si>
  <si>
    <t>Term(Y)</t>
  </si>
  <si>
    <t>Rates Market Quick Look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</si>
</sst>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3" formatCode="_(* #,##0.00_);_(* \(#,##0.00\);_(* &quot;-&quot;??_);_(@_)"/>
    <numFmt numFmtId="164" formatCode="yyyy\-mm\-dd;@"/>
    <numFmt numFmtId="165" formatCode="_(* #,##0_);_(* \(#,##0\);_(* &quot;-&quot;??_);_(@_)"/>
    <numFmt numFmtId="166" formatCode="_(* #,##0.0000_);_(* \(#,##0.0000\);_(* &quot;-&quot;??_);_(@_)"/>
    <numFmt numFmtId="167" formatCode="m/d/yy;@"/>
    <numFmt numFmtId="168" formatCode="mm/dd/yy;@"/>
    <numFmt numFmtId="169" formatCode="0.0000%"/>
    <numFmt numFmtId="170" formatCode="0.0000"/>
    <numFmt numFmtId="171" formatCode="0.000"/>
    <numFmt numFmtId="172" formatCode="#,##0.000"/>
  </numFmts>
  <fonts count="3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rgb="FF008000"/>
      <name val="Calibri"/>
      <family val="2"/>
    </font>
    <font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0"/>
      <color rgb="FF002060"/>
      <name val="Arial"/>
      <family val="2"/>
    </font>
    <font>
      <sz val="11"/>
      <color rgb="FFFF0000"/>
      <name val="Calibri"/>
      <family val="2"/>
      <scheme val="minor"/>
    </font>
    <font>
      <sz val="18"/>
      <color theme="0"/>
      <name val="Times New Roman"/>
      <family val="1"/>
    </font>
    <font>
      <sz val="20"/>
      <color theme="0"/>
      <name val="Times New Roman"/>
      <family val="1"/>
    </font>
    <font>
      <sz val="14"/>
      <color rgb="FF002060"/>
      <name val="Times New Roman"/>
      <family val="1"/>
    </font>
    <font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22"/>
      <color theme="4" tint="-0.249977111117893"/>
      <name val="Times New Roman"/>
      <family val="1"/>
    </font>
    <font>
      <b/>
      <sz val="12"/>
      <color theme="4" tint="-0.249977111117893"/>
      <name val="Times New Roman"/>
      <family val="1"/>
    </font>
    <font>
      <b/>
      <sz val="10"/>
      <color theme="4" tint="-0.249977111117893"/>
      <name val="Times New Roman"/>
      <family val="1"/>
    </font>
    <font>
      <sz val="18"/>
      <name val="Times New Roman"/>
      <family val="1"/>
    </font>
    <font>
      <b/>
      <sz val="12"/>
      <name val="Times New Roman"/>
      <family val="1"/>
    </font>
    <font>
      <b/>
      <sz val="12"/>
      <color theme="1"/>
      <name val="Times New Roman"/>
      <family val="1"/>
    </font>
    <font>
      <b/>
      <sz val="11"/>
      <color theme="4" tint="-0.249977111117893"/>
      <name val="Times New Roman"/>
      <family val="1"/>
    </font>
    <font>
      <sz val="11"/>
      <name val="Times New Roman"/>
      <family val="1"/>
    </font>
    <font>
      <b/>
      <sz val="16"/>
      <color rgb="FF000000"/>
      <name val="Times New Roman"/>
      <family val="1"/>
    </font>
    <font>
      <b/>
      <sz val="18"/>
      <name val="Times New Roman"/>
      <family val="1"/>
    </font>
    <font>
      <sz val="16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-0.499984740745262"/>
        <bgColor indexed="64"/>
      </patternFill>
    </fill>
  </fills>
  <borders count="20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dotted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hair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/>
      <top/>
      <bottom style="thick">
        <color auto="1"/>
      </bottom>
      <diagonal/>
    </border>
  </borders>
  <cellStyleXfs count="4">
    <xf numFmtId="0" fontId="0" fillId="0" borderId="0"/>
    <xf numFmtId="0" fontId="1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27">
    <xf numFmtId="0" fontId="0" fillId="0" borderId="0" xfId="0"/>
    <xf numFmtId="167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0" fillId="3" borderId="0" xfId="0" applyFill="1" applyAlignment="1">
      <alignment vertical="center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5" fillId="6" borderId="0" xfId="0" applyFont="1" applyFill="1"/>
    <xf numFmtId="0" fontId="0" fillId="6" borderId="0" xfId="0" applyFill="1"/>
    <xf numFmtId="168" fontId="0" fillId="2" borderId="0" xfId="0" applyNumberFormat="1" applyFill="1"/>
    <xf numFmtId="167" fontId="0" fillId="2" borderId="0" xfId="0" applyNumberFormat="1" applyFill="1"/>
    <xf numFmtId="0" fontId="0" fillId="2" borderId="0" xfId="0" applyFill="1"/>
    <xf numFmtId="0" fontId="2" fillId="0" borderId="0" xfId="0" applyFont="1" applyAlignment="1">
      <alignment horizontal="center" vertical="center"/>
    </xf>
    <xf numFmtId="165" fontId="2" fillId="0" borderId="0" xfId="2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6" fontId="4" fillId="0" borderId="0" xfId="2" applyNumberFormat="1" applyFont="1" applyAlignment="1">
      <alignment horizontal="center" vertical="center"/>
    </xf>
    <xf numFmtId="0" fontId="0" fillId="8" borderId="0" xfId="0" applyFill="1"/>
    <xf numFmtId="0" fontId="3" fillId="2" borderId="0" xfId="0" applyFont="1" applyFill="1"/>
    <xf numFmtId="0" fontId="7" fillId="0" borderId="0" xfId="0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2" fillId="11" borderId="0" xfId="0" applyFont="1" applyFill="1" applyAlignment="1">
      <alignment horizontal="center" vertical="center"/>
    </xf>
    <xf numFmtId="14" fontId="13" fillId="2" borderId="0" xfId="0" applyNumberFormat="1" applyFont="1" applyFill="1" applyAlignment="1">
      <alignment horizontal="center"/>
    </xf>
    <xf numFmtId="22" fontId="0" fillId="0" borderId="0" xfId="0" applyNumberFormat="1"/>
    <xf numFmtId="2" fontId="0" fillId="0" borderId="0" xfId="0" applyNumberFormat="1"/>
    <xf numFmtId="167" fontId="7" fillId="0" borderId="0" xfId="0" applyNumberFormat="1" applyFont="1"/>
    <xf numFmtId="14" fontId="7" fillId="0" borderId="0" xfId="0" applyNumberFormat="1" applyFont="1"/>
    <xf numFmtId="167" fontId="7" fillId="2" borderId="0" xfId="0" applyNumberFormat="1" applyFont="1" applyFill="1"/>
    <xf numFmtId="0" fontId="7" fillId="2" borderId="0" xfId="0" applyFont="1" applyFill="1"/>
    <xf numFmtId="0" fontId="7" fillId="3" borderId="0" xfId="0" applyFont="1" applyFill="1" applyAlignment="1">
      <alignment vertical="center"/>
    </xf>
    <xf numFmtId="0" fontId="7" fillId="8" borderId="0" xfId="0" applyFont="1" applyFill="1"/>
    <xf numFmtId="0" fontId="16" fillId="6" borderId="0" xfId="0" applyFont="1" applyFill="1"/>
    <xf numFmtId="0" fontId="7" fillId="6" borderId="0" xfId="0" applyFont="1" applyFill="1"/>
    <xf numFmtId="0" fontId="17" fillId="0" borderId="0" xfId="0" applyFont="1"/>
    <xf numFmtId="14" fontId="17" fillId="0" borderId="0" xfId="0" applyNumberFormat="1" applyFont="1" applyAlignment="1">
      <alignment horizontal="center" vertical="center"/>
    </xf>
    <xf numFmtId="170" fontId="17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" fontId="13" fillId="2" borderId="0" xfId="0" applyNumberFormat="1" applyFont="1" applyFill="1" applyAlignment="1">
      <alignment horizontal="center"/>
    </xf>
    <xf numFmtId="10" fontId="13" fillId="2" borderId="0" xfId="0" applyNumberFormat="1" applyFont="1" applyFill="1" applyAlignment="1">
      <alignment horizontal="center"/>
    </xf>
    <xf numFmtId="171" fontId="0" fillId="0" borderId="0" xfId="0" applyNumberFormat="1"/>
    <xf numFmtId="1" fontId="0" fillId="0" borderId="0" xfId="0" applyNumberFormat="1"/>
    <xf numFmtId="170" fontId="0" fillId="0" borderId="0" xfId="0" applyNumberFormat="1"/>
    <xf numFmtId="0" fontId="3" fillId="13" borderId="0" xfId="0" applyFont="1" applyFill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0" xfId="0" applyFont="1" applyBorder="1" applyAlignment="1">
      <alignment horizontal="center"/>
    </xf>
    <xf numFmtId="14" fontId="24" fillId="0" borderId="0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26" fillId="0" borderId="0" xfId="0" applyFont="1" applyBorder="1" applyAlignment="1">
      <alignment horizontal="center" vertical="center"/>
    </xf>
    <xf numFmtId="172" fontId="24" fillId="0" borderId="0" xfId="0" applyNumberFormat="1" applyFont="1" applyBorder="1" applyAlignment="1">
      <alignment horizontal="center"/>
    </xf>
    <xf numFmtId="0" fontId="24" fillId="0" borderId="0" xfId="0" applyFont="1"/>
    <xf numFmtId="0" fontId="27" fillId="0" borderId="0" xfId="0" applyFont="1" applyBorder="1" applyAlignment="1">
      <alignment horizontal="center"/>
    </xf>
    <xf numFmtId="0" fontId="24" fillId="0" borderId="0" xfId="0" applyFont="1" applyBorder="1" applyAlignment="1">
      <alignment horizontal="center"/>
    </xf>
    <xf numFmtId="0" fontId="26" fillId="10" borderId="0" xfId="0" applyFont="1" applyFill="1" applyBorder="1" applyAlignment="1">
      <alignment horizontal="center" vertical="center"/>
    </xf>
    <xf numFmtId="3" fontId="24" fillId="0" borderId="0" xfId="0" applyNumberFormat="1" applyFont="1" applyBorder="1" applyAlignment="1">
      <alignment horizontal="center"/>
    </xf>
    <xf numFmtId="3" fontId="24" fillId="0" borderId="0" xfId="0" applyNumberFormat="1" applyFont="1"/>
    <xf numFmtId="37" fontId="24" fillId="0" borderId="0" xfId="0" applyNumberFormat="1" applyFont="1"/>
    <xf numFmtId="0" fontId="27" fillId="0" borderId="0" xfId="0" applyFont="1" applyAlignment="1">
      <alignment horizontal="center"/>
    </xf>
    <xf numFmtId="14" fontId="26" fillId="0" borderId="0" xfId="0" applyNumberFormat="1" applyFont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167" fontId="29" fillId="0" borderId="0" xfId="0" applyNumberFormat="1" applyFont="1" applyBorder="1" applyAlignment="1">
      <alignment horizontal="center" vertical="center"/>
    </xf>
    <xf numFmtId="3" fontId="30" fillId="0" borderId="0" xfId="0" applyNumberFormat="1" applyFont="1" applyBorder="1" applyAlignment="1">
      <alignment horizontal="center" vertical="center"/>
    </xf>
    <xf numFmtId="3" fontId="24" fillId="0" borderId="0" xfId="0" applyNumberFormat="1" applyFont="1" applyBorder="1" applyAlignment="1">
      <alignment horizontal="center" vertical="center"/>
    </xf>
    <xf numFmtId="14" fontId="24" fillId="0" borderId="0" xfId="0" applyNumberFormat="1" applyFont="1" applyBorder="1" applyAlignment="1">
      <alignment horizontal="center" vertical="center"/>
    </xf>
    <xf numFmtId="0" fontId="27" fillId="0" borderId="1" xfId="0" applyFont="1" applyBorder="1" applyAlignment="1">
      <alignment horizontal="left" vertical="center"/>
    </xf>
    <xf numFmtId="10" fontId="30" fillId="0" borderId="0" xfId="0" applyNumberFormat="1" applyFont="1" applyBorder="1" applyAlignment="1">
      <alignment horizontal="center" vertical="center"/>
    </xf>
    <xf numFmtId="10" fontId="24" fillId="0" borderId="0" xfId="0" applyNumberFormat="1" applyFont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4" fontId="24" fillId="0" borderId="0" xfId="0" applyNumberFormat="1" applyFont="1" applyAlignment="1">
      <alignment horizontal="center"/>
    </xf>
    <xf numFmtId="37" fontId="24" fillId="0" borderId="0" xfId="2" applyNumberFormat="1" applyFont="1" applyAlignment="1">
      <alignment horizontal="center" vertical="center"/>
    </xf>
    <xf numFmtId="0" fontId="24" fillId="0" borderId="0" xfId="0" applyFont="1" applyAlignment="1">
      <alignment horizontal="center"/>
    </xf>
    <xf numFmtId="169" fontId="24" fillId="0" borderId="0" xfId="3" applyNumberFormat="1" applyFont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67" fontId="31" fillId="0" borderId="0" xfId="0" applyNumberFormat="1" applyFont="1" applyBorder="1" applyAlignment="1">
      <alignment horizontal="center" vertical="center"/>
    </xf>
    <xf numFmtId="3" fontId="29" fillId="0" borderId="0" xfId="0" applyNumberFormat="1" applyFont="1" applyBorder="1" applyAlignment="1">
      <alignment horizontal="center" vertical="center"/>
    </xf>
    <xf numFmtId="167" fontId="32" fillId="0" borderId="0" xfId="0" applyNumberFormat="1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6" fillId="0" borderId="0" xfId="0" applyFont="1" applyBorder="1" applyAlignment="1">
      <alignment horizontal="left"/>
    </xf>
    <xf numFmtId="0" fontId="0" fillId="0" borderId="14" xfId="0" applyBorder="1"/>
    <xf numFmtId="37" fontId="0" fillId="0" borderId="14" xfId="2" applyNumberFormat="1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3" fontId="30" fillId="0" borderId="14" xfId="0" applyNumberFormat="1" applyFont="1" applyBorder="1" applyAlignment="1">
      <alignment horizontal="center" vertical="center"/>
    </xf>
    <xf numFmtId="37" fontId="30" fillId="0" borderId="14" xfId="0" applyNumberFormat="1" applyFont="1" applyBorder="1" applyAlignment="1">
      <alignment horizontal="center" vertical="center"/>
    </xf>
    <xf numFmtId="4" fontId="24" fillId="0" borderId="0" xfId="0" applyNumberFormat="1" applyFont="1" applyAlignment="1">
      <alignment horizontal="center" vertical="center"/>
    </xf>
    <xf numFmtId="0" fontId="22" fillId="10" borderId="0" xfId="0" applyFont="1" applyFill="1" applyBorder="1" applyAlignment="1">
      <alignment vertical="center"/>
    </xf>
    <xf numFmtId="4" fontId="0" fillId="0" borderId="0" xfId="0" applyNumberFormat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35" fillId="3" borderId="7" xfId="0" applyFont="1" applyFill="1" applyBorder="1" applyAlignment="1">
      <alignment horizontal="center" vertical="center"/>
    </xf>
    <xf numFmtId="0" fontId="35" fillId="3" borderId="10" xfId="0" applyFont="1" applyFill="1" applyBorder="1" applyAlignment="1">
      <alignment horizontal="center" vertical="center"/>
    </xf>
    <xf numFmtId="0" fontId="26" fillId="0" borderId="17" xfId="0" applyFont="1" applyBorder="1" applyAlignment="1">
      <alignment horizontal="center"/>
    </xf>
    <xf numFmtId="0" fontId="24" fillId="0" borderId="17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3" fontId="30" fillId="0" borderId="16" xfId="0" applyNumberFormat="1" applyFont="1" applyBorder="1" applyAlignment="1">
      <alignment horizontal="center" vertical="center"/>
    </xf>
    <xf numFmtId="3" fontId="24" fillId="0" borderId="16" xfId="0" applyNumberFormat="1" applyFont="1" applyBorder="1" applyAlignment="1">
      <alignment horizontal="center" vertical="center"/>
    </xf>
    <xf numFmtId="14" fontId="24" fillId="0" borderId="17" xfId="0" applyNumberFormat="1" applyFont="1" applyBorder="1" applyAlignment="1">
      <alignment horizontal="center" vertical="center"/>
    </xf>
    <xf numFmtId="0" fontId="21" fillId="14" borderId="4" xfId="0" applyFont="1" applyFill="1" applyBorder="1" applyAlignment="1">
      <alignment horizontal="center" vertical="center" wrapText="1"/>
    </xf>
    <xf numFmtId="0" fontId="21" fillId="14" borderId="5" xfId="0" applyFont="1" applyFill="1" applyBorder="1" applyAlignment="1">
      <alignment horizontal="center" vertical="center" wrapText="1"/>
    </xf>
    <xf numFmtId="0" fontId="28" fillId="3" borderId="9" xfId="0" applyFont="1" applyFill="1" applyBorder="1" applyAlignment="1">
      <alignment horizontal="center" vertical="center" wrapText="1"/>
    </xf>
    <xf numFmtId="0" fontId="28" fillId="3" borderId="7" xfId="0" applyFont="1" applyFill="1" applyBorder="1" applyAlignment="1">
      <alignment horizontal="center" vertical="center" wrapText="1"/>
    </xf>
    <xf numFmtId="0" fontId="20" fillId="14" borderId="14" xfId="0" applyFont="1" applyFill="1" applyBorder="1" applyAlignment="1">
      <alignment horizontal="center" vertical="center" wrapText="1"/>
    </xf>
    <xf numFmtId="0" fontId="20" fillId="14" borderId="0" xfId="0" applyFont="1" applyFill="1" applyBorder="1" applyAlignment="1">
      <alignment horizontal="center" vertical="center" wrapText="1"/>
    </xf>
    <xf numFmtId="0" fontId="22" fillId="10" borderId="14" xfId="0" applyFont="1" applyFill="1" applyBorder="1" applyAlignment="1">
      <alignment horizontal="center" vertical="center"/>
    </xf>
    <xf numFmtId="0" fontId="22" fillId="10" borderId="0" xfId="0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 wrapText="1"/>
    </xf>
    <xf numFmtId="0" fontId="28" fillId="3" borderId="8" xfId="0" applyFont="1" applyFill="1" applyBorder="1" applyAlignment="1">
      <alignment horizontal="center" vertical="center" wrapText="1"/>
    </xf>
    <xf numFmtId="0" fontId="22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0" fillId="14" borderId="11" xfId="0" applyFont="1" applyFill="1" applyBorder="1" applyAlignment="1">
      <alignment horizontal="center" vertical="center" wrapText="1"/>
    </xf>
    <xf numFmtId="0" fontId="20" fillId="14" borderId="13" xfId="0" applyFont="1" applyFill="1" applyBorder="1" applyAlignment="1">
      <alignment horizontal="center" vertical="center" wrapText="1"/>
    </xf>
    <xf numFmtId="0" fontId="20" fillId="14" borderId="12" xfId="0" applyFont="1" applyFill="1" applyBorder="1" applyAlignment="1">
      <alignment horizontal="center" vertical="center" wrapText="1"/>
    </xf>
    <xf numFmtId="0" fontId="10" fillId="12" borderId="0" xfId="0" applyFont="1" applyFill="1" applyAlignment="1">
      <alignment horizontal="center"/>
    </xf>
    <xf numFmtId="0" fontId="18" fillId="10" borderId="0" xfId="0" applyFont="1" applyFill="1" applyAlignment="1">
      <alignment horizontal="center" vertical="center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3" fillId="2" borderId="0" xfId="0" applyFont="1" applyFill="1" applyAlignment="1">
      <alignment horizontal="center"/>
    </xf>
    <xf numFmtId="0" fontId="14" fillId="11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19" fillId="2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7" fillId="7" borderId="0" xfId="0" applyFont="1" applyFill="1" applyAlignment="1">
      <alignment horizontal="center"/>
    </xf>
    <xf numFmtId="0" fontId="6" fillId="9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 2" xfId="1" xr:uid="{00000000-0005-0000-0000-000002000000}"/>
    <cellStyle name="Percent" xfId="3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USSW3 CMPN Curncy</stp>
        <stp>LAST_PRICE</stp>
        <stp>4/15/2019</stp>
        <stp>4/15/2019</stp>
        <stp>[Basic Pricing.xlsm]Rate_History!R7C20</stp>
        <tr r="T7" s="49"/>
      </tp>
      <tp t="e">
        <v>#N/A</v>
        <stp/>
        <stp>##V3_BDPV12</stp>
        <stp>USSW3 Index</stp>
        <stp>PX_LAST</stp>
        <stp>[Basic Pricing.xlsm]Rate_Live!R7C6</stp>
        <tr r="F7" s="39"/>
      </tp>
      <tp t="e">
        <v>#N/A</v>
        <stp/>
        <stp>##V3_BDHV12</stp>
        <stp>USSN0I9 CMPN Curncy</stp>
        <stp>PX_LAST</stp>
        <stp>4/15/2019</stp>
        <stp>4/15/2019</stp>
        <stp>[Basic Pricing.xlsm]Vol_Surface!R47C10</stp>
        <tr r="J47" s="53"/>
      </tp>
      <tp t="e">
        <v>#N/A</v>
        <stp/>
        <stp>##V3_BDHV12</stp>
        <stp>USSN0A9 CMPN Curncy</stp>
        <stp>PX_LAST</stp>
        <stp>4/15/2019</stp>
        <stp>4/15/2019</stp>
        <stp>[Basic Pricing.xlsm]Vol_Surface!R44C10</stp>
        <tr r="J44" s="53"/>
      </tp>
      <tp t="e">
        <v>#N/A</v>
        <stp/>
        <stp>##V3_BDHV12</stp>
        <stp>USSN0C9 CMPN Curncy</stp>
        <stp>PX_LAST</stp>
        <stp>4/15/2019</stp>
        <stp>4/15/2019</stp>
        <stp>[Basic Pricing.xlsm]Vol_Surface!R45C10</stp>
        <tr r="J45" s="53"/>
      </tp>
      <tp t="e">
        <v>#N/A</v>
        <stp/>
        <stp>##V3_BDHV12</stp>
        <stp>USSN0F9 CMPN Curncy</stp>
        <stp>PX_LAST</stp>
        <stp>4/15/2019</stp>
        <stp>4/15/2019</stp>
        <stp>[Basic Pricing.xlsm]Vol_Surface!R46C10</stp>
        <tr r="J46" s="53"/>
      </tp>
      <tp t="e">
        <v>#N/A</v>
        <stp/>
        <stp>##V3_BDHV12</stp>
        <stp>USSN019 CMPN Curncy</stp>
        <stp>PX_LAST</stp>
        <stp>4/15/2019</stp>
        <stp>4/15/2019</stp>
        <stp>[Basic Pricing.xlsm]Vol_Surface!R48C10</stp>
        <tr r="J48" s="53"/>
      </tp>
      <tp t="e">
        <v>#N/A</v>
        <stp/>
        <stp>##V3_BDHV12</stp>
        <stp>USSN039 CMPN Curncy</stp>
        <stp>PX_LAST</stp>
        <stp>4/15/2019</stp>
        <stp>4/15/2019</stp>
        <stp>[Basic Pricing.xlsm]Vol_Surface!R50C10</stp>
        <tr r="J50" s="53"/>
      </tp>
      <tp t="e">
        <v>#N/A</v>
        <stp/>
        <stp>##V3_BDHV12</stp>
        <stp>USSN029 CMPN Curncy</stp>
        <stp>PX_LAST</stp>
        <stp>4/15/2019</stp>
        <stp>4/15/2019</stp>
        <stp>[Basic Pricing.xlsm]Vol_Surface!R49C10</stp>
        <tr r="J49" s="53"/>
      </tp>
      <tp t="e">
        <v>#N/A</v>
        <stp/>
        <stp>##V3_BDHV12</stp>
        <stp>USSN059 CMPN Curncy</stp>
        <stp>PX_LAST</stp>
        <stp>4/15/2019</stp>
        <stp>4/15/2019</stp>
        <stp>[Basic Pricing.xlsm]Vol_Surface!R52C10</stp>
        <tr r="J52" s="53"/>
      </tp>
      <tp t="e">
        <v>#N/A</v>
        <stp/>
        <stp>##V3_BDHV12</stp>
        <stp>USSN049 CMPN Curncy</stp>
        <stp>PX_LAST</stp>
        <stp>4/15/2019</stp>
        <stp>4/15/2019</stp>
        <stp>[Basic Pricing.xlsm]Vol_Surface!R51C10</stp>
        <tr r="J51" s="53"/>
      </tp>
      <tp t="e">
        <v>#N/A</v>
        <stp/>
        <stp>##V3_BDHV12</stp>
        <stp>USSN079 CMPN Curncy</stp>
        <stp>PX_LAST</stp>
        <stp>4/15/2019</stp>
        <stp>4/15/2019</stp>
        <stp>[Basic Pricing.xlsm]Vol_Surface!R53C10</stp>
        <tr r="J53" s="53"/>
      </tp>
      <tp t="e">
        <v>#N/A</v>
        <stp/>
        <stp>##V3_BDHV12</stp>
        <stp>SF0012M Index</stp>
        <stp>PX_LAST</stp>
        <stp>4/15/2019</stp>
        <stp>4/15/2019</stp>
        <stp>[Basic Pricing.xlsm]Rate_History!R111C2</stp>
        <tr r="B111" s="49"/>
      </tp>
      <tp t="e">
        <v>#N/A</v>
        <stp/>
        <stp>##V3_BDHV12</stp>
        <stp>USSW2 CMPN Curncy</stp>
        <stp>LAST_PRICE</stp>
        <stp>4/15/2019</stp>
        <stp>4/15/2019</stp>
        <stp>[Basic Pricing.xlsm]Rate_History!R6C20</stp>
        <tr r="T6" s="49"/>
      </tp>
      <tp t="e">
        <v>#N/A</v>
        <stp/>
        <stp>##V3_BDPV12</stp>
        <stp>USSW2 Index</stp>
        <stp>PX_LAST</stp>
        <stp>[Basic Pricing.xlsm]Rate_Live!R6C6</stp>
        <tr r="F6" s="39"/>
      </tp>
      <tp t="e">
        <v>#N/A</v>
        <stp/>
        <stp>##V3_BDHV12</stp>
        <stp>SF0006M Index</stp>
        <stp>PX_LAST</stp>
        <stp>4/15/2019</stp>
        <stp>4/15/2019</stp>
        <stp>[Basic Pricing.xlsm]Rate_History!R110C2</stp>
        <tr r="B110" s="49"/>
      </tp>
      <tp t="e">
        <v>#N/A</v>
        <stp/>
        <stp>##V3_BDHV12</stp>
        <stp>BP00O/N Index</stp>
        <stp>PX_LAST</stp>
        <stp>4/15/2019</stp>
        <stp>4/15/2019</stp>
        <stp>[Basic Pricing.xlsm]Rate_History!R81C2</stp>
        <tr r="B81" s="49"/>
      </tp>
      <tp t="e">
        <v>#N/A</v>
        <stp/>
        <stp>##V3_BDHV12</stp>
        <stp>USONK10 ICPL curncy</stp>
        <stp>PX_LAST</stp>
        <stp>4/15/2019</stp>
        <stp>4/15/2019</stp>
        <stp>[Basic Pricing.xlsm]Vol_Surface!R10C13</stp>
        <tr r="M10" s="53"/>
      </tp>
      <tp t="e">
        <v>#N/A</v>
        <stp/>
        <stp>##V3_BDHV12</stp>
        <stp>USONK12 ICPL curncy</stp>
        <stp>PX_LAST</stp>
        <stp>4/15/2019</stp>
        <stp>4/15/2019</stp>
        <stp>[Basic Pricing.xlsm]Vol_Surface!R11C13</stp>
        <tr r="M11" s="53"/>
      </tp>
      <tp t="e">
        <v>#N/A</v>
        <stp/>
        <stp>##V3_BDHV12</stp>
        <stp>USONK15 ICPL curncy</stp>
        <stp>PX_LAST</stp>
        <stp>4/15/2019</stp>
        <stp>4/15/2019</stp>
        <stp>[Basic Pricing.xlsm]Vol_Surface!R12C13</stp>
        <tr r="M12" s="53"/>
      </tp>
      <tp t="e">
        <v>#N/A</v>
        <stp/>
        <stp>##V3_BDHV12</stp>
        <stp>USONK20 ICPL curncy</stp>
        <stp>PX_LAST</stp>
        <stp>4/15/2019</stp>
        <stp>4/15/2019</stp>
        <stp>[Basic Pricing.xlsm]Vol_Surface!R13C13</stp>
        <tr r="M13" s="53"/>
      </tp>
      <tp t="e">
        <v>#N/A</v>
        <stp/>
        <stp>##V3_BDHV12</stp>
        <stp>USONJ10 ICPL curncy</stp>
        <stp>PX_LAST</stp>
        <stp>4/15/2019</stp>
        <stp>4/15/2019</stp>
        <stp>[Basic Pricing.xlsm]Vol_Surface!R10C12</stp>
        <tr r="L10" s="53"/>
      </tp>
      <tp t="e">
        <v>#N/A</v>
        <stp/>
        <stp>##V3_BDHV12</stp>
        <stp>USONJ12 ICPL curncy</stp>
        <stp>PX_LAST</stp>
        <stp>4/15/2019</stp>
        <stp>4/15/2019</stp>
        <stp>[Basic Pricing.xlsm]Vol_Surface!R11C12</stp>
        <tr r="L11" s="53"/>
      </tp>
      <tp t="e">
        <v>#N/A</v>
        <stp/>
        <stp>##V3_BDHV12</stp>
        <stp>USONJ15 ICPL curncy</stp>
        <stp>PX_LAST</stp>
        <stp>4/15/2019</stp>
        <stp>4/15/2019</stp>
        <stp>[Basic Pricing.xlsm]Vol_Surface!R12C12</stp>
        <tr r="L12" s="53"/>
      </tp>
      <tp t="e">
        <v>#N/A</v>
        <stp/>
        <stp>##V3_BDHV12</stp>
        <stp>USONJ20 ICPL curncy</stp>
        <stp>PX_LAST</stp>
        <stp>4/15/2019</stp>
        <stp>4/15/2019</stp>
        <stp>[Basic Pricing.xlsm]Vol_Surface!R13C12</stp>
        <tr r="L13" s="53"/>
      </tp>
      <tp t="e">
        <v>#N/A</v>
        <stp/>
        <stp>##V3_BDHV12</stp>
        <stp>USONI20 ICPL curncy</stp>
        <stp>PX_LAST</stp>
        <stp>4/15/2019</stp>
        <stp>4/15/2019</stp>
        <stp>[Basic Pricing.xlsm]Vol_Surface!R13C11</stp>
        <tr r="K13" s="53"/>
      </tp>
      <tp t="e">
        <v>#N/A</v>
        <stp/>
        <stp>##V3_BDHV12</stp>
        <stp>USONI10 ICPL curncy</stp>
        <stp>PX_LAST</stp>
        <stp>4/15/2019</stp>
        <stp>4/15/2019</stp>
        <stp>[Basic Pricing.xlsm]Vol_Surface!R10C11</stp>
        <tr r="K10" s="53"/>
      </tp>
      <tp t="e">
        <v>#N/A</v>
        <stp/>
        <stp>##V3_BDHV12</stp>
        <stp>USONI12 ICPL curncy</stp>
        <stp>PX_LAST</stp>
        <stp>4/15/2019</stp>
        <stp>4/15/2019</stp>
        <stp>[Basic Pricing.xlsm]Vol_Surface!R11C11</stp>
        <tr r="K11" s="53"/>
      </tp>
      <tp t="e">
        <v>#N/A</v>
        <stp/>
        <stp>##V3_BDHV12</stp>
        <stp>USONI15 ICPL curncy</stp>
        <stp>PX_LAST</stp>
        <stp>4/15/2019</stp>
        <stp>4/15/2019</stp>
        <stp>[Basic Pricing.xlsm]Vol_Surface!R12C11</stp>
        <tr r="K12" s="53"/>
      </tp>
      <tp t="e">
        <v>#N/A</v>
        <stp/>
        <stp>##V3_BDHV12</stp>
        <stp>USONH20 ICPL curncy</stp>
        <stp>PX_LAST</stp>
        <stp>4/15/2019</stp>
        <stp>4/15/2019</stp>
        <stp>[Basic Pricing.xlsm]Vol_Surface!R13C10</stp>
        <tr r="J13" s="53"/>
      </tp>
      <tp t="e">
        <v>#N/A</v>
        <stp/>
        <stp>##V3_BDHV12</stp>
        <stp>USONH10 ICPL curncy</stp>
        <stp>PX_LAST</stp>
        <stp>4/15/2019</stp>
        <stp>4/15/2019</stp>
        <stp>[Basic Pricing.xlsm]Vol_Surface!R10C10</stp>
        <tr r="J10" s="53"/>
      </tp>
      <tp t="e">
        <v>#N/A</v>
        <stp/>
        <stp>##V3_BDHV12</stp>
        <stp>USONH12 ICPL curncy</stp>
        <stp>PX_LAST</stp>
        <stp>4/15/2019</stp>
        <stp>4/15/2019</stp>
        <stp>[Basic Pricing.xlsm]Vol_Surface!R11C10</stp>
        <tr r="J11" s="53"/>
      </tp>
      <tp t="e">
        <v>#N/A</v>
        <stp/>
        <stp>##V3_BDHV12</stp>
        <stp>USONH15 ICPL curncy</stp>
        <stp>PX_LAST</stp>
        <stp>4/15/2019</stp>
        <stp>4/15/2019</stp>
        <stp>[Basic Pricing.xlsm]Vol_Surface!R12C10</stp>
        <tr r="J12" s="53"/>
      </tp>
      <tp t="e">
        <v>#N/A</v>
        <stp/>
        <stp>##V3_BDHV12</stp>
        <stp>CLSWIBI Index</stp>
        <stp>PX_LAST</stp>
        <stp>4/15/2019</stp>
        <stp>4/15/2019</stp>
        <stp>[Basic Pricing.xlsm]FX_Curve_History!R185C2</stp>
        <tr r="B185" s="50"/>
      </tp>
      <tp t="e">
        <v>#N/A</v>
        <stp/>
        <stp>##V3_BDPV12</stp>
        <stp>BAH1 Comdty</stp>
        <stp>PX_LAST</stp>
        <stp>[Basic Pricing.xlsm]FX_Curve_Live!R138C4</stp>
        <tr r="D138" s="42"/>
      </tp>
      <tp t="e">
        <v>#N/A</v>
        <stp/>
        <stp>##V3_BDPV12</stp>
        <stp>SF0012M Index</stp>
        <stp>PX_LAST</stp>
        <stp>[Basic Pricing.xlsm]Rate_Live!R111C2</stp>
        <tr r="B111" s="39"/>
      </tp>
      <tp t="e">
        <v>#N/A</v>
        <stp/>
        <stp>##V3_BDPV12</stp>
        <stp>SF0006M Index</stp>
        <stp>PX_LAST</stp>
        <stp>[Basic Pricing.xlsm]Rate_Live!R110C2</stp>
        <tr r="B110" s="39"/>
      </tp>
      <tp t="e">
        <v>#N/A</v>
        <stp/>
        <stp>##V3_BDHV12</stp>
        <stp>CAD10Y BGN Curncy</stp>
        <stp>PX_LAST</stp>
        <stp>4/15/2019</stp>
        <stp>4/15/2019</stp>
        <stp>[Basic Pricing.xlsm]FXFR!R109C4</stp>
        <tr r="D109" s="46"/>
      </tp>
      <tp t="e">
        <v>#N/A</v>
        <stp/>
        <stp>##V3_BDHV12</stp>
        <stp>SF00S/N Index</stp>
        <stp>PX_LAST</stp>
        <stp>4/15/2019</stp>
        <stp>4/15/2019</stp>
        <stp>[Basic Pricing.xlsm]Rate_History!R106C2</stp>
        <tr r="B106" s="49"/>
      </tp>
      <tp t="e">
        <v>#N/A</v>
        <stp/>
        <stp>##V3_BDHV12</stp>
        <stp>US0002m Index</stp>
        <stp>PX_LAST</stp>
        <stp>4/15/2019</stp>
        <stp>4/15/2019</stp>
        <stp>[Basic Pricing.xlsm]Rate_History!R8C2</stp>
        <tr r="B8" s="49"/>
        <tr r="B8" s="49"/>
      </tp>
      <tp t="e">
        <v>#N/A</v>
        <stp/>
        <stp>##V3_BDPV12</stp>
        <stp>SF0001M Index</stp>
        <stp>PX_LAST</stp>
        <stp>[Basic Pricing.xlsm]Rate_Live!R107C2</stp>
        <tr r="B107" s="39"/>
      </tp>
      <tp t="e">
        <v>#N/A</v>
        <stp/>
        <stp>##V3_BDPV12</stp>
        <stp>SF00S/N Index</stp>
        <stp>PX_LAST</stp>
        <stp>[Basic Pricing.xlsm]Rate_Live!R106C2</stp>
        <tr r="B106" s="39"/>
      </tp>
      <tp t="e">
        <v>#N/A</v>
        <stp/>
        <stp>##V3_BDHV12</stp>
        <stp>CLSWIB20 CMPN Index</stp>
        <stp>LAST_PRICE</stp>
        <stp>4/15/2019</stp>
        <stp>4/15/2019</stp>
        <stp>[Basic Pricing.xlsm]Rate_History!R197C20</stp>
        <tr r="T197" s="49"/>
      </tp>
      <tp t="e">
        <v>#N/A</v>
        <stp/>
        <stp>##V3_BDHV12</stp>
        <stp>CLSWIB15 CMPN Index</stp>
        <stp>LAST_PRICE</stp>
        <stp>4/15/2019</stp>
        <stp>4/15/2019</stp>
        <stp>[Basic Pricing.xlsm]Rate_History!R194C20</stp>
        <tr r="T194" s="49"/>
      </tp>
      <tp t="e">
        <v>#N/A</v>
        <stp/>
        <stp>##V3_BDHV12</stp>
        <stp>CLSWIB12 CMPN Index</stp>
        <stp>LAST_PRICE</stp>
        <stp>4/15/2019</stp>
        <stp>4/15/2019</stp>
        <stp>[Basic Pricing.xlsm]Rate_History!R191C20</stp>
        <tr r="T191" s="49"/>
      </tp>
      <tp t="e">
        <v>#N/A</v>
        <stp/>
        <stp>##V3_BDHV12</stp>
        <stp>CLSWIB10 CMPN Index</stp>
        <stp>LAST_PRICE</stp>
        <stp>4/15/2019</stp>
        <stp>4/15/2019</stp>
        <stp>[Basic Pricing.xlsm]Rate_History!R189C20</stp>
        <tr r="T189" s="49"/>
      </tp>
      <tp t="e">
        <v>#N/A</v>
        <stp/>
        <stp>##V3_BDHV12</stp>
        <stp>US0003m Index</stp>
        <stp>PX_LAST</stp>
        <stp>4/15/2019</stp>
        <stp>4/15/2019</stp>
        <stp>[Basic Pricing.xlsm]Rate_History!R9C2</stp>
        <tr r="B9" s="49"/>
        <tr r="B9" s="49"/>
      </tp>
      <tp t="e">
        <v>#N/A</v>
        <stp/>
        <stp>##V3_BDHV12</stp>
        <stp>USSW5 CMPN Curncy</stp>
        <stp>LAST_PRICE</stp>
        <stp>4/15/2019</stp>
        <stp>4/15/2019</stp>
        <stp>[Basic Pricing.xlsm]Rate_History!R9C20</stp>
        <tr r="T9" s="49"/>
      </tp>
      <tp t="e">
        <v>#N/A</v>
        <stp/>
        <stp>##V3_BDHV12</stp>
        <stp>CORRRMIN Index</stp>
        <stp>PX_LAST</stp>
        <stp>4/15/2019</stp>
        <stp>4/15/2019</stp>
        <stp>[Basic Pricing.xlsm]FX_Curve_History!R181C2</stp>
        <tr r="B181" s="50"/>
      </tp>
      <tp t="e">
        <v>#N/A</v>
        <stp/>
        <stp>##V3_BDPV12</stp>
        <stp>HASWDI8Y CMPN Curncy</stp>
        <stp>PX_LAST</stp>
        <stp>[Basic Pricing.xlsm]Rate_History!R163C21</stp>
        <tr r="U163" s="49"/>
      </tp>
      <tp t="e">
        <v>#N/A</v>
        <stp/>
        <stp>##V3_BDHV12</stp>
        <stp>SF0001M Index</stp>
        <stp>PX_LAST</stp>
        <stp>4/15/2019</stp>
        <stp>4/15/2019</stp>
        <stp>[Basic Pricing.xlsm]Rate_History!R107C2</stp>
        <tr r="B107" s="49"/>
      </tp>
      <tp t="e">
        <v>#N/A</v>
        <stp/>
        <stp>##V3_BDHV12</stp>
        <stp>USSW4 CMPN Curncy</stp>
        <stp>LAST_PRICE</stp>
        <stp>4/15/2019</stp>
        <stp>4/15/2019</stp>
        <stp>[Basic Pricing.xlsm]Rate_History!R8C20</stp>
        <tr r="T8" s="49"/>
      </tp>
      <tp t="e">
        <v>#N/A</v>
        <stp/>
        <stp>##V3_BDPV12</stp>
        <stp>HASWDI9Y CMPN Curncy</stp>
        <stp>PX_LAST</stp>
        <stp>[Basic Pricing.xlsm]Rate_History!R164C21</stp>
        <tr r="U164" s="49"/>
      </tp>
      <tp t="e">
        <v>#N/A</v>
        <stp/>
        <stp>##V3_BDPV12</stp>
        <stp>HASWDI9M Index</stp>
        <stp>PX_LAST</stp>
        <stp>[Basic Pricing.xlsm]Rate_History!R161C16</stp>
        <tr r="P161" s="49"/>
      </tp>
      <tp t="e">
        <v>#N/A</v>
        <stp/>
        <stp>##V3_BDPV12</stp>
        <stp>HASWDI6M Index</stp>
        <stp>PX_LAST</stp>
        <stp>[Basic Pricing.xlsm]Rate_History!R160C16</stp>
        <tr r="P160" s="49"/>
      </tp>
      <tp t="e">
        <v>#N/A</v>
        <stp/>
        <stp>##V3_BDPV12</stp>
        <stp>HASWDI1M Index</stp>
        <stp>PX_LAST</stp>
        <stp>[Basic Pricing.xlsm]Rate_History!R157C16</stp>
        <tr r="P157" s="49"/>
      </tp>
      <tp t="e">
        <v>#N/A</v>
        <stp/>
        <stp>##V3_BDPV12</stp>
        <stp>HASWDI3M Index</stp>
        <stp>PX_LAST</stp>
        <stp>[Basic Pricing.xlsm]Rate_History!R159C16</stp>
        <tr r="P159" s="49"/>
      </tp>
      <tp t="e">
        <v>#N/A</v>
        <stp/>
        <stp>##V3_BDHV12</stp>
        <stp>US00o/n Index</stp>
        <stp>PX_LAST</stp>
        <stp>4/15/2019</stp>
        <stp>4/15/2019</stp>
        <stp>[Basic Pricing.xlsm]FX_Curve_History!R6C2</stp>
        <tr r="B6" s="50"/>
      </tp>
      <tp t="e">
        <v>#N/A</v>
        <stp/>
        <stp>##V3_BDPV12</stp>
        <stp>HASWDI6Y CMPN Curncy</stp>
        <stp>PX_LAST</stp>
        <stp>[Basic Pricing.xlsm]Rate_History!R161C21</stp>
        <tr r="U161" s="49"/>
      </tp>
      <tp t="e">
        <v>#N/A</v>
        <stp/>
        <stp>##V3_BDHV12</stp>
        <stp>SF0003M Index</stp>
        <stp>PX_LAST</stp>
        <stp>4/15/2019</stp>
        <stp>4/15/2019</stp>
        <stp>[Basic Pricing.xlsm]Rate_History!R109C2</stp>
        <tr r="B109" s="49"/>
      </tp>
      <tp t="e">
        <v>#N/A</v>
        <stp/>
        <stp>##V3_BDPV12</stp>
        <stp>BAU9 Comdty</stp>
        <stp>PX_LAST</stp>
        <stp>[Basic Pricing.xlsm]FX_Curve_Live!R132C4</stp>
        <tr r="D132" s="42"/>
      </tp>
      <tp t="e">
        <v>#N/A</v>
        <stp/>
        <stp>##V3_BDHV12</stp>
        <stp>EUNEI15 ICPL Curncy</stp>
        <stp>PX_LAST</stp>
        <stp>4/15/2019</stp>
        <stp>4/15/2019</stp>
        <stp>[Basic Pricing.xlsm]Vol_Surface!R67C12</stp>
        <tr r="L67" s="53"/>
      </tp>
      <tp t="e">
        <v>#N/A</v>
        <stp/>
        <stp>##V3_BDHV12</stp>
        <stp>EUNEI10 ICPL Curncy</stp>
        <stp>PX_LAST</stp>
        <stp>4/15/2019</stp>
        <stp>4/15/2019</stp>
        <stp>[Basic Pricing.xlsm]Vol_Surface!R67C11</stp>
        <tr r="K67" s="53"/>
      </tp>
      <tp t="e">
        <v>#N/A</v>
        <stp/>
        <stp>##V3_BDHV12</stp>
        <stp>EUNEI20 ICPL Curncy</stp>
        <stp>PX_LAST</stp>
        <stp>4/15/2019</stp>
        <stp>4/15/2019</stp>
        <stp>[Basic Pricing.xlsm]Vol_Surface!R67C13</stp>
        <tr r="M67" s="53"/>
      </tp>
      <tp t="e">
        <v>#N/A</v>
        <stp/>
        <stp>##V3_BDHV12</stp>
        <stp>EUNEI25 ICPL Curncy</stp>
        <stp>PX_LAST</stp>
        <stp>4/15/2019</stp>
        <stp>4/15/2019</stp>
        <stp>[Basic Pricing.xlsm]Vol_Surface!R67C14</stp>
        <tr r="N67" s="53"/>
      </tp>
      <tp t="e">
        <v>#N/A</v>
        <stp/>
        <stp>##V3_BDHV12</stp>
        <stp>EUNEI30 ICPL Curncy</stp>
        <stp>PX_LAST</stp>
        <stp>4/15/2019</stp>
        <stp>4/15/2019</stp>
        <stp>[Basic Pricing.xlsm]Vol_Surface!R67C15</stp>
        <tr r="O67" s="53"/>
      </tp>
      <tp t="e">
        <v>#N/A</v>
        <stp/>
        <stp>##V3_BDHV12</stp>
        <stp>EUNEC15 ICPL Curncy</stp>
        <stp>PX_LAST</stp>
        <stp>4/15/2019</stp>
        <stp>4/15/2019</stp>
        <stp>[Basic Pricing.xlsm]Vol_Surface!R65C12</stp>
        <tr r="L65" s="53"/>
      </tp>
      <tp t="e">
        <v>#N/A</v>
        <stp/>
        <stp>##V3_BDHV12</stp>
        <stp>EUNEC10 ICPL Curncy</stp>
        <stp>PX_LAST</stp>
        <stp>4/15/2019</stp>
        <stp>4/15/2019</stp>
        <stp>[Basic Pricing.xlsm]Vol_Surface!R65C11</stp>
        <tr r="K65" s="53"/>
      </tp>
      <tp t="e">
        <v>#N/A</v>
        <stp/>
        <stp>##V3_BDHV12</stp>
        <stp>EUNEC20 ICPL Curncy</stp>
        <stp>PX_LAST</stp>
        <stp>4/15/2019</stp>
        <stp>4/15/2019</stp>
        <stp>[Basic Pricing.xlsm]Vol_Surface!R65C13</stp>
        <tr r="M65" s="53"/>
      </tp>
      <tp t="e">
        <v>#N/A</v>
        <stp/>
        <stp>##V3_BDHV12</stp>
        <stp>EUNEC25 ICPL Curncy</stp>
        <stp>PX_LAST</stp>
        <stp>4/15/2019</stp>
        <stp>4/15/2019</stp>
        <stp>[Basic Pricing.xlsm]Vol_Surface!R65C14</stp>
        <tr r="N65" s="53"/>
      </tp>
      <tp t="e">
        <v>#N/A</v>
        <stp/>
        <stp>##V3_BDHV12</stp>
        <stp>EUNEC30 ICPL Curncy</stp>
        <stp>PX_LAST</stp>
        <stp>4/15/2019</stp>
        <stp>4/15/2019</stp>
        <stp>[Basic Pricing.xlsm]Vol_Surface!R65C15</stp>
        <tr r="O65" s="53"/>
      </tp>
      <tp t="e">
        <v>#N/A</v>
        <stp/>
        <stp>##V3_BDHV12</stp>
        <stp>EUNEA15 ICPL Curncy</stp>
        <stp>PX_LAST</stp>
        <stp>4/15/2019</stp>
        <stp>4/15/2019</stp>
        <stp>[Basic Pricing.xlsm]Vol_Surface!R64C12</stp>
        <tr r="L64" s="53"/>
      </tp>
      <tp t="e">
        <v>#N/A</v>
        <stp/>
        <stp>##V3_BDHV12</stp>
        <stp>EUNEA10 ICPL Curncy</stp>
        <stp>PX_LAST</stp>
        <stp>4/15/2019</stp>
        <stp>4/15/2019</stp>
        <stp>[Basic Pricing.xlsm]Vol_Surface!R64C11</stp>
        <tr r="K64" s="53"/>
      </tp>
      <tp t="e">
        <v>#N/A</v>
        <stp/>
        <stp>##V3_BDHV12</stp>
        <stp>EUNEA20 ICPL Curncy</stp>
        <stp>PX_LAST</stp>
        <stp>4/15/2019</stp>
        <stp>4/15/2019</stp>
        <stp>[Basic Pricing.xlsm]Vol_Surface!R64C13</stp>
        <tr r="M64" s="53"/>
      </tp>
      <tp t="e">
        <v>#N/A</v>
        <stp/>
        <stp>##V3_BDHV12</stp>
        <stp>EUNEA25 ICPL Curncy</stp>
        <stp>PX_LAST</stp>
        <stp>4/15/2019</stp>
        <stp>4/15/2019</stp>
        <stp>[Basic Pricing.xlsm]Vol_Surface!R64C14</stp>
        <tr r="N64" s="53"/>
      </tp>
      <tp t="e">
        <v>#N/A</v>
        <stp/>
        <stp>##V3_BDHV12</stp>
        <stp>EUNEA30 ICPL Curncy</stp>
        <stp>PX_LAST</stp>
        <stp>4/15/2019</stp>
        <stp>4/15/2019</stp>
        <stp>[Basic Pricing.xlsm]Vol_Surface!R64C15</stp>
        <tr r="O64" s="53"/>
      </tp>
      <tp t="e">
        <v>#N/A</v>
        <stp/>
        <stp>##V3_BDHV12</stp>
        <stp>EUNEF15 ICPL Curncy</stp>
        <stp>PX_LAST</stp>
        <stp>4/15/2019</stp>
        <stp>4/15/2019</stp>
        <stp>[Basic Pricing.xlsm]Vol_Surface!R66C12</stp>
        <tr r="L66" s="53"/>
      </tp>
      <tp t="e">
        <v>#N/A</v>
        <stp/>
        <stp>##V3_BDHV12</stp>
        <stp>EUNEF10 ICPL Curncy</stp>
        <stp>PX_LAST</stp>
        <stp>4/15/2019</stp>
        <stp>4/15/2019</stp>
        <stp>[Basic Pricing.xlsm]Vol_Surface!R66C11</stp>
        <tr r="K66" s="53"/>
      </tp>
      <tp t="e">
        <v>#N/A</v>
        <stp/>
        <stp>##V3_BDHV12</stp>
        <stp>EUNEF20 ICPL Curncy</stp>
        <stp>PX_LAST</stp>
        <stp>4/15/2019</stp>
        <stp>4/15/2019</stp>
        <stp>[Basic Pricing.xlsm]Vol_Surface!R66C13</stp>
        <tr r="M66" s="53"/>
      </tp>
      <tp t="e">
        <v>#N/A</v>
        <stp/>
        <stp>##V3_BDHV12</stp>
        <stp>EUNEF25 ICPL Curncy</stp>
        <stp>PX_LAST</stp>
        <stp>4/15/2019</stp>
        <stp>4/15/2019</stp>
        <stp>[Basic Pricing.xlsm]Vol_Surface!R66C14</stp>
        <tr r="N66" s="53"/>
      </tp>
      <tp t="e">
        <v>#N/A</v>
        <stp/>
        <stp>##V3_BDHV12</stp>
        <stp>EUNEF30 ICPL Curncy</stp>
        <stp>PX_LAST</stp>
        <stp>4/15/2019</stp>
        <stp>4/15/2019</stp>
        <stp>[Basic Pricing.xlsm]Vol_Surface!R66C15</stp>
        <tr r="O66" s="53"/>
      </tp>
      <tp t="e">
        <v>#N/A</v>
        <stp/>
        <stp>##V3_BDHV12</stp>
        <stp>EUNE315 ICPL Curncy</stp>
        <stp>PX_LAST</stp>
        <stp>4/15/2019</stp>
        <stp>4/15/2019</stp>
        <stp>[Basic Pricing.xlsm]Vol_Surface!R70C12</stp>
        <tr r="L70" s="53"/>
      </tp>
      <tp t="e">
        <v>#N/A</v>
        <stp/>
        <stp>##V3_BDHV12</stp>
        <stp>EUNE320 ICPL Curncy</stp>
        <stp>PX_LAST</stp>
        <stp>4/15/2019</stp>
        <stp>4/15/2019</stp>
        <stp>[Basic Pricing.xlsm]Vol_Surface!R70C13</stp>
        <tr r="M70" s="53"/>
      </tp>
      <tp t="e">
        <v>#N/A</v>
        <stp/>
        <stp>##V3_BDHV12</stp>
        <stp>EUNE310 ICPL Curncy</stp>
        <stp>PX_LAST</stp>
        <stp>4/15/2019</stp>
        <stp>4/15/2019</stp>
        <stp>[Basic Pricing.xlsm]Vol_Surface!R70C11</stp>
        <tr r="K70" s="53"/>
      </tp>
      <tp t="e">
        <v>#N/A</v>
        <stp/>
        <stp>##V3_BDHV12</stp>
        <stp>EUNE330 ICPL Curncy</stp>
        <stp>PX_LAST</stp>
        <stp>4/15/2019</stp>
        <stp>4/15/2019</stp>
        <stp>[Basic Pricing.xlsm]Vol_Surface!R70C15</stp>
        <tr r="O70" s="53"/>
      </tp>
      <tp t="e">
        <v>#N/A</v>
        <stp/>
        <stp>##V3_BDHV12</stp>
        <stp>EUNE325 ICPL Curncy</stp>
        <stp>PX_LAST</stp>
        <stp>4/15/2019</stp>
        <stp>4/15/2019</stp>
        <stp>[Basic Pricing.xlsm]Vol_Surface!R70C14</stp>
        <tr r="N70" s="53"/>
      </tp>
      <tp t="e">
        <v>#N/A</v>
        <stp/>
        <stp>##V3_BDHV12</stp>
        <stp>EUNE215 ICPL Curncy</stp>
        <stp>PX_LAST</stp>
        <stp>4/15/2019</stp>
        <stp>4/15/2019</stp>
        <stp>[Basic Pricing.xlsm]Vol_Surface!R69C12</stp>
        <tr r="L69" s="53"/>
      </tp>
      <tp t="e">
        <v>#N/A</v>
        <stp/>
        <stp>##V3_BDHV12</stp>
        <stp>EUNE210 ICPL Curncy</stp>
        <stp>PX_LAST</stp>
        <stp>4/15/2019</stp>
        <stp>4/15/2019</stp>
        <stp>[Basic Pricing.xlsm]Vol_Surface!R69C11</stp>
        <tr r="K69" s="53"/>
      </tp>
      <tp t="e">
        <v>#N/A</v>
        <stp/>
        <stp>##V3_BDHV12</stp>
        <stp>EUNE220 ICPL Curncy</stp>
        <stp>PX_LAST</stp>
        <stp>4/15/2019</stp>
        <stp>4/15/2019</stp>
        <stp>[Basic Pricing.xlsm]Vol_Surface!R69C13</stp>
        <tr r="M69" s="53"/>
      </tp>
      <tp t="e">
        <v>#N/A</v>
        <stp/>
        <stp>##V3_BDHV12</stp>
        <stp>EUNE209 ICPL Curncy</stp>
        <stp>PX_LAST</stp>
        <stp>4/15/2019</stp>
        <stp>4/15/2019</stp>
        <stp>[Basic Pricing.xlsm]Vol_Surface!R74C10</stp>
        <tr r="J74" s="53"/>
      </tp>
      <tp t="e">
        <v>#N/A</v>
        <stp/>
        <stp>##V3_BDHV12</stp>
        <stp>EUNE230 ICPL Curncy</stp>
        <stp>PX_LAST</stp>
        <stp>4/15/2019</stp>
        <stp>4/15/2019</stp>
        <stp>[Basic Pricing.xlsm]Vol_Surface!R69C15</stp>
        <tr r="O69" s="53"/>
      </tp>
      <tp t="e">
        <v>#N/A</v>
        <stp/>
        <stp>##V3_BDHV12</stp>
        <stp>EUNE225 ICPL Curncy</stp>
        <stp>PX_LAST</stp>
        <stp>4/15/2019</stp>
        <stp>4/15/2019</stp>
        <stp>[Basic Pricing.xlsm]Vol_Surface!R69C14</stp>
        <tr r="N69" s="53"/>
      </tp>
      <tp t="e">
        <v>#N/A</v>
        <stp/>
        <stp>##V3_BDHV12</stp>
        <stp>EUNE115 ICPL Curncy</stp>
        <stp>PX_LAST</stp>
        <stp>4/15/2019</stp>
        <stp>4/15/2019</stp>
        <stp>[Basic Pricing.xlsm]Vol_Surface!R68C12</stp>
        <tr r="L68" s="53"/>
      </tp>
      <tp t="e">
        <v>#N/A</v>
        <stp/>
        <stp>##V3_BDHV12</stp>
        <stp>EUNE110 ICPL Curncy</stp>
        <stp>PX_LAST</stp>
        <stp>4/15/2019</stp>
        <stp>4/15/2019</stp>
        <stp>[Basic Pricing.xlsm]Vol_Surface!R68C11</stp>
        <tr r="K68" s="53"/>
      </tp>
      <tp t="e">
        <v>#N/A</v>
        <stp/>
        <stp>##V3_BDHV12</stp>
        <stp>EUNE120 ICPL Curncy</stp>
        <stp>PX_LAST</stp>
        <stp>4/15/2019</stp>
        <stp>4/15/2019</stp>
        <stp>[Basic Pricing.xlsm]Vol_Surface!R68C13</stp>
        <tr r="M68" s="53"/>
      </tp>
      <tp t="e">
        <v>#N/A</v>
        <stp/>
        <stp>##V3_BDHV12</stp>
        <stp>EUNE109 ICPL Curncy</stp>
        <stp>PX_LAST</stp>
        <stp>4/15/2019</stp>
        <stp>4/15/2019</stp>
        <stp>[Basic Pricing.xlsm]Vol_Surface!R73C10</stp>
        <tr r="J73" s="53"/>
      </tp>
      <tp t="e">
        <v>#N/A</v>
        <stp/>
        <stp>##V3_BDHV12</stp>
        <stp>EUNE130 ICPL Curncy</stp>
        <stp>PX_LAST</stp>
        <stp>4/15/2019</stp>
        <stp>4/15/2019</stp>
        <stp>[Basic Pricing.xlsm]Vol_Surface!R68C15</stp>
        <tr r="O68" s="53"/>
      </tp>
      <tp t="e">
        <v>#N/A</v>
        <stp/>
        <stp>##V3_BDHV12</stp>
        <stp>EUNE125 ICPL Curncy</stp>
        <stp>PX_LAST</stp>
        <stp>4/15/2019</stp>
        <stp>4/15/2019</stp>
        <stp>[Basic Pricing.xlsm]Vol_Surface!R68C14</stp>
        <tr r="N68" s="53"/>
      </tp>
      <tp t="e">
        <v>#N/A</v>
        <stp/>
        <stp>##V3_BDHV12</stp>
        <stp>CLSWIBC Index</stp>
        <stp>PX_LAST</stp>
        <stp>4/15/2019</stp>
        <stp>4/15/2019</stp>
        <stp>[Basic Pricing.xlsm]FX_Curve_History!R184C2</stp>
        <tr r="B184" s="50"/>
      </tp>
      <tp t="e">
        <v>#N/A</v>
        <stp/>
        <stp>##V3_BDHV12</stp>
        <stp>EUNE515 ICPL Curncy</stp>
        <stp>PX_LAST</stp>
        <stp>4/15/2019</stp>
        <stp>4/15/2019</stp>
        <stp>[Basic Pricing.xlsm]Vol_Surface!R72C12</stp>
        <tr r="L72" s="53"/>
      </tp>
      <tp t="e">
        <v>#N/A</v>
        <stp/>
        <stp>##V3_BDHV12</stp>
        <stp>EUNE520 ICPL Curncy</stp>
        <stp>PX_LAST</stp>
        <stp>4/15/2019</stp>
        <stp>4/15/2019</stp>
        <stp>[Basic Pricing.xlsm]Vol_Surface!R72C13</stp>
        <tr r="M72" s="53"/>
      </tp>
      <tp t="e">
        <v>#N/A</v>
        <stp/>
        <stp>##V3_BDHV12</stp>
        <stp>EUNE510 ICPL Curncy</stp>
        <stp>PX_LAST</stp>
        <stp>4/15/2019</stp>
        <stp>4/15/2019</stp>
        <stp>[Basic Pricing.xlsm]Vol_Surface!R72C11</stp>
        <tr r="K72" s="53"/>
      </tp>
      <tp t="e">
        <v>#N/A</v>
        <stp/>
        <stp>##V3_BDHV12</stp>
        <stp>EUNE530 ICPL Curncy</stp>
        <stp>PX_LAST</stp>
        <stp>4/15/2019</stp>
        <stp>4/15/2019</stp>
        <stp>[Basic Pricing.xlsm]Vol_Surface!R72C15</stp>
        <tr r="O72" s="53"/>
      </tp>
      <tp t="e">
        <v>#N/A</v>
        <stp/>
        <stp>##V3_BDHV12</stp>
        <stp>EUNE525 ICPL Curncy</stp>
        <stp>PX_LAST</stp>
        <stp>4/15/2019</stp>
        <stp>4/15/2019</stp>
        <stp>[Basic Pricing.xlsm]Vol_Surface!R72C14</stp>
        <tr r="N72" s="53"/>
      </tp>
      <tp t="e">
        <v>#N/A</v>
        <stp/>
        <stp>##V3_BDHV12</stp>
        <stp>EUNE415 ICPL Curncy</stp>
        <stp>PX_LAST</stp>
        <stp>4/15/2019</stp>
        <stp>4/15/2019</stp>
        <stp>[Basic Pricing.xlsm]Vol_Surface!R71C12</stp>
        <tr r="L71" s="53"/>
      </tp>
      <tp t="e">
        <v>#N/A</v>
        <stp/>
        <stp>##V3_BDHV12</stp>
        <stp>EUNE420 ICPL Curncy</stp>
        <stp>PX_LAST</stp>
        <stp>4/15/2019</stp>
        <stp>4/15/2019</stp>
        <stp>[Basic Pricing.xlsm]Vol_Surface!R71C13</stp>
        <tr r="M71" s="53"/>
      </tp>
      <tp t="e">
        <v>#N/A</v>
        <stp/>
        <stp>##V3_BDHV12</stp>
        <stp>EUNE410 ICPL Curncy</stp>
        <stp>PX_LAST</stp>
        <stp>4/15/2019</stp>
        <stp>4/15/2019</stp>
        <stp>[Basic Pricing.xlsm]Vol_Surface!R71C11</stp>
        <tr r="K71" s="53"/>
      </tp>
      <tp t="e">
        <v>#N/A</v>
        <stp/>
        <stp>##V3_BDHV12</stp>
        <stp>EUNE430 ICPL Curncy</stp>
        <stp>PX_LAST</stp>
        <stp>4/15/2019</stp>
        <stp>4/15/2019</stp>
        <stp>[Basic Pricing.xlsm]Vol_Surface!R71C15</stp>
        <tr r="O71" s="53"/>
      </tp>
      <tp t="e">
        <v>#N/A</v>
        <stp/>
        <stp>##V3_BDHV12</stp>
        <stp>EUNE425 ICPL Curncy</stp>
        <stp>PX_LAST</stp>
        <stp>4/15/2019</stp>
        <stp>4/15/2019</stp>
        <stp>[Basic Pricing.xlsm]Vol_Surface!R71C14</stp>
        <tr r="N71" s="53"/>
      </tp>
      <tp t="e">
        <v>#N/A</v>
        <stp/>
        <stp>##V3_BDPV12</stp>
        <stp>HASWDI7Y CMPN Curncy</stp>
        <stp>PX_LAST</stp>
        <stp>[Basic Pricing.xlsm]Rate_History!R162C21</stp>
        <tr r="U162" s="49"/>
      </tp>
      <tp t="e">
        <v>#N/A</v>
        <stp/>
        <stp>##V3_BDHV12</stp>
        <stp>SF0002M Index</stp>
        <stp>PX_LAST</stp>
        <stp>4/15/2019</stp>
        <stp>4/15/2019</stp>
        <stp>[Basic Pricing.xlsm]Rate_History!R108C2</stp>
        <tr r="B108" s="49"/>
      </tp>
      <tp t="e">
        <v>#N/A</v>
        <stp/>
        <stp>##V3_BDPV12</stp>
        <stp>BAZ9 Comdty</stp>
        <stp>PX_LAST</stp>
        <stp>[Basic Pricing.xlsm]FX_Curve_Live!R133C4</stp>
        <tr r="D133" s="42"/>
      </tp>
      <tp t="e">
        <v>#N/A</v>
        <stp/>
        <stp>##V3_BDPV12</stp>
        <stp>HASWDI4Y CMPN Curncy</stp>
        <stp>PX_LAST</stp>
        <stp>[Basic Pricing.xlsm]Rate_History!R159C21</stp>
        <tr r="U159" s="49"/>
      </tp>
      <tp t="e">
        <v>#N/A</v>
        <stp/>
        <stp>##V3_BDPV12</stp>
        <stp>SF0003M Index</stp>
        <stp>PX_LAST</stp>
        <stp>[Basic Pricing.xlsm]Rate_Live!R109C2</stp>
        <tr r="B109" s="39"/>
      </tp>
      <tp t="e">
        <v>#N/A</v>
        <stp/>
        <stp>##V3_BDHV12</stp>
        <stp>CDSW20 CMPN Curncy</stp>
        <stp>LAST_PRICE</stp>
        <stp>4/15/2019</stp>
        <stp>4/15/2019</stp>
        <stp>[Basic Pricing.xlsm]Rate_History!R142C20</stp>
        <tr r="T142" s="49"/>
      </tp>
      <tp t="e">
        <v>#N/A</v>
        <stp/>
        <stp>##V3_BDHV12</stp>
        <stp>CDSW25 CMPN Curncy</stp>
        <stp>LAST_PRICE</stp>
        <stp>4/15/2019</stp>
        <stp>4/15/2019</stp>
        <stp>[Basic Pricing.xlsm]Rate_History!R143C20</stp>
        <tr r="T143" s="49"/>
      </tp>
      <tp t="e">
        <v>#N/A</v>
        <stp/>
        <stp>##V3_BDHV12</stp>
        <stp>CDSW30 CMPN Curncy</stp>
        <stp>LAST_PRICE</stp>
        <stp>4/15/2019</stp>
        <stp>4/15/2019</stp>
        <stp>[Basic Pricing.xlsm]Rate_History!R144C20</stp>
        <tr r="T144" s="49"/>
      </tp>
      <tp t="e">
        <v>#N/A</v>
        <stp/>
        <stp>##V3_BDHV12</stp>
        <stp>CDSW12 CMPN Curncy</stp>
        <stp>LAST_PRICE</stp>
        <stp>4/15/2019</stp>
        <stp>4/15/2019</stp>
        <stp>[Basic Pricing.xlsm]Rate_History!R140C20</stp>
        <tr r="T140" s="49"/>
      </tp>
      <tp t="e">
        <v>#N/A</v>
        <stp/>
        <stp>##V3_BDHV12</stp>
        <stp>CDSW15 CMPN Curncy</stp>
        <stp>LAST_PRICE</stp>
        <stp>4/15/2019</stp>
        <stp>4/15/2019</stp>
        <stp>[Basic Pricing.xlsm]Rate_History!R141C20</stp>
        <tr r="T141" s="49"/>
      </tp>
      <tp t="e">
        <v>#N/A</v>
        <stp/>
        <stp>##V3_BDHV12</stp>
        <stp>CDSW10 CMPN Curncy</stp>
        <stp>LAST_PRICE</stp>
        <stp>4/15/2019</stp>
        <stp>4/15/2019</stp>
        <stp>[Basic Pricing.xlsm]Rate_History!R139C20</stp>
        <tr r="T139" s="49"/>
      </tp>
      <tp t="e">
        <v>#N/A</v>
        <stp/>
        <stp>##V3_BDHV12</stp>
        <stp>CDSW40 CMPN Curncy</stp>
        <stp>LAST_PRICE</stp>
        <stp>4/15/2019</stp>
        <stp>4/15/2019</stp>
        <stp>[Basic Pricing.xlsm]Rate_History!R145C20</stp>
        <tr r="T145" s="49"/>
      </tp>
      <tp t="e">
        <v>#N/A</v>
        <stp/>
        <stp>##V3_BDHV12</stp>
        <stp>BPSW40 CMPN Curncy</stp>
        <stp>LAST_PRICE</stp>
        <stp>4/15/2019</stp>
        <stp>4/15/2019</stp>
        <stp>[Basic Pricing.xlsm]Rate_History!R100C20</stp>
        <tr r="T100" s="49"/>
      </tp>
      <tp t="e">
        <v>#N/A</v>
        <stp/>
        <stp>##V3_BDHV12</stp>
        <stp>SFSW25 CMPN Curncy</stp>
        <stp>LAST_PRICE</stp>
        <stp>4/15/2019</stp>
        <stp>4/15/2019</stp>
        <stp>[Basic Pricing.xlsm]Rate_History!R121C20</stp>
        <tr r="T121" s="49"/>
      </tp>
      <tp t="e">
        <v>#N/A</v>
        <stp/>
        <stp>##V3_BDHV12</stp>
        <stp>SFSW20 CMPN Curncy</stp>
        <stp>LAST_PRICE</stp>
        <stp>4/15/2019</stp>
        <stp>4/15/2019</stp>
        <stp>[Basic Pricing.xlsm]Rate_History!R120C20</stp>
        <tr r="T120" s="49"/>
      </tp>
      <tp t="e">
        <v>#N/A</v>
        <stp/>
        <stp>##V3_BDHV12</stp>
        <stp>SFSW30 CMPN Curncy</stp>
        <stp>LAST_PRICE</stp>
        <stp>4/15/2019</stp>
        <stp>4/15/2019</stp>
        <stp>[Basic Pricing.xlsm]Rate_History!R122C20</stp>
        <tr r="T122" s="49"/>
      </tp>
      <tp t="e">
        <v>#N/A</v>
        <stp/>
        <stp>##V3_BDHV12</stp>
        <stp>SFSW14 CMPN Curncy</stp>
        <stp>LAST_PRICE</stp>
        <stp>4/15/2019</stp>
        <stp>4/15/2019</stp>
        <stp>[Basic Pricing.xlsm]Rate_History!R118C20</stp>
        <tr r="T118" s="49"/>
      </tp>
      <tp t="e">
        <v>#N/A</v>
        <stp/>
        <stp>##V3_BDHV12</stp>
        <stp>SFSW15 CMPN Curncy</stp>
        <stp>LAST_PRICE</stp>
        <stp>4/15/2019</stp>
        <stp>4/15/2019</stp>
        <stp>[Basic Pricing.xlsm]Rate_History!R119C20</stp>
        <tr r="T119" s="49"/>
      </tp>
      <tp t="e">
        <v>#N/A</v>
        <stp/>
        <stp>##V3_BDHV12</stp>
        <stp>SFSW12 CMPN Curncy</stp>
        <stp>LAST_PRICE</stp>
        <stp>4/15/2019</stp>
        <stp>4/15/2019</stp>
        <stp>[Basic Pricing.xlsm]Rate_History!R116C20</stp>
        <tr r="T116" s="49"/>
      </tp>
      <tp t="e">
        <v>#N/A</v>
        <stp/>
        <stp>##V3_BDHV12</stp>
        <stp>SFSW13 CMPN Curncy</stp>
        <stp>LAST_PRICE</stp>
        <stp>4/15/2019</stp>
        <stp>4/15/2019</stp>
        <stp>[Basic Pricing.xlsm]Rate_History!R117C20</stp>
        <tr r="T117" s="49"/>
      </tp>
      <tp t="e">
        <v>#N/A</v>
        <stp/>
        <stp>##V3_BDHV12</stp>
        <stp>SFSW10 CMPN Curncy</stp>
        <stp>LAST_PRICE</stp>
        <stp>4/15/2019</stp>
        <stp>4/15/2019</stp>
        <stp>[Basic Pricing.xlsm]Rate_History!R114C20</stp>
        <tr r="T114" s="49"/>
      </tp>
      <tp t="e">
        <v>#N/A</v>
        <stp/>
        <stp>##V3_BDHV12</stp>
        <stp>SFSW11 CMPN Curncy</stp>
        <stp>LAST_PRICE</stp>
        <stp>4/15/2019</stp>
        <stp>4/15/2019</stp>
        <stp>[Basic Pricing.xlsm]Rate_History!R115C20</stp>
        <tr r="T115" s="49"/>
      </tp>
      <tp t="e">
        <v>#N/A</v>
        <stp/>
        <stp>##V3_BDHV12</stp>
        <stp>SFSW40 CMPN Curncy</stp>
        <stp>LAST_PRICE</stp>
        <stp>4/15/2019</stp>
        <stp>4/15/2019</stp>
        <stp>[Basic Pricing.xlsm]Rate_History!R123C20</stp>
        <tr r="T123" s="49"/>
      </tp>
      <tp t="e">
        <v>#N/A</v>
        <stp/>
        <stp>##V3_BDPV12</stp>
        <stp>HASWDI5Y CMPN Curncy</stp>
        <stp>PX_LAST</stp>
        <stp>[Basic Pricing.xlsm]Rate_History!R160C21</stp>
        <tr r="U160" s="49"/>
      </tp>
      <tp t="e">
        <v>#N/A</v>
        <stp/>
        <stp>##V3_BDPV12</stp>
        <stp>BAM9 Comdty</stp>
        <stp>PX_LAST</stp>
        <stp>[Basic Pricing.xlsm]FX_Curve_Live!R131C4</stp>
        <tr r="D131" s="42"/>
      </tp>
      <tp t="e">
        <v>#N/A</v>
        <stp/>
        <stp>##V3_BDHV12</stp>
        <stp>US0001m Index</stp>
        <stp>PX_LAST</stp>
        <stp>4/15/2019</stp>
        <stp>4/15/2019</stp>
        <stp>[Basic Pricing.xlsm]Rate_History!R7C2</stp>
        <tr r="B7" s="49"/>
        <tr r="B7" s="49"/>
      </tp>
      <tp t="e">
        <v>#N/A</v>
        <stp/>
        <stp>##V3_BDPV12</stp>
        <stp>SF0002M Index</stp>
        <stp>PX_LAST</stp>
        <stp>[Basic Pricing.xlsm]Rate_Live!R108C2</stp>
        <tr r="B108" s="39"/>
      </tp>
      <tp t="e">
        <v>#N/A</v>
        <stp/>
        <stp>##V3_BDHV12</stp>
        <stp>CLSWIB2 CMPN Index</stp>
        <stp>LAST_PRICE</stp>
        <stp>4/15/2019</stp>
        <stp>4/15/2019</stp>
        <stp>[Basic Pricing.xlsm]Rate_History!R181C20</stp>
        <tr r="T181" s="49"/>
      </tp>
      <tp t="e">
        <v>#N/A</v>
        <stp/>
        <stp>##V3_BDHV12</stp>
        <stp>CLSWIB6 CMPN Index</stp>
        <stp>LAST_PRICE</stp>
        <stp>4/15/2019</stp>
        <stp>4/15/2019</stp>
        <stp>[Basic Pricing.xlsm]Rate_History!R185C20</stp>
        <tr r="T185" s="49"/>
      </tp>
      <tp t="e">
        <v>#N/A</v>
        <stp/>
        <stp>##V3_BDHV12</stp>
        <stp>CLSWIB3 CMPN Index</stp>
        <stp>LAST_PRICE</stp>
        <stp>4/15/2019</stp>
        <stp>4/15/2019</stp>
        <stp>[Basic Pricing.xlsm]Rate_History!R182C20</stp>
        <tr r="T182" s="49"/>
      </tp>
      <tp t="e">
        <v>#N/A</v>
        <stp/>
        <stp>##V3_BDHV12</stp>
        <stp>CLSWIB5 CMPN Index</stp>
        <stp>LAST_PRICE</stp>
        <stp>4/15/2019</stp>
        <stp>4/15/2019</stp>
        <stp>[Basic Pricing.xlsm]Rate_History!R184C20</stp>
        <tr r="T184" s="49"/>
      </tp>
      <tp t="e">
        <v>#N/A</v>
        <stp/>
        <stp>##V3_BDHV12</stp>
        <stp>CLSWIB7 CMPN Index</stp>
        <stp>LAST_PRICE</stp>
        <stp>4/15/2019</stp>
        <stp>4/15/2019</stp>
        <stp>[Basic Pricing.xlsm]Rate_History!R186C20</stp>
        <tr r="T186" s="49"/>
      </tp>
      <tp t="e">
        <v>#N/A</v>
        <stp/>
        <stp>##V3_BDHV12</stp>
        <stp>CLSWIB9 CMPN Index</stp>
        <stp>LAST_PRICE</stp>
        <stp>4/15/2019</stp>
        <stp>4/15/2019</stp>
        <stp>[Basic Pricing.xlsm]Rate_History!R188C20</stp>
        <tr r="T188" s="49"/>
      </tp>
      <tp t="e">
        <v>#N/A</v>
        <stp/>
        <stp>##V3_BDHV12</stp>
        <stp>CLSWIB4 CMPN Index</stp>
        <stp>LAST_PRICE</stp>
        <stp>4/15/2019</stp>
        <stp>4/15/2019</stp>
        <stp>[Basic Pricing.xlsm]Rate_History!R183C20</stp>
        <tr r="T183" s="49"/>
      </tp>
      <tp t="e">
        <v>#N/A</v>
        <stp/>
        <stp>##V3_BDHV12</stp>
        <stp>CLSWIB8 CMPN Index</stp>
        <stp>LAST_PRICE</stp>
        <stp>4/15/2019</stp>
        <stp>4/15/2019</stp>
        <stp>[Basic Pricing.xlsm]Rate_History!R187C20</stp>
        <tr r="T187" s="49"/>
      </tp>
      <tp t="e">
        <v>#N/A</v>
        <stp/>
        <stp>##V3_BDPV12</stp>
        <stp>HASWDI2Y CMPN Curncy</stp>
        <stp>PX_LAST</stp>
        <stp>[Basic Pricing.xlsm]Rate_History!R157C21</stp>
        <tr r="U157" s="49"/>
      </tp>
      <tp t="e">
        <v>#N/A</v>
        <stp/>
        <stp>##V3_BDPV12</stp>
        <stp>BAU0 Comdty</stp>
        <stp>PX_LAST</stp>
        <stp>[Basic Pricing.xlsm]FX_Curve_Live!R136C4</stp>
        <tr r="D136" s="42"/>
      </tp>
      <tp t="e">
        <v>#N/A</v>
        <stp/>
        <stp>##V3_BDHV12</stp>
        <stp>CAD12M BGN Curncy</stp>
        <stp>PX_LAST</stp>
        <stp>4/15/2019</stp>
        <stp>4/15/2019</stp>
        <stp>[Basic Pricing.xlsm]FXFR!R100C4</stp>
        <tr r="D100" s="46"/>
      </tp>
      <tp t="e">
        <v>#N/A</v>
        <stp/>
        <stp>##V3_BDHV12</stp>
        <stp>CHF12M BGN Curncy</stp>
        <stp>PX_LAST</stp>
        <stp>4/15/2019</stp>
        <stp>4/15/2019</stp>
        <stp>[Basic Pricing.xlsm]FXFR!R122C4</stp>
        <tr r="D122" s="46"/>
      </tp>
      <tp t="e">
        <v>#N/A</v>
        <stp/>
        <stp>##V3_BDHV12</stp>
        <stp>CLSWIBA Index</stp>
        <stp>PX_LAST</stp>
        <stp>4/15/2019</stp>
        <stp>4/15/2019</stp>
        <stp>[Basic Pricing.xlsm]FX_Curve_History!R182C2</stp>
        <tr r="B182" s="50"/>
      </tp>
      <tp t="e">
        <v>#N/A</v>
        <stp/>
        <stp>##V3_BDPV12</stp>
        <stp>HASWDI3Y CMPN Curncy</stp>
        <stp>PX_LAST</stp>
        <stp>[Basic Pricing.xlsm]Rate_History!R158C21</stp>
        <tr r="U158" s="49"/>
      </tp>
      <tp t="e">
        <v>#N/A</v>
        <stp/>
        <stp>##V3_BDHV12</stp>
        <stp>CLSWIB1F Index</stp>
        <stp>PX_LAST</stp>
        <stp>4/15/2019</stp>
        <stp>4/15/2019</stp>
        <stp>[Basic Pricing.xlsm]FX_Curve_History!R187C2</stp>
        <tr r="B187" s="50"/>
      </tp>
      <tp t="e">
        <v>#N/A</v>
        <stp/>
        <stp>##V3_BDPV12</stp>
        <stp>BAZ0 Comdty</stp>
        <stp>PX_LAST</stp>
        <stp>[Basic Pricing.xlsm]FX_Curve_Live!R137C4</stp>
        <tr r="D137" s="42"/>
      </tp>
      <tp t="e">
        <v>#N/A</v>
        <stp/>
        <stp>##V3_BDPV12</stp>
        <stp>USSW5 Index</stp>
        <stp>PX_LAST</stp>
        <stp>[Basic Pricing.xlsm]Rate_Live!R9C6</stp>
        <tr r="F9" s="39"/>
      </tp>
      <tp t="e">
        <v>#N/A</v>
        <stp/>
        <stp>##V3_BDHV12</stp>
        <stp>CHF10Y BGN Curncy</stp>
        <stp>PX_LAST</stp>
        <stp>4/15/2019</stp>
        <stp>4/15/2019</stp>
        <stp>[Basic Pricing.xlsm]FXFR!R131C4</stp>
        <tr r="D131" s="46"/>
      </tp>
      <tp t="e">
        <v>#N/A</v>
        <stp/>
        <stp>##V3_BDPV12</stp>
        <stp>BAH0 Comdty</stp>
        <stp>PX_LAST</stp>
        <stp>[Basic Pricing.xlsm]FX_Curve_Live!R134C4</stp>
        <tr r="D134" s="42"/>
      </tp>
      <tp t="e">
        <v>#N/A</v>
        <stp/>
        <stp>##V3_BDHV12</stp>
        <stp>EDU9 Comdty</stp>
        <stp>PX_LAST</stp>
        <stp>4/15/2019</stp>
        <stp>4/15/2019</stp>
        <stp>[Basic Pricing.xlsm]FX_Curve_History!R7C4</stp>
        <tr r="D7" s="50"/>
      </tp>
      <tp t="e">
        <v>#N/A</v>
        <stp/>
        <stp>##V3_BDHV12</stp>
        <stp>EDZ9 Comdty</stp>
        <stp>PX_LAST</stp>
        <stp>4/15/2019</stp>
        <stp>4/15/2019</stp>
        <stp>[Basic Pricing.xlsm]FX_Curve_History!R8C4</stp>
        <tr r="D8" s="50"/>
      </tp>
      <tp t="e">
        <v>#N/A</v>
        <stp/>
        <stp>##V3_BDPV12</stp>
        <stp>USSW4 Index</stp>
        <stp>PX_LAST</stp>
        <stp>[Basic Pricing.xlsm]Rate_Live!R8C6</stp>
        <tr r="F8" s="39"/>
      </tp>
      <tp t="e">
        <v>#N/A</v>
        <stp/>
        <stp>##V3_BDPV12</stp>
        <stp>HASWDI10Y CMPN Curncy</stp>
        <stp>PX_LAST</stp>
        <stp>[Basic Pricing.xlsm]Rate_History!R165C21</stp>
        <tr r="U165" s="49"/>
      </tp>
      <tp t="e">
        <v>#N/A</v>
        <stp/>
        <stp>##V3_BDPV12</stp>
        <stp>HASWDI10Y CMPN Curncy</stp>
        <stp>PX_LAST</stp>
        <stp>[Basic Pricing.xlsm]Rate_History!R166C21</stp>
        <tr r="U166" s="49"/>
      </tp>
      <tp t="e">
        <v>#N/A</v>
        <stp/>
        <stp>##V3_BDPV12</stp>
        <stp>HASWDI10Y CMPN Curncy</stp>
        <stp>PX_LAST</stp>
        <stp>[Basic Pricing.xlsm]Rate_History!R167C21</stp>
        <tr r="U167" s="49"/>
      </tp>
      <tp t="e">
        <v>#N/A</v>
        <stp/>
        <stp>##V3_BDPV12</stp>
        <stp>HASWDI10Y CMPN Curncy</stp>
        <stp>PX_LAST</stp>
        <stp>[Basic Pricing.xlsm]Rate_History!R168C21</stp>
        <tr r="U168" s="49"/>
      </tp>
      <tp t="e">
        <v>#N/A</v>
        <stp/>
        <stp>##V3_BDPV12</stp>
        <stp>HASWDI10Y CMPN Curncy</stp>
        <stp>PX_LAST</stp>
        <stp>[Basic Pricing.xlsm]Rate_History!R169C21</stp>
        <tr r="U169" s="49"/>
      </tp>
      <tp t="e">
        <v>#N/A</v>
        <stp/>
        <stp>##V3_BDPV12</stp>
        <stp>HASWDI10Y CMPN Curncy</stp>
        <stp>PX_LAST</stp>
        <stp>[Basic Pricing.xlsm]Rate_History!R170C21</stp>
        <tr r="U170" s="49"/>
      </tp>
      <tp t="e">
        <v>#N/A</v>
        <stp/>
        <stp>##V3_BDPV12</stp>
        <stp>HASWDI10Y CMPN Curncy</stp>
        <stp>PX_LAST</stp>
        <stp>[Basic Pricing.xlsm]Rate_History!R171C21</stp>
        <tr r="U171" s="49"/>
      </tp>
      <tp t="e">
        <v>#N/A</v>
        <stp/>
        <stp>##V3_BDPV12</stp>
        <stp>HASWDI10Y CMPN Curncy</stp>
        <stp>PX_LAST</stp>
        <stp>[Basic Pricing.xlsm]Rate_History!R172C21</stp>
        <tr r="U172" s="49"/>
      </tp>
      <tp t="e">
        <v>#N/A</v>
        <stp/>
        <stp>##V3_BDPV12</stp>
        <stp>HASWDI1Y CMPN Curncy</stp>
        <stp>PX_LAST</stp>
        <stp>[Basic Pricing.xlsm]Rate_History!R156C21</stp>
        <tr r="U156" s="49"/>
      </tp>
      <tp t="e">
        <v>#N/A</v>
        <stp/>
        <stp>##V3_BDPV12</stp>
        <stp>BAM0 Comdty</stp>
        <stp>PX_LAST</stp>
        <stp>[Basic Pricing.xlsm]FX_Curve_Live!R135C4</stp>
        <tr r="D135" s="42"/>
      </tp>
      <tp t="e">
        <v>#N/A</v>
        <stp/>
        <stp>##V3_BDHV12</stp>
        <stp>JY00S/N Index</stp>
        <stp>PX_LAST</stp>
        <stp>4/15/2019</stp>
        <stp>4/15/2019</stp>
        <stp>[Basic Pricing.xlsm]Rate_History!R56C2</stp>
        <tr r="B56" s="49"/>
      </tp>
      <tp t="e">
        <v>#N/A</v>
        <stp/>
        <stp>##V3_BDHV12</stp>
        <stp>USONC2 ICPL curncy</stp>
        <stp>PX_LAST</stp>
        <stp>4/15/2019</stp>
        <stp>4/15/2019</stp>
        <stp>[Basic Pricing.xlsm]Vol_Surface!R5C7</stp>
        <tr r="G5" s="53"/>
      </tp>
      <tp t="e">
        <v>#N/A</v>
        <stp/>
        <stp>##V3_BDHV12</stp>
        <stp>USONB1 ICPL curncy</stp>
        <stp>PX_LAST</stp>
        <stp>4/15/2019</stp>
        <stp>4/15/2019</stp>
        <stp>[Basic Pricing.xlsm]Vol_Surface!R4C6</stp>
        <tr r="F4" s="53"/>
      </tp>
      <tp t="e">
        <v>#N/A</v>
        <stp/>
        <stp>##V3_BDHV12</stp>
        <stp>USONA4 ICPL curncy</stp>
        <stp>PX_LAST</stp>
        <stp>4/15/2019</stp>
        <stp>4/15/2019</stp>
        <stp>[Basic Pricing.xlsm]Vol_Surface!R7C5</stp>
        <tr r="E7" s="53"/>
      </tp>
      <tp t="e">
        <v>#N/A</v>
        <stp/>
        <stp>##V3_BDHV12</stp>
        <stp>USONI2 ICPL curncy</stp>
        <stp>PX_LAST</stp>
        <stp>4/15/2019</stp>
        <stp>4/15/2019</stp>
        <stp>[Basic Pricing.xlsm]Vol_Surface!R5C11</stp>
        <tr r="K5" s="53"/>
      </tp>
      <tp t="e">
        <v>#N/A</v>
        <stp/>
        <stp>##V3_BDHV12</stp>
        <stp>USONH2 ICPL curncy</stp>
        <stp>PX_LAST</stp>
        <stp>4/15/2019</stp>
        <stp>4/15/2019</stp>
        <stp>[Basic Pricing.xlsm]Vol_Surface!R5C10</stp>
        <tr r="J5" s="53"/>
      </tp>
      <tp t="e">
        <v>#N/A</v>
        <stp/>
        <stp>##V3_BDPV12</stp>
        <stp>BP0001M Index</stp>
        <stp>PX_LAST</stp>
        <stp>[Basic Pricing.xlsm]Rate_Live!R82C2</stp>
        <tr r="B82" s="39"/>
      </tp>
      <tp t="e">
        <v>#N/A</v>
        <stp/>
        <stp>##V3_BDPV12</stp>
        <stp>BP00O/N Index</stp>
        <stp>PX_LAST</stp>
        <stp>[Basic Pricing.xlsm]Rate_Live!R81C2</stp>
        <tr r="B81" s="39"/>
      </tp>
      <tp t="e">
        <v>#N/A</v>
        <stp/>
        <stp>##V3_BDHV12</stp>
        <stp>JY0006M Index</stp>
        <stp>PX_LAST</stp>
        <stp>4/15/2019</stp>
        <stp>4/15/2019</stp>
        <stp>[Basic Pricing.xlsm]Rate_History!R60C2</stp>
        <tr r="B60" s="49"/>
      </tp>
      <tp t="e">
        <v>#N/A</v>
        <stp/>
        <stp>##V3_BDHV12</stp>
        <stp>JY0001M Index</stp>
        <stp>PX_LAST</stp>
        <stp>4/15/2019</stp>
        <stp>4/15/2019</stp>
        <stp>[Basic Pricing.xlsm]Rate_History!R57C2</stp>
        <tr r="B57" s="49"/>
      </tp>
      <tp t="e">
        <v>#N/A</v>
        <stp/>
        <stp>##V3_BDPV12</stp>
        <stp>ESZ9 Comdty</stp>
        <stp>PX_LAST</stp>
        <stp>[Basic Pricing.xlsm]FX_Curve_Live!R108C4</stp>
        <tr r="D108" s="42"/>
      </tp>
      <tp t="e">
        <v>#N/A</v>
        <stp/>
        <stp>##V3_BDPV12</stp>
        <stp>BPBS1 curncy</stp>
        <stp>PX_LAST</stp>
        <stp>[Basic Pricing.xlsm]FX_Curve_Live!R81C16</stp>
        <tr r="P81" s="42"/>
      </tp>
      <tp t="e">
        <v>#N/A</v>
        <stp/>
        <stp>##V3_BDHV12</stp>
        <stp>USONB2 ICPL curncy</stp>
        <stp>PX_LAST</stp>
        <stp>4/15/2019</stp>
        <stp>4/15/2019</stp>
        <stp>[Basic Pricing.xlsm]Vol_Surface!R5C6</stp>
        <tr r="F5" s="53"/>
      </tp>
      <tp t="e">
        <v>#N/A</v>
        <stp/>
        <stp>##V3_BDHV12</stp>
        <stp>USONA3 ICPL curncy</stp>
        <stp>PX_LAST</stp>
        <stp>4/15/2019</stp>
        <stp>4/15/2019</stp>
        <stp>[Basic Pricing.xlsm]Vol_Surface!R6C5</stp>
        <tr r="E6" s="53"/>
      </tp>
      <tp t="e">
        <v>#N/A</v>
        <stp/>
        <stp>##V3_BDHV12</stp>
        <stp>USONC1 ICPL curncy</stp>
        <stp>PX_LAST</stp>
        <stp>4/15/2019</stp>
        <stp>4/15/2019</stp>
        <stp>[Basic Pricing.xlsm]Vol_Surface!R4C7</stp>
        <tr r="G4" s="53"/>
      </tp>
      <tp t="e">
        <v>#N/A</v>
        <stp/>
        <stp>##V3_BDHV12</stp>
        <stp>EDH1 Comdty</stp>
        <stp>PX_LAST</stp>
        <stp>4/15/2019</stp>
        <stp>4/15/2019</stp>
        <stp>[Basic Pricing.xlsm]Rate_History!R13C4</stp>
        <tr r="D13" s="49"/>
      </tp>
      <tp t="e">
        <v>#N/A</v>
        <stp/>
        <stp>##V3_BDHV12</stp>
        <stp>EDZ0 Comdty</stp>
        <stp>PX_LAST</stp>
        <stp>4/15/2019</stp>
        <stp>4/15/2019</stp>
        <stp>[Basic Pricing.xlsm]Rate_History!R12C4</stp>
        <tr r="D12" s="49"/>
      </tp>
      <tp t="e">
        <v>#N/A</v>
        <stp/>
        <stp>##V3_BDHV12</stp>
        <stp>YEH1 Comdty</stp>
        <stp>PX_LAST</stp>
        <stp>4/15/2019</stp>
        <stp>4/15/2019</stp>
        <stp>[Basic Pricing.xlsm]Rate_History!R63C4</stp>
        <tr r="D63" s="49"/>
      </tp>
      <tp t="e">
        <v>#N/A</v>
        <stp/>
        <stp>##V3_BDHV12</stp>
        <stp>YEZ0 Comdty</stp>
        <stp>PX_LAST</stp>
        <stp>4/15/2019</stp>
        <stp>4/15/2019</stp>
        <stp>[Basic Pricing.xlsm]Rate_History!R62C4</stp>
        <tr r="D62" s="49"/>
      </tp>
      <tp t="e">
        <v>#N/A</v>
        <stp/>
        <stp>##V3_BDPV12</stp>
        <stp>ESH0 Comdty</stp>
        <stp>PX_LAST</stp>
        <stp>[Basic Pricing.xlsm]FX_Curve_Live!R109C4</stp>
        <tr r="D109" s="42"/>
      </tp>
      <tp t="e">
        <v>#N/A</v>
        <stp/>
        <stp>##V3_BDHV12</stp>
        <stp>USONI3 ICPL curncy</stp>
        <stp>PX_LAST</stp>
        <stp>4/15/2019</stp>
        <stp>4/15/2019</stp>
        <stp>[Basic Pricing.xlsm]Vol_Surface!R6C11</stp>
        <tr r="K6" s="53"/>
      </tp>
      <tp t="e">
        <v>#N/A</v>
        <stp/>
        <stp>##V3_BDHV12</stp>
        <stp>USONH3 ICPL curncy</stp>
        <stp>PX_LAST</stp>
        <stp>4/15/2019</stp>
        <stp>4/15/2019</stp>
        <stp>[Basic Pricing.xlsm]Vol_Surface!R6C10</stp>
        <tr r="J6" s="53"/>
      </tp>
      <tp t="e">
        <v>#N/A</v>
        <stp/>
        <stp>##V3_BDPV12</stp>
        <stp>BP0002M Index</stp>
        <stp>PX_LAST</stp>
        <stp>[Basic Pricing.xlsm]Rate_Live!R83C2</stp>
        <tr r="B83" s="39"/>
      </tp>
      <tp t="e">
        <v>#N/A</v>
        <stp/>
        <stp>##V3_BDHV12</stp>
        <stp>USONA2 ICPL curncy</stp>
        <stp>PX_LAST</stp>
        <stp>4/15/2019</stp>
        <stp>4/15/2019</stp>
        <stp>[Basic Pricing.xlsm]Vol_Surface!R5C5</stp>
        <tr r="E5" s="53"/>
      </tp>
      <tp t="e">
        <v>#N/A</v>
        <stp/>
        <stp>##V3_BDHV12</stp>
        <stp>USONB3 ICPL curncy</stp>
        <stp>PX_LAST</stp>
        <stp>4/15/2019</stp>
        <stp>4/15/2019</stp>
        <stp>[Basic Pricing.xlsm]Vol_Surface!R6C6</stp>
        <tr r="F6" s="53"/>
      </tp>
      <tp t="e">
        <v>#N/A</v>
        <stp/>
        <stp>##V3_BDHV12</stp>
        <stp>USONC4 ICPL curncy</stp>
        <stp>PX_LAST</stp>
        <stp>4/15/2019</stp>
        <stp>4/15/2019</stp>
        <stp>[Basic Pricing.xlsm]Vol_Surface!R7C7</stp>
        <tr r="G7" s="53"/>
      </tp>
      <tp t="e">
        <v>#N/A</v>
        <stp/>
        <stp>##V3_BDHV12</stp>
        <stp>EDU0 Comdty</stp>
        <stp>PX_LAST</stp>
        <stp>4/15/2019</stp>
        <stp>4/15/2019</stp>
        <stp>[Basic Pricing.xlsm]Rate_History!R11C4</stp>
        <tr r="D11" s="49"/>
      </tp>
      <tp t="e">
        <v>#N/A</v>
        <stp/>
        <stp>##V3_BDHV12</stp>
        <stp>YEU0 Comdty</stp>
        <stp>PX_LAST</stp>
        <stp>4/15/2019</stp>
        <stp>4/15/2019</stp>
        <stp>[Basic Pricing.xlsm]Rate_History!R61C4</stp>
        <tr r="D61" s="49"/>
      </tp>
      <tp t="e">
        <v>#N/A</v>
        <stp/>
        <stp>##V3_BDHV12</stp>
        <stp>YEZ9 Comdty</stp>
        <stp>PX_LAST</stp>
        <stp>4/15/2019</stp>
        <stp>4/15/2019</stp>
        <stp>[Basic Pricing.xlsm]Rate_History!R58C4</stp>
        <tr r="D58" s="49"/>
      </tp>
      <tp t="e">
        <v>#N/A</v>
        <stp/>
        <stp>##V3_BDPV12</stp>
        <stp>JY0006M Index</stp>
        <stp>PX_LAST</stp>
        <stp>[Basic Pricing.xlsm]Rate_Live!R60C2</stp>
        <tr r="B60" s="39"/>
      </tp>
      <tp t="e">
        <v>#N/A</v>
        <stp/>
        <stp>##V3_BDHV12</stp>
        <stp>HASWDI4Y CMPN Curncy</stp>
        <stp>LAST_PRICE</stp>
        <stp>4/15/2019</stp>
        <stp>4/15/2019</stp>
        <stp>[Basic Pricing.xlsm]Rate_History!R159C20</stp>
        <tr r="T159" s="49"/>
      </tp>
      <tp t="e">
        <v>#N/A</v>
        <stp/>
        <stp>##V3_BDHV12</stp>
        <stp>HASWDI5Y CMPN Curncy</stp>
        <stp>LAST_PRICE</stp>
        <stp>4/15/2019</stp>
        <stp>4/15/2019</stp>
        <stp>[Basic Pricing.xlsm]Rate_History!R160C20</stp>
        <tr r="T160" s="49"/>
      </tp>
      <tp t="e">
        <v>#N/A</v>
        <stp/>
        <stp>##V3_BDHV12</stp>
        <stp>HASWDI6Y CMPN Curncy</stp>
        <stp>LAST_PRICE</stp>
        <stp>4/15/2019</stp>
        <stp>4/15/2019</stp>
        <stp>[Basic Pricing.xlsm]Rate_History!R161C20</stp>
        <tr r="T161" s="49"/>
      </tp>
      <tp t="e">
        <v>#N/A</v>
        <stp/>
        <stp>##V3_BDHV12</stp>
        <stp>HASWDI7Y CMPN Curncy</stp>
        <stp>LAST_PRICE</stp>
        <stp>4/15/2019</stp>
        <stp>4/15/2019</stp>
        <stp>[Basic Pricing.xlsm]Rate_History!R162C20</stp>
        <tr r="T162" s="49"/>
      </tp>
      <tp t="e">
        <v>#N/A</v>
        <stp/>
        <stp>##V3_BDHV12</stp>
        <stp>HASWDI1Y CMPN Curncy</stp>
        <stp>LAST_PRICE</stp>
        <stp>4/15/2019</stp>
        <stp>4/15/2019</stp>
        <stp>[Basic Pricing.xlsm]Rate_History!R156C20</stp>
        <tr r="T156" s="49"/>
      </tp>
      <tp t="e">
        <v>#N/A</v>
        <stp/>
        <stp>##V3_BDHV12</stp>
        <stp>HASWDI2Y CMPN Curncy</stp>
        <stp>LAST_PRICE</stp>
        <stp>4/15/2019</stp>
        <stp>4/15/2019</stp>
        <stp>[Basic Pricing.xlsm]Rate_History!R157C20</stp>
        <tr r="T157" s="49"/>
      </tp>
      <tp t="e">
        <v>#N/A</v>
        <stp/>
        <stp>##V3_BDHV12</stp>
        <stp>HASWDI3Y CMPN Curncy</stp>
        <stp>LAST_PRICE</stp>
        <stp>4/15/2019</stp>
        <stp>4/15/2019</stp>
        <stp>[Basic Pricing.xlsm]Rate_History!R158C20</stp>
        <tr r="T158" s="49"/>
      </tp>
      <tp t="e">
        <v>#N/A</v>
        <stp/>
        <stp>##V3_BDHV12</stp>
        <stp>HASWDI8Y CMPN Curncy</stp>
        <stp>LAST_PRICE</stp>
        <stp>4/15/2019</stp>
        <stp>4/15/2019</stp>
        <stp>[Basic Pricing.xlsm]Rate_History!R163C20</stp>
        <tr r="T163" s="49"/>
      </tp>
      <tp t="e">
        <v>#N/A</v>
        <stp/>
        <stp>##V3_BDHV12</stp>
        <stp>HASWDI9Y CMPN Curncy</stp>
        <stp>LAST_PRICE</stp>
        <stp>4/15/2019</stp>
        <stp>4/15/2019</stp>
        <stp>[Basic Pricing.xlsm]Rate_History!R164C20</stp>
        <tr r="T164" s="49"/>
      </tp>
      <tp t="e">
        <v>#N/A</v>
        <stp/>
        <stp>##V3_BDHV12</stp>
        <stp>USONC3 ICPL curncy</stp>
        <stp>PX_LAST</stp>
        <stp>4/15/2019</stp>
        <stp>4/15/2019</stp>
        <stp>[Basic Pricing.xlsm]Vol_Surface!R6C7</stp>
        <tr r="G6" s="53"/>
      </tp>
      <tp t="e">
        <v>#N/A</v>
        <stp/>
        <stp>##V3_BDHV12</stp>
        <stp>USONA1 ICPL curncy</stp>
        <stp>PX_LAST</stp>
        <stp>4/15/2019</stp>
        <stp>4/15/2019</stp>
        <stp>[Basic Pricing.xlsm]Vol_Surface!R4C5</stp>
        <tr r="E4" s="53"/>
      </tp>
      <tp t="e">
        <v>#N/A</v>
        <stp/>
        <stp>##V3_BDHV12</stp>
        <stp>USONB4 ICPL curncy</stp>
        <stp>PX_LAST</stp>
        <stp>4/15/2019</stp>
        <stp>4/15/2019</stp>
        <stp>[Basic Pricing.xlsm]Vol_Surface!R7C6</stp>
        <tr r="F7" s="53"/>
      </tp>
      <tp t="e">
        <v>#N/A</v>
        <stp/>
        <stp>##V3_BDHV12</stp>
        <stp>EDM0 Comdty</stp>
        <stp>PX_LAST</stp>
        <stp>4/15/2019</stp>
        <stp>4/15/2019</stp>
        <stp>[Basic Pricing.xlsm]Rate_History!R10C4</stp>
        <tr r="D10" s="49"/>
      </tp>
      <tp t="e">
        <v>#N/A</v>
        <stp/>
        <stp>##V3_BDHV12</stp>
        <stp>YEM0 Comdty</stp>
        <stp>PX_LAST</stp>
        <stp>4/15/2019</stp>
        <stp>4/15/2019</stp>
        <stp>[Basic Pricing.xlsm]Rate_History!R60C4</stp>
        <tr r="D60" s="49"/>
      </tp>
      <tp t="e">
        <v>#N/A</v>
        <stp/>
        <stp>##V3_BDPV12</stp>
        <stp>JYBS1 Index</stp>
        <stp>PX_LAST</stp>
        <stp>[Basic Pricing.xlsm]FX_Curve_Live!R56C16</stp>
        <tr r="P56" s="42"/>
      </tp>
      <tp t="e">
        <v>#N/A</v>
        <stp/>
        <stp>##V3_BDPV12</stp>
        <stp>JYBS4 Index</stp>
        <stp>PX_LAST</stp>
        <stp>[Basic Pricing.xlsm]FX_Curve_Live!R58C13</stp>
        <tr r="M58" s="42"/>
      </tp>
      <tp t="e">
        <v>#N/A</v>
        <stp/>
        <stp>##V3_BDPV12</stp>
        <stp>JYBS5 Index</stp>
        <stp>PX_LAST</stp>
        <stp>[Basic Pricing.xlsm]FX_Curve_Live!R59C13</stp>
        <tr r="M59" s="42"/>
      </tp>
      <tp t="e">
        <v>#N/A</v>
        <stp/>
        <stp>##V3_BDPV12</stp>
        <stp>JYBS2 Index</stp>
        <stp>PX_LAST</stp>
        <stp>[Basic Pricing.xlsm]FX_Curve_Live!R56C13</stp>
        <tr r="M56" s="42"/>
      </tp>
      <tp t="e">
        <v>#N/A</v>
        <stp/>
        <stp>##V3_BDPV12</stp>
        <stp>JYBS3 Index</stp>
        <stp>PX_LAST</stp>
        <stp>[Basic Pricing.xlsm]FX_Curve_Live!R57C13</stp>
        <tr r="M57" s="42"/>
      </tp>
      <tp t="e">
        <v>#N/A</v>
        <stp/>
        <stp>##V3_BDPV12</stp>
        <stp>JYBS8 Index</stp>
        <stp>PX_LAST</stp>
        <stp>[Basic Pricing.xlsm]FX_Curve_Live!R62C13</stp>
        <tr r="M62" s="42"/>
      </tp>
      <tp t="e">
        <v>#N/A</v>
        <stp/>
        <stp>##V3_BDPV12</stp>
        <stp>JYBS9 Index</stp>
        <stp>PX_LAST</stp>
        <stp>[Basic Pricing.xlsm]FX_Curve_Live!R63C13</stp>
        <tr r="M63" s="42"/>
      </tp>
      <tp t="e">
        <v>#N/A</v>
        <stp/>
        <stp>##V3_BDPV12</stp>
        <stp>JYBS6 Index</stp>
        <stp>PX_LAST</stp>
        <stp>[Basic Pricing.xlsm]FX_Curve_Live!R60C13</stp>
        <tr r="M60" s="42"/>
      </tp>
      <tp t="e">
        <v>#N/A</v>
        <stp/>
        <stp>##V3_BDPV12</stp>
        <stp>JYBS7 Index</stp>
        <stp>PX_LAST</stp>
        <stp>[Basic Pricing.xlsm]FX_Curve_Live!R61C13</stp>
        <tr r="M61" s="42"/>
      </tp>
      <tp t="e">
        <v>#N/A</v>
        <stp/>
        <stp>##V3_BDPV12</stp>
        <stp>JYSSTL2 index</stp>
        <stp>PX_LAST</stp>
        <stp>[Basic Pricing.xlsm]Rate_Live!R58C14</stp>
        <tr r="N58" s="39"/>
      </tp>
      <tp t="e">
        <v>#N/A</v>
        <stp/>
        <stp>##V3_BDPV12</stp>
        <stp>JYSSTL1 index</stp>
        <stp>PX_LAST</stp>
        <stp>[Basic Pricing.xlsm]Rate_Live!R57C14</stp>
        <tr r="N57" s="39"/>
      </tp>
      <tp t="e">
        <v>#N/A</v>
        <stp/>
        <stp>##V3_BDHV12</stp>
        <stp>USONI1 ICPL curncy</stp>
        <stp>PX_LAST</stp>
        <stp>4/15/2019</stp>
        <stp>4/15/2019</stp>
        <stp>[Basic Pricing.xlsm]Vol_Surface!R4C11</stp>
        <tr r="K4" s="53"/>
      </tp>
      <tp t="e">
        <v>#N/A</v>
        <stp/>
        <stp>##V3_BDHV12</stp>
        <stp>USONH1 ICPL curncy</stp>
        <stp>PX_LAST</stp>
        <stp>4/15/2019</stp>
        <stp>4/15/2019</stp>
        <stp>[Basic Pricing.xlsm]Vol_Surface!R4C10</stp>
        <tr r="J4" s="53"/>
      </tp>
      <tp t="e">
        <v>#N/A</v>
        <stp/>
        <stp>##V3_BDPV12</stp>
        <stp>JY0012M Index</stp>
        <stp>PX_LAST</stp>
        <stp>[Basic Pricing.xlsm]Rate_Live!R61C2</stp>
        <tr r="B61" s="39"/>
      </tp>
      <tp t="e">
        <v>#N/A</v>
        <stp/>
        <stp>##V3_BDHV12</stp>
        <stp>USOND3 ICPL curncy</stp>
        <stp>PX_LAST</stp>
        <stp>4/15/2019</stp>
        <stp>4/15/2019</stp>
        <stp>[Basic Pricing.xlsm]Vol_Surface!R6C8</stp>
        <tr r="H6" s="53"/>
      </tp>
      <tp t="e">
        <v>#N/A</v>
        <stp/>
        <stp>##V3_BDHV12</stp>
        <stp>USONE4 ICPL curncy</stp>
        <stp>PX_LAST</stp>
        <stp>4/15/2019</stp>
        <stp>4/15/2019</stp>
        <stp>[Basic Pricing.xlsm]Vol_Surface!R7C9</stp>
        <tr r="I7" s="53"/>
      </tp>
      <tp t="e">
        <v>#N/A</v>
        <stp/>
        <stp>##V3_BDHV12</stp>
        <stp>ERZ0 Comdty</stp>
        <stp>PX_LAST</stp>
        <stp>4/15/2019</stp>
        <stp>4/15/2019</stp>
        <stp>[Basic Pricing.xlsm]Rate_History!R37C4</stp>
        <tr r="D37" s="49"/>
      </tp>
      <tp t="e">
        <v>#N/A</v>
        <stp/>
        <stp>##V3_BDPV12</stp>
        <stp>SFBS6 Index</stp>
        <stp>PX_LAST</stp>
        <stp>[Basic Pricing.xlsm]FX_Curve_History!R110C13</stp>
        <tr r="M110" s="50"/>
      </tp>
      <tp t="e">
        <v>#N/A</v>
        <stp/>
        <stp>##V3_BDPV12</stp>
        <stp>SFBS7 Index</stp>
        <stp>PX_LAST</stp>
        <stp>[Basic Pricing.xlsm]FX_Curve_History!R111C13</stp>
        <tr r="M111" s="50"/>
      </tp>
      <tp t="e">
        <v>#N/A</v>
        <stp/>
        <stp>##V3_BDPV12</stp>
        <stp>SFBS8 Index</stp>
        <stp>PX_LAST</stp>
        <stp>[Basic Pricing.xlsm]FX_Curve_History!R112C13</stp>
        <tr r="M112" s="50"/>
      </tp>
      <tp t="e">
        <v>#N/A</v>
        <stp/>
        <stp>##V3_BDPV12</stp>
        <stp>SFBS9 Index</stp>
        <stp>PX_LAST</stp>
        <stp>[Basic Pricing.xlsm]FX_Curve_History!R113C13</stp>
        <tr r="M113" s="50"/>
      </tp>
      <tp t="e">
        <v>#N/A</v>
        <stp/>
        <stp>##V3_BDPV12</stp>
        <stp>SFBS2 Index</stp>
        <stp>PX_LAST</stp>
        <stp>[Basic Pricing.xlsm]FX_Curve_History!R106C13</stp>
        <tr r="M106" s="50"/>
      </tp>
      <tp t="e">
        <v>#N/A</v>
        <stp/>
        <stp>##V3_BDPV12</stp>
        <stp>SFBS4 Index</stp>
        <stp>PX_LAST</stp>
        <stp>[Basic Pricing.xlsm]FX_Curve_History!R108C13</stp>
        <tr r="M108" s="50"/>
      </tp>
      <tp t="e">
        <v>#N/A</v>
        <stp/>
        <stp>##V3_BDPV12</stp>
        <stp>SFBS5 Index</stp>
        <stp>PX_LAST</stp>
        <stp>[Basic Pricing.xlsm]FX_Curve_History!R109C13</stp>
        <tr r="M109" s="50"/>
      </tp>
      <tp t="e">
        <v>#N/A</v>
        <stp/>
        <stp>##V3_BDPV12</stp>
        <stp>SFBS1 Index</stp>
        <stp>PX_LAST</stp>
        <stp>[Basic Pricing.xlsm]FX_Curve_History!R106C16</stp>
        <tr r="P106" s="50"/>
      </tp>
      <tp t="e">
        <v>#N/A</v>
        <stp/>
        <stp>##V3_BDHV12</stp>
        <stp>L Z0 Comdty</stp>
        <stp>PX_LAST</stp>
        <stp>4/15/2019</stp>
        <stp>4/15/2019</stp>
        <stp>[Basic Pricing.xlsm]Rate_History!R87C4</stp>
        <tr r="D87" s="49"/>
      </tp>
      <tp t="e">
        <v>#N/A</v>
        <stp/>
        <stp>##V3_BDPV12</stp>
        <stp>BP0012M Index</stp>
        <stp>PX_LAST</stp>
        <stp>[Basic Pricing.xlsm]Rate_Live!R86C2</stp>
        <tr r="B86" s="39"/>
      </tp>
      <tp t="e">
        <v>#N/A</v>
        <stp/>
        <stp>##V3_BDHV12</stp>
        <stp>USONE3 ICPL curncy</stp>
        <stp>PX_LAST</stp>
        <stp>4/15/2019</stp>
        <stp>4/15/2019</stp>
        <stp>[Basic Pricing.xlsm]Vol_Surface!R6C9</stp>
        <tr r="I6" s="53"/>
      </tp>
      <tp t="e">
        <v>#N/A</v>
        <stp/>
        <stp>##V3_BDHV12</stp>
        <stp>USOND4 ICPL curncy</stp>
        <stp>PX_LAST</stp>
        <stp>4/15/2019</stp>
        <stp>4/15/2019</stp>
        <stp>[Basic Pricing.xlsm]Vol_Surface!R7C8</stp>
        <tr r="H7" s="53"/>
      </tp>
      <tp t="e">
        <v>#N/A</v>
        <stp/>
        <stp>##V3_BDHV12</stp>
        <stp>ERU0 Comdty</stp>
        <stp>PX_LAST</stp>
        <stp>4/15/2019</stp>
        <stp>4/15/2019</stp>
        <stp>[Basic Pricing.xlsm]Rate_History!R36C4</stp>
        <tr r="D36" s="49"/>
      </tp>
      <tp t="e">
        <v>#N/A</v>
        <stp/>
        <stp>##V3_BDHV12</stp>
        <stp>L U0 Comdty</stp>
        <stp>PX_LAST</stp>
        <stp>4/15/2019</stp>
        <stp>4/15/2019</stp>
        <stp>[Basic Pricing.xlsm]Rate_History!R86C4</stp>
        <tr r="D86" s="49"/>
      </tp>
      <tp t="e">
        <v>#N/A</v>
        <stp/>
        <stp>##V3_BDHV12</stp>
        <stp>SFSW9 CMPN Curncy</stp>
        <stp>LAST_PRICE</stp>
        <stp>4/15/2019</stp>
        <stp>4/15/2019</stp>
        <stp>[Basic Pricing.xlsm]Rate_History!R113C20</stp>
        <tr r="T113" s="49"/>
      </tp>
      <tp t="e">
        <v>#N/A</v>
        <stp/>
        <stp>##V3_BDHV12</stp>
        <stp>SFSW8 CMPN Curncy</stp>
        <stp>LAST_PRICE</stp>
        <stp>4/15/2019</stp>
        <stp>4/15/2019</stp>
        <stp>[Basic Pricing.xlsm]Rate_History!R112C20</stp>
        <tr r="T112" s="49"/>
      </tp>
      <tp t="e">
        <v>#N/A</v>
        <stp/>
        <stp>##V3_BDHV12</stp>
        <stp>SFSW2 CMPN Curncy</stp>
        <stp>LAST_PRICE</stp>
        <stp>4/15/2019</stp>
        <stp>4/15/2019</stp>
        <stp>[Basic Pricing.xlsm]Rate_History!R106C20</stp>
        <tr r="T106" s="49"/>
      </tp>
      <tp t="e">
        <v>#N/A</v>
        <stp/>
        <stp>##V3_BDHV12</stp>
        <stp>SFSW3 CMPN Curncy</stp>
        <stp>LAST_PRICE</stp>
        <stp>4/15/2019</stp>
        <stp>4/15/2019</stp>
        <stp>[Basic Pricing.xlsm]Rate_History!R107C20</stp>
        <tr r="T107" s="49"/>
      </tp>
      <tp t="e">
        <v>#N/A</v>
        <stp/>
        <stp>##V3_BDHV12</stp>
        <stp>SFSW4 CMPN Curncy</stp>
        <stp>LAST_PRICE</stp>
        <stp>4/15/2019</stp>
        <stp>4/15/2019</stp>
        <stp>[Basic Pricing.xlsm]Rate_History!R108C20</stp>
        <tr r="T108" s="49"/>
      </tp>
      <tp t="e">
        <v>#N/A</v>
        <stp/>
        <stp>##V3_BDHV12</stp>
        <stp>SFSW5 CMPN Curncy</stp>
        <stp>LAST_PRICE</stp>
        <stp>4/15/2019</stp>
        <stp>4/15/2019</stp>
        <stp>[Basic Pricing.xlsm]Rate_History!R109C20</stp>
        <tr r="T109" s="49"/>
      </tp>
      <tp t="e">
        <v>#N/A</v>
        <stp/>
        <stp>##V3_BDHV12</stp>
        <stp>SFSW7 CMPN Curncy</stp>
        <stp>LAST_PRICE</stp>
        <stp>4/15/2019</stp>
        <stp>4/15/2019</stp>
        <stp>[Basic Pricing.xlsm]Rate_History!R111C20</stp>
        <tr r="T111" s="49"/>
      </tp>
      <tp t="e">
        <v>#N/A</v>
        <stp/>
        <stp>##V3_BDHV12</stp>
        <stp>SFSW6 CMPN Curncy</stp>
        <stp>LAST_PRICE</stp>
        <stp>4/15/2019</stp>
        <stp>4/15/2019</stp>
        <stp>[Basic Pricing.xlsm]Rate_History!R110C20</stp>
        <tr r="T110" s="49"/>
      </tp>
      <tp t="e">
        <v>#N/A</v>
        <stp/>
        <stp>##V3_BDHV12</stp>
        <stp>CDSW9 CMPN Curncy</stp>
        <stp>LAST_PRICE</stp>
        <stp>4/15/2019</stp>
        <stp>4/15/2019</stp>
        <stp>[Basic Pricing.xlsm]Rate_History!R138C20</stp>
        <tr r="T138" s="49"/>
      </tp>
      <tp t="e">
        <v>#N/A</v>
        <stp/>
        <stp>##V3_BDHV12</stp>
        <stp>CDSW8 CMPN Curncy</stp>
        <stp>LAST_PRICE</stp>
        <stp>4/15/2019</stp>
        <stp>4/15/2019</stp>
        <stp>[Basic Pricing.xlsm]Rate_History!R137C20</stp>
        <tr r="T137" s="49"/>
      </tp>
      <tp t="e">
        <v>#N/A</v>
        <stp/>
        <stp>##V3_BDHV12</stp>
        <stp>CDSW3 CMPN Curncy</stp>
        <stp>LAST_PRICE</stp>
        <stp>4/15/2019</stp>
        <stp>4/15/2019</stp>
        <stp>[Basic Pricing.xlsm]Rate_History!R132C20</stp>
        <tr r="T132" s="49"/>
      </tp>
      <tp t="e">
        <v>#N/A</v>
        <stp/>
        <stp>##V3_BDHV12</stp>
        <stp>CDSW2 CMPN Curncy</stp>
        <stp>LAST_PRICE</stp>
        <stp>4/15/2019</stp>
        <stp>4/15/2019</stp>
        <stp>[Basic Pricing.xlsm]Rate_History!R131C20</stp>
        <tr r="T131" s="49"/>
      </tp>
      <tp t="e">
        <v>#N/A</v>
        <stp/>
        <stp>##V3_BDHV12</stp>
        <stp>CDSW7 CMPN Curncy</stp>
        <stp>LAST_PRICE</stp>
        <stp>4/15/2019</stp>
        <stp>4/15/2019</stp>
        <stp>[Basic Pricing.xlsm]Rate_History!R136C20</stp>
        <tr r="T136" s="49"/>
      </tp>
      <tp t="e">
        <v>#N/A</v>
        <stp/>
        <stp>##V3_BDHV12</stp>
        <stp>CDSW6 CMPN Curncy</stp>
        <stp>LAST_PRICE</stp>
        <stp>4/15/2019</stp>
        <stp>4/15/2019</stp>
        <stp>[Basic Pricing.xlsm]Rate_History!R135C20</stp>
        <tr r="T135" s="49"/>
      </tp>
      <tp t="e">
        <v>#N/A</v>
        <stp/>
        <stp>##V3_BDHV12</stp>
        <stp>CDSW5 CMPN Curncy</stp>
        <stp>LAST_PRICE</stp>
        <stp>4/15/2019</stp>
        <stp>4/15/2019</stp>
        <stp>[Basic Pricing.xlsm]Rate_History!R134C20</stp>
        <tr r="T134" s="49"/>
      </tp>
      <tp t="e">
        <v>#N/A</v>
        <stp/>
        <stp>##V3_BDHV12</stp>
        <stp>CDSW4 CMPN Curncy</stp>
        <stp>LAST_PRICE</stp>
        <stp>4/15/2019</stp>
        <stp>4/15/2019</stp>
        <stp>[Basic Pricing.xlsm]Rate_History!R133C20</stp>
        <tr r="T133" s="49"/>
      </tp>
      <tp t="e">
        <v>#N/A</v>
        <stp/>
        <stp>##V3_BDHV12</stp>
        <stp>USONI7 ICPL curncy</stp>
        <stp>PX_LAST</stp>
        <stp>4/15/2019</stp>
        <stp>4/15/2019</stp>
        <stp>[Basic Pricing.xlsm]Vol_Surface!R9C11</stp>
        <tr r="K9" s="53"/>
      </tp>
      <tp t="e">
        <v>#N/A</v>
        <stp/>
        <stp>##V3_BDHV12</stp>
        <stp>USONH7 ICPL curncy</stp>
        <stp>PX_LAST</stp>
        <stp>4/15/2019</stp>
        <stp>4/15/2019</stp>
        <stp>[Basic Pricing.xlsm]Vol_Surface!R9C10</stp>
        <tr r="J9" s="53"/>
      </tp>
      <tp t="e">
        <v>#N/A</v>
        <stp/>
        <stp>##V3_BDPV12</stp>
        <stp>JY0001M Index</stp>
        <stp>PX_LAST</stp>
        <stp>[Basic Pricing.xlsm]Rate_Live!R57C2</stp>
        <tr r="B57" s="39"/>
      </tp>
      <tp t="e">
        <v>#N/A</v>
        <stp/>
        <stp>##V3_BDHV12</stp>
        <stp>JY0012M Index</stp>
        <stp>PX_LAST</stp>
        <stp>4/15/2019</stp>
        <stp>4/15/2019</stp>
        <stp>[Basic Pricing.xlsm]Rate_History!R61C2</stp>
        <tr r="B61" s="49"/>
      </tp>
      <tp t="e">
        <v>#N/A</v>
        <stp/>
        <stp>##V3_BDHV12</stp>
        <stp>USONE2 ICPL curncy</stp>
        <stp>PX_LAST</stp>
        <stp>4/15/2019</stp>
        <stp>4/15/2019</stp>
        <stp>[Basic Pricing.xlsm]Vol_Surface!R5C9</stp>
        <tr r="I5" s="53"/>
      </tp>
      <tp t="e">
        <v>#N/A</v>
        <stp/>
        <stp>##V3_BDHV12</stp>
        <stp>USOND1 ICPL curncy</stp>
        <stp>PX_LAST</stp>
        <stp>4/15/2019</stp>
        <stp>4/15/2019</stp>
        <stp>[Basic Pricing.xlsm]Vol_Surface!R4C8</stp>
        <tr r="H4" s="53"/>
      </tp>
      <tp t="e">
        <v>#N/A</v>
        <stp/>
        <stp>##V3_BDHV12</stp>
        <stp>ERM0 Comdty</stp>
        <stp>PX_LAST</stp>
        <stp>4/15/2019</stp>
        <stp>4/15/2019</stp>
        <stp>[Basic Pricing.xlsm]Rate_History!R35C4</stp>
        <tr r="D35" s="49"/>
      </tp>
      <tp t="e">
        <v>#N/A</v>
        <stp/>
        <stp>##V3_BDHV12</stp>
        <stp>EDM9 Comdty</stp>
        <stp>PX_LAST</stp>
        <stp>4/15/2019</stp>
        <stp>4/15/2019</stp>
        <stp>[Basic Pricing.xlsm]FX_Curve_History!R6C4</stp>
        <tr r="D6" s="50"/>
      </tp>
      <tp t="e">
        <v>#N/A</v>
        <stp/>
        <stp>##V3_BDPV12</stp>
        <stp>CDBS2 Index</stp>
        <stp>PX_LAST</stp>
        <stp>[Basic Pricing.xlsm]FX_Curve_History!R131C13</stp>
        <tr r="M131" s="50"/>
      </tp>
      <tp t="e">
        <v>#N/A</v>
        <stp/>
        <stp>##V3_BDPV12</stp>
        <stp>CDBS6 Index</stp>
        <stp>PX_LAST</stp>
        <stp>[Basic Pricing.xlsm]FX_Curve_History!R135C13</stp>
        <tr r="M135" s="50"/>
      </tp>
      <tp t="e">
        <v>#N/A</v>
        <stp/>
        <stp>##V3_BDPV12</stp>
        <stp>CDBS5 Index</stp>
        <stp>PX_LAST</stp>
        <stp>[Basic Pricing.xlsm]FX_Curve_History!R134C13</stp>
        <tr r="M134" s="50"/>
      </tp>
      <tp t="e">
        <v>#N/A</v>
        <stp/>
        <stp>##V3_BDPV12</stp>
        <stp>CDBS7 Index</stp>
        <stp>PX_LAST</stp>
        <stp>[Basic Pricing.xlsm]FX_Curve_History!R136C13</stp>
        <tr r="M136" s="50"/>
      </tp>
      <tp t="e">
        <v>#N/A</v>
        <stp/>
        <stp>##V3_BDPV12</stp>
        <stp>CDBS9 Index</stp>
        <stp>PX_LAST</stp>
        <stp>[Basic Pricing.xlsm]FX_Curve_History!R138C13</stp>
        <tr r="M138" s="50"/>
      </tp>
      <tp t="e">
        <v>#N/A</v>
        <stp/>
        <stp>##V3_BDPV12</stp>
        <stp>CDBS4 Index</stp>
        <stp>PX_LAST</stp>
        <stp>[Basic Pricing.xlsm]FX_Curve_History!R133C13</stp>
        <tr r="M133" s="50"/>
      </tp>
      <tp t="e">
        <v>#N/A</v>
        <stp/>
        <stp>##V3_BDPV12</stp>
        <stp>CDBS8 Index</stp>
        <stp>PX_LAST</stp>
        <stp>[Basic Pricing.xlsm]FX_Curve_History!R137C13</stp>
        <tr r="M137" s="50"/>
      </tp>
      <tp t="e">
        <v>#N/A</v>
        <stp/>
        <stp>##V3_BDPV12</stp>
        <stp>CDBS1 Index</stp>
        <stp>PX_LAST</stp>
        <stp>[Basic Pricing.xlsm]FX_Curve_History!R131C16</stp>
        <tr r="P131" s="50"/>
      </tp>
      <tp t="e">
        <v>#N/A</v>
        <stp/>
        <stp>##V3_BDHV12</stp>
        <stp>L M0 Comdty</stp>
        <stp>PX_LAST</stp>
        <stp>4/15/2019</stp>
        <stp>4/15/2019</stp>
        <stp>[Basic Pricing.xlsm]Rate_History!R85C4</stp>
        <tr r="D85" s="49"/>
      </tp>
      <tp t="e">
        <v>#N/A</v>
        <stp/>
        <stp>##V3_BDHV12</stp>
        <stp>EUNZ304 ICPL Curncy</stp>
        <stp>PX_LAST</stp>
        <stp>4/15/2019</stp>
        <stp>4/15/2019</stp>
        <stp>[Basic Pricing.xlsm]Vol_Surface!R27C11</stp>
        <tr r="K27" s="53"/>
      </tp>
      <tp t="e">
        <v>#N/A</v>
        <stp/>
        <stp>##V3_BDHV12</stp>
        <stp>EUNZ301 ICPL Curncy</stp>
        <stp>PX_LAST</stp>
        <stp>4/15/2019</stp>
        <stp>4/15/2019</stp>
        <stp>[Basic Pricing.xlsm]Vol_Surface!R24C11</stp>
        <tr r="K24" s="53"/>
      </tp>
      <tp t="e">
        <v>#N/A</v>
        <stp/>
        <stp>##V3_BDHV12</stp>
        <stp>EUNZ303 ICPL Curncy</stp>
        <stp>PX_LAST</stp>
        <stp>4/15/2019</stp>
        <stp>4/15/2019</stp>
        <stp>[Basic Pricing.xlsm]Vol_Surface!R26C11</stp>
        <tr r="K26" s="53"/>
      </tp>
      <tp t="e">
        <v>#N/A</v>
        <stp/>
        <stp>##V3_BDHV12</stp>
        <stp>EUNZ302 ICPL Curncy</stp>
        <stp>PX_LAST</stp>
        <stp>4/15/2019</stp>
        <stp>4/15/2019</stp>
        <stp>[Basic Pricing.xlsm]Vol_Surface!R25C11</stp>
        <tr r="K25" s="53"/>
      </tp>
      <tp t="e">
        <v>#N/A</v>
        <stp/>
        <stp>##V3_BDHV12</stp>
        <stp>EUNZ305 ICPL Curncy</stp>
        <stp>PX_LAST</stp>
        <stp>4/15/2019</stp>
        <stp>4/15/2019</stp>
        <stp>[Basic Pricing.xlsm]Vol_Surface!R28C11</stp>
        <tr r="K28" s="53"/>
      </tp>
      <tp t="e">
        <v>#N/A</v>
        <stp/>
        <stp>##V3_BDHV12</stp>
        <stp>EUNZ307 ICPL Curncy</stp>
        <stp>PX_LAST</stp>
        <stp>4/15/2019</stp>
        <stp>4/15/2019</stp>
        <stp>[Basic Pricing.xlsm]Vol_Surface!R29C11</stp>
        <tr r="K29" s="53"/>
      </tp>
      <tp t="e">
        <v>#N/A</v>
        <stp/>
        <stp>##V3_BDHV12</stp>
        <stp>EUNZ204 ICPL Curncy</stp>
        <stp>PX_LAST</stp>
        <stp>4/15/2019</stp>
        <stp>4/15/2019</stp>
        <stp>[Basic Pricing.xlsm]Vol_Surface!R27C10</stp>
        <tr r="J27" s="53"/>
      </tp>
      <tp t="e">
        <v>#N/A</v>
        <stp/>
        <stp>##V3_BDHV12</stp>
        <stp>EUNZ201 ICPL Curncy</stp>
        <stp>PX_LAST</stp>
        <stp>4/15/2019</stp>
        <stp>4/15/2019</stp>
        <stp>[Basic Pricing.xlsm]Vol_Surface!R24C10</stp>
        <tr r="J24" s="53"/>
      </tp>
      <tp t="e">
        <v>#N/A</v>
        <stp/>
        <stp>##V3_BDHV12</stp>
        <stp>EUNZ203 ICPL Curncy</stp>
        <stp>PX_LAST</stp>
        <stp>4/15/2019</stp>
        <stp>4/15/2019</stp>
        <stp>[Basic Pricing.xlsm]Vol_Surface!R26C10</stp>
        <tr r="J26" s="53"/>
      </tp>
      <tp t="e">
        <v>#N/A</v>
        <stp/>
        <stp>##V3_BDHV12</stp>
        <stp>EUNZ202 ICPL Curncy</stp>
        <stp>PX_LAST</stp>
        <stp>4/15/2019</stp>
        <stp>4/15/2019</stp>
        <stp>[Basic Pricing.xlsm]Vol_Surface!R25C10</stp>
        <tr r="J25" s="53"/>
      </tp>
      <tp t="e">
        <v>#N/A</v>
        <stp/>
        <stp>##V3_BDHV12</stp>
        <stp>EUNZ205 ICPL Curncy</stp>
        <stp>PX_LAST</stp>
        <stp>4/15/2019</stp>
        <stp>4/15/2019</stp>
        <stp>[Basic Pricing.xlsm]Vol_Surface!R28C10</stp>
        <tr r="J28" s="53"/>
      </tp>
      <tp t="e">
        <v>#N/A</v>
        <stp/>
        <stp>##V3_BDHV12</stp>
        <stp>EUNZ207 ICPL Curncy</stp>
        <stp>PX_LAST</stp>
        <stp>4/15/2019</stp>
        <stp>4/15/2019</stp>
        <stp>[Basic Pricing.xlsm]Vol_Surface!R29C10</stp>
        <tr r="J29" s="53"/>
      </tp>
      <tp t="e">
        <v>#N/A</v>
        <stp/>
        <stp>##V3_BDHV12</stp>
        <stp>EUNZ504 ICPL Curncy</stp>
        <stp>PX_LAST</stp>
        <stp>4/15/2019</stp>
        <stp>4/15/2019</stp>
        <stp>[Basic Pricing.xlsm]Vol_Surface!R27C12</stp>
        <tr r="L27" s="53"/>
      </tp>
      <tp t="e">
        <v>#N/A</v>
        <stp/>
        <stp>##V3_BDHV12</stp>
        <stp>EUNZ501 ICPL Curncy</stp>
        <stp>PX_LAST</stp>
        <stp>4/15/2019</stp>
        <stp>4/15/2019</stp>
        <stp>[Basic Pricing.xlsm]Vol_Surface!R24C12</stp>
        <tr r="L24" s="53"/>
      </tp>
      <tp t="e">
        <v>#N/A</v>
        <stp/>
        <stp>##V3_BDHV12</stp>
        <stp>EUNZ503 ICPL Curncy</stp>
        <stp>PX_LAST</stp>
        <stp>4/15/2019</stp>
        <stp>4/15/2019</stp>
        <stp>[Basic Pricing.xlsm]Vol_Surface!R26C12</stp>
        <tr r="L26" s="53"/>
      </tp>
      <tp t="e">
        <v>#N/A</v>
        <stp/>
        <stp>##V3_BDHV12</stp>
        <stp>EUNZ502 ICPL Curncy</stp>
        <stp>PX_LAST</stp>
        <stp>4/15/2019</stp>
        <stp>4/15/2019</stp>
        <stp>[Basic Pricing.xlsm]Vol_Surface!R25C12</stp>
        <tr r="L25" s="53"/>
      </tp>
      <tp t="e">
        <v>#N/A</v>
        <stp/>
        <stp>##V3_BDHV12</stp>
        <stp>EUNZ505 ICPL Curncy</stp>
        <stp>PX_LAST</stp>
        <stp>4/15/2019</stp>
        <stp>4/15/2019</stp>
        <stp>[Basic Pricing.xlsm]Vol_Surface!R28C12</stp>
        <tr r="L28" s="53"/>
      </tp>
      <tp t="e">
        <v>#N/A</v>
        <stp/>
        <stp>##V3_BDHV12</stp>
        <stp>EUNZ507 ICPL Curncy</stp>
        <stp>PX_LAST</stp>
        <stp>4/15/2019</stp>
        <stp>4/15/2019</stp>
        <stp>[Basic Pricing.xlsm]Vol_Surface!R29C12</stp>
        <tr r="L29" s="53"/>
      </tp>
      <tp t="e">
        <v>#N/A</v>
        <stp/>
        <stp>##V3_BDHV12</stp>
        <stp>USONI4 ICPL curncy</stp>
        <stp>PX_LAST</stp>
        <stp>4/15/2019</stp>
        <stp>4/15/2019</stp>
        <stp>[Basic Pricing.xlsm]Vol_Surface!R7C11</stp>
        <tr r="K7" s="53"/>
      </tp>
      <tp t="e">
        <v>#N/A</v>
        <stp/>
        <stp>##V3_BDHV12</stp>
        <stp>USONH4 ICPL curncy</stp>
        <stp>PX_LAST</stp>
        <stp>4/15/2019</stp>
        <stp>4/15/2019</stp>
        <stp>[Basic Pricing.xlsm]Vol_Surface!R7C10</stp>
        <tr r="J7" s="53"/>
      </tp>
      <tp t="e">
        <v>#N/A</v>
        <stp/>
        <stp>##V3_BDPV12</stp>
        <stp>BP0003M Index</stp>
        <stp>PX_LAST</stp>
        <stp>[Basic Pricing.xlsm]Rate_Live!R84C2</stp>
        <tr r="B84" s="39"/>
      </tp>
      <tp t="e">
        <v>#N/A</v>
        <stp/>
        <stp>##V3_BDHV12</stp>
        <stp>USOND2 ICPL curncy</stp>
        <stp>PX_LAST</stp>
        <stp>4/15/2019</stp>
        <stp>4/15/2019</stp>
        <stp>[Basic Pricing.xlsm]Vol_Surface!R5C8</stp>
        <tr r="H5" s="53"/>
      </tp>
      <tp t="e">
        <v>#N/A</v>
        <stp/>
        <stp>##V3_BDHV12</stp>
        <stp>USONE1 ICPL curncy</stp>
        <stp>PX_LAST</stp>
        <stp>4/15/2019</stp>
        <stp>4/15/2019</stp>
        <stp>[Basic Pricing.xlsm]Vol_Surface!R4C9</stp>
        <tr r="I4" s="53"/>
      </tp>
      <tp t="e">
        <v>#N/A</v>
        <stp/>
        <stp>##V3_BDHV12</stp>
        <stp>ERH0 Comdty</stp>
        <stp>PX_LAST</stp>
        <stp>4/15/2019</stp>
        <stp>4/15/2019</stp>
        <stp>[Basic Pricing.xlsm]Rate_History!R34C4</stp>
        <tr r="D34" s="49"/>
      </tp>
      <tp t="e">
        <v>#N/A</v>
        <stp/>
        <stp>##V3_BDHV12</stp>
        <stp>L H0 Comdty</stp>
        <stp>PX_LAST</stp>
        <stp>4/15/2019</stp>
        <stp>4/15/2019</stp>
        <stp>[Basic Pricing.xlsm]Rate_History!R84C4</stp>
        <tr r="D84" s="49"/>
      </tp>
      <tp t="e">
        <v>#N/A</v>
        <stp/>
        <stp>##V3_BDHV12</stp>
        <stp>USONI5 ICPL curncy</stp>
        <stp>PX_LAST</stp>
        <stp>4/15/2019</stp>
        <stp>4/15/2019</stp>
        <stp>[Basic Pricing.xlsm]Vol_Surface!R8C11</stp>
        <tr r="K8" s="53"/>
      </tp>
      <tp t="e">
        <v>#N/A</v>
        <stp/>
        <stp>##V3_BDHV12</stp>
        <stp>USONH5 ICPL curncy</stp>
        <stp>PX_LAST</stp>
        <stp>4/15/2019</stp>
        <stp>4/15/2019</stp>
        <stp>[Basic Pricing.xlsm]Vol_Surface!R8C10</stp>
        <tr r="J8" s="53"/>
      </tp>
      <tp t="e">
        <v>#N/A</v>
        <stp/>
        <stp>##V3_BDPV12</stp>
        <stp>BP0006M Index</stp>
        <stp>PX_LAST</stp>
        <stp>[Basic Pricing.xlsm]Rate_Live!R85C2</stp>
        <tr r="B85" s="39"/>
      </tp>
      <tp t="e">
        <v>#N/A</v>
        <stp/>
        <stp>##V3_BDPV12</stp>
        <stp>JY00S/N Index</stp>
        <stp>PX_LAST</stp>
        <stp>[Basic Pricing.xlsm]Rate_Live!R56C2</stp>
        <tr r="B56" s="39"/>
      </tp>
      <tp t="e">
        <v>#N/A</v>
        <stp/>
        <stp>##V3_BDPV12</stp>
        <stp>EUSWEC Curncy</stp>
        <stp>PX_LAST</stp>
        <stp>[Basic Pricing.xlsm]Rate_Live!R31C2</stp>
        <tr r="B31" s="39"/>
      </tp>
      <tp t="e">
        <v>#N/A</v>
        <stp/>
        <stp>##V3_BDHV12</stp>
        <stp>CLSWIB1 Index</stp>
        <stp>PX_LAST</stp>
        <stp>4/15/2019</stp>
        <stp>4/15/2019</stp>
        <stp>[Basic Pricing.xlsm]Rate_History!R186C2</stp>
        <tr r="B186" s="49"/>
      </tp>
      <tp t="e">
        <v>#N/A</v>
        <stp/>
        <stp>##V3_BDHV12</stp>
        <stp>ERU9 Comdty</stp>
        <stp>PX_LAST</stp>
        <stp>4/15/2019</stp>
        <stp>4/15/2019</stp>
        <stp>[Basic Pricing.xlsm]Rate_History!R32C4</stp>
        <tr r="D32" s="49"/>
      </tp>
      <tp t="e">
        <v>#N/A</v>
        <stp/>
        <stp>##V3_BDHV12</stp>
        <stp>L U9 Comdty</stp>
        <stp>PX_LAST</stp>
        <stp>4/15/2019</stp>
        <stp>4/15/2019</stp>
        <stp>[Basic Pricing.xlsm]Rate_History!R82C4</stp>
        <tr r="D82" s="49"/>
      </tp>
      <tp t="e">
        <v>#N/A</v>
        <stp/>
        <stp>##V3_BDPV12</stp>
        <stp>ESM0 Comdty</stp>
        <stp>PX_LAST</stp>
        <stp>[Basic Pricing.xlsm]FX_Curve_Live!R110C4</stp>
        <tr r="D110" s="42"/>
      </tp>
      <tp t="e">
        <v>#N/A</v>
        <stp/>
        <stp>##V3_BDHV12</stp>
        <stp>BP0003M Index</stp>
        <stp>PX_LAST</stp>
        <stp>4/15/2019</stp>
        <stp>4/15/2019</stp>
        <stp>[Basic Pricing.xlsm]Rate_History!R84C2</stp>
        <tr r="B84" s="49"/>
      </tp>
      <tp t="e">
        <v>#N/A</v>
        <stp/>
        <stp>##V3_BDHV12</stp>
        <stp>ERZ9 Comdty</stp>
        <stp>PX_LAST</stp>
        <stp>4/15/2019</stp>
        <stp>4/15/2019</stp>
        <stp>[Basic Pricing.xlsm]Rate_History!R33C4</stp>
        <tr r="D33" s="49"/>
      </tp>
      <tp t="e">
        <v>#N/A</v>
        <stp/>
        <stp>##V3_BDHV12</stp>
        <stp>L Z9 Comdty</stp>
        <stp>PX_LAST</stp>
        <stp>4/15/2019</stp>
        <stp>4/15/2019</stp>
        <stp>[Basic Pricing.xlsm]Rate_History!R83C4</stp>
        <tr r="D83" s="49"/>
      </tp>
      <tp t="e">
        <v>#N/A</v>
        <stp/>
        <stp>##V3_BDHV12</stp>
        <stp>EUNEA9 ICPL Curncy</stp>
        <stp>PX_LAST</stp>
        <stp>4/15/2019</stp>
        <stp>4/15/2019</stp>
        <stp>[Basic Pricing.xlsm]Vol_Surface!R64C10</stp>
        <tr r="J64" s="53"/>
      </tp>
      <tp t="e">
        <v>#N/A</v>
        <stp/>
        <stp>##V3_BDHV12</stp>
        <stp>EUNEC9 ICPL Curncy</stp>
        <stp>PX_LAST</stp>
        <stp>4/15/2019</stp>
        <stp>4/15/2019</stp>
        <stp>[Basic Pricing.xlsm]Vol_Surface!R65C10</stp>
        <tr r="J65" s="53"/>
      </tp>
      <tp t="e">
        <v>#N/A</v>
        <stp/>
        <stp>##V3_BDHV12</stp>
        <stp>EUNEF9 ICPL Curncy</stp>
        <stp>PX_LAST</stp>
        <stp>4/15/2019</stp>
        <stp>4/15/2019</stp>
        <stp>[Basic Pricing.xlsm]Vol_Surface!R66C10</stp>
        <tr r="J66" s="53"/>
      </tp>
      <tp t="e">
        <v>#N/A</v>
        <stp/>
        <stp>##V3_BDHV12</stp>
        <stp>EUNEI9 ICPL Curncy</stp>
        <stp>PX_LAST</stp>
        <stp>4/15/2019</stp>
        <stp>4/15/2019</stp>
        <stp>[Basic Pricing.xlsm]Vol_Surface!R67C10</stp>
        <tr r="J67" s="53"/>
      </tp>
      <tp t="e">
        <v>#N/A</v>
        <stp/>
        <stp>##V3_BDHV12</stp>
        <stp>EUNE19 ICPL Curncy</stp>
        <stp>PX_LAST</stp>
        <stp>4/15/2019</stp>
        <stp>4/15/2019</stp>
        <stp>[Basic Pricing.xlsm]Vol_Surface!R68C10</stp>
        <tr r="J68" s="53"/>
      </tp>
      <tp t="e">
        <v>#N/A</v>
        <stp/>
        <stp>##V3_BDHV12</stp>
        <stp>EUNE29 ICPL Curncy</stp>
        <stp>PX_LAST</stp>
        <stp>4/15/2019</stp>
        <stp>4/15/2019</stp>
        <stp>[Basic Pricing.xlsm]Vol_Surface!R69C10</stp>
        <tr r="J69" s="53"/>
      </tp>
      <tp t="e">
        <v>#N/A</v>
        <stp/>
        <stp>##V3_BDHV12</stp>
        <stp>EUNE39 ICPL Curncy</stp>
        <stp>PX_LAST</stp>
        <stp>4/15/2019</stp>
        <stp>4/15/2019</stp>
        <stp>[Basic Pricing.xlsm]Vol_Surface!R70C10</stp>
        <tr r="J70" s="53"/>
      </tp>
      <tp t="e">
        <v>#N/A</v>
        <stp/>
        <stp>##V3_BDHV12</stp>
        <stp>EUNE59 ICPL Curncy</stp>
        <stp>PX_LAST</stp>
        <stp>4/15/2019</stp>
        <stp>4/15/2019</stp>
        <stp>[Basic Pricing.xlsm]Vol_Surface!R72C10</stp>
        <tr r="J72" s="53"/>
      </tp>
      <tp t="e">
        <v>#N/A</v>
        <stp/>
        <stp>##V3_BDHV12</stp>
        <stp>EUNE49 ICPL Curncy</stp>
        <stp>PX_LAST</stp>
        <stp>4/15/2019</stp>
        <stp>4/15/2019</stp>
        <stp>[Basic Pricing.xlsm]Vol_Surface!R71C10</stp>
        <tr r="J71" s="53"/>
      </tp>
      <tp t="e">
        <v>#N/A</v>
        <stp/>
        <stp>##V3_BDHV12</stp>
        <stp>EUR001m Index</stp>
        <stp>PX_LAST</stp>
        <stp>4/15/2019</stp>
        <stp>4/15/2019</stp>
        <stp>[Basic Pricing.xlsm]Rate_History!R32C2</stp>
        <tr r="B32" s="49"/>
      </tp>
      <tp t="e">
        <v>#N/A</v>
        <stp/>
        <stp>##V3_BDHV12</stp>
        <stp>EUR006m Index</stp>
        <stp>PX_LAST</stp>
        <stp>4/15/2019</stp>
        <stp>4/15/2019</stp>
        <stp>[Basic Pricing.xlsm]Rate_History!R35C2</stp>
        <tr r="B35" s="49"/>
      </tp>
      <tp t="e">
        <v>#N/A</v>
        <stp/>
        <stp>##V3_BDPV12</stp>
        <stp>ESU0 Comdty</stp>
        <stp>PX_LAST</stp>
        <stp>[Basic Pricing.xlsm]FX_Curve_Live!R111C4</stp>
        <tr r="D111" s="42"/>
      </tp>
      <tp t="e">
        <v>#N/A</v>
        <stp/>
        <stp>##V3_BDHV12</stp>
        <stp>USONE7 ICPL curncy</stp>
        <stp>PX_LAST</stp>
        <stp>4/15/2019</stp>
        <stp>4/15/2019</stp>
        <stp>[Basic Pricing.xlsm]Vol_Surface!R9C9</stp>
        <tr r="I9" s="53"/>
      </tp>
      <tp t="e">
        <v>#N/A</v>
        <stp/>
        <stp>##V3_BDHV12</stp>
        <stp>USOND5 ICPL curncy</stp>
        <stp>PX_LAST</stp>
        <stp>4/15/2019</stp>
        <stp>4/15/2019</stp>
        <stp>[Basic Pricing.xlsm]Vol_Surface!R8C8</stp>
        <tr r="H8" s="53"/>
      </tp>
      <tp t="e">
        <v>#N/A</v>
        <stp/>
        <stp>##V3_BDHV12</stp>
        <stp>ERH1 Comdty</stp>
        <stp>PX_LAST</stp>
        <stp>4/15/2019</stp>
        <stp>4/15/2019</stp>
        <stp>[Basic Pricing.xlsm]Rate_History!R38C4</stp>
        <tr r="D38" s="49"/>
      </tp>
      <tp t="e">
        <v>#N/A</v>
        <stp/>
        <stp>##V3_BDHV12</stp>
        <stp>L H1 Comdty</stp>
        <stp>PX_LAST</stp>
        <stp>4/15/2019</stp>
        <stp>4/15/2019</stp>
        <stp>[Basic Pricing.xlsm]Rate_History!R88C4</stp>
        <tr r="D88" s="49"/>
      </tp>
      <tp t="e">
        <v>#N/A</v>
        <stp/>
        <stp>##V3_BDHV12</stp>
        <stp>YEH0 Comdty</stp>
        <stp>PX_LAST</stp>
        <stp>4/15/2019</stp>
        <stp>4/15/2019</stp>
        <stp>[Basic Pricing.xlsm]Rate_History!R59C4</stp>
        <tr r="D59" s="49"/>
      </tp>
      <tp t="e">
        <v>#N/A</v>
        <stp/>
        <stp>##V3_BDPV12</stp>
        <stp>BPBS2 Index</stp>
        <stp>PX_LAST</stp>
        <stp>[Basic Pricing.xlsm]FX_Curve_Live!R81C13</stp>
        <tr r="M81" s="42"/>
      </tp>
      <tp t="e">
        <v>#N/A</v>
        <stp/>
        <stp>##V3_BDPV12</stp>
        <stp>BPBS6 Index</stp>
        <stp>PX_LAST</stp>
        <stp>[Basic Pricing.xlsm]FX_Curve_Live!R85C13</stp>
        <tr r="M85" s="42"/>
      </tp>
      <tp t="e">
        <v>#N/A</v>
        <stp/>
        <stp>##V3_BDPV12</stp>
        <stp>BPBS5 Index</stp>
        <stp>PX_LAST</stp>
        <stp>[Basic Pricing.xlsm]FX_Curve_Live!R84C13</stp>
        <tr r="M84" s="42"/>
      </tp>
      <tp t="e">
        <v>#N/A</v>
        <stp/>
        <stp>##V3_BDPV12</stp>
        <stp>BPBS7 Index</stp>
        <stp>PX_LAST</stp>
        <stp>[Basic Pricing.xlsm]FX_Curve_Live!R86C13</stp>
        <tr r="M86" s="42"/>
      </tp>
      <tp t="e">
        <v>#N/A</v>
        <stp/>
        <stp>##V3_BDPV12</stp>
        <stp>BPBS9 Index</stp>
        <stp>PX_LAST</stp>
        <stp>[Basic Pricing.xlsm]FX_Curve_Live!R88C13</stp>
        <tr r="M88" s="42"/>
      </tp>
      <tp t="e">
        <v>#N/A</v>
        <stp/>
        <stp>##V3_BDPV12</stp>
        <stp>BPBS4 Index</stp>
        <stp>PX_LAST</stp>
        <stp>[Basic Pricing.xlsm]FX_Curve_Live!R83C13</stp>
        <tr r="M83" s="42"/>
      </tp>
      <tp t="e">
        <v>#N/A</v>
        <stp/>
        <stp>##V3_BDPV12</stp>
        <stp>BPBS8 Index</stp>
        <stp>PX_LAST</stp>
        <stp>[Basic Pricing.xlsm]FX_Curve_Live!R87C13</stp>
        <tr r="M87" s="42"/>
      </tp>
      <tp t="e">
        <v>#N/A</v>
        <stp/>
        <stp>##V3_BDHV12</stp>
        <stp>US0006m Index</stp>
        <stp>PX_LAST</stp>
        <stp>4/15/2019</stp>
        <stp>4/15/2019</stp>
        <stp>[Basic Pricing.xlsm]Rate_History!R10C2</stp>
        <tr r="B10" s="49"/>
        <tr r="B10" s="49"/>
      </tp>
      <tp t="e">
        <v>#N/A</v>
        <stp/>
        <stp>##V3_BDHV12</stp>
        <stp>CABROVER Index</stp>
        <stp>PX_LAST</stp>
        <stp>4/15/2019</stp>
        <stp>4/15/2019</stp>
        <stp>[Basic Pricing.xlsm]FX_Curve_History!R131C2</stp>
        <tr r="B131" s="50"/>
      </tp>
      <tp t="e">
        <v>#N/A</v>
        <stp/>
        <stp>##V3_BDPV12</stp>
        <stp>JY0002M Index</stp>
        <stp>PX_LAST</stp>
        <stp>[Basic Pricing.xlsm]Rate_Live!R58C2</stp>
        <tr r="B58" s="39"/>
      </tp>
      <tp t="e">
        <v>#N/A</v>
        <stp/>
        <stp>##V3_BDPV12</stp>
        <stp>ESZ0 Comdty</stp>
        <stp>PX_LAST</stp>
        <stp>[Basic Pricing.xlsm]FX_Curve_Live!R112C4</stp>
        <tr r="D112" s="42"/>
      </tp>
      <tp t="e">
        <v>#N/A</v>
        <stp/>
        <stp>##V3_BDHV12</stp>
        <stp>USOND7 ICPL curncy</stp>
        <stp>PX_LAST</stp>
        <stp>4/15/2019</stp>
        <stp>4/15/2019</stp>
        <stp>[Basic Pricing.xlsm]Vol_Surface!R9C8</stp>
        <tr r="H9" s="53"/>
      </tp>
      <tp t="e">
        <v>#N/A</v>
        <stp/>
        <stp>##V3_BDHV12</stp>
        <stp>USONE5 ICPL curncy</stp>
        <stp>PX_LAST</stp>
        <stp>4/15/2019</stp>
        <stp>4/15/2019</stp>
        <stp>[Basic Pricing.xlsm]Vol_Surface!R8C9</stp>
        <tr r="I8" s="53"/>
      </tp>
      <tp t="e">
        <v>#N/A</v>
        <stp/>
        <stp>##V3_BDHV12</stp>
        <stp>ERM9 Comdty</stp>
        <stp>PX_LAST</stp>
        <stp>4/15/2019</stp>
        <stp>4/15/2019</stp>
        <stp>[Basic Pricing.xlsm]Rate_History!R31C4</stp>
        <tr r="D31" s="49"/>
      </tp>
      <tp t="e">
        <v>#N/A</v>
        <stp/>
        <stp>##V3_BDHV12</stp>
        <stp>L M9 Comdty</stp>
        <stp>PX_LAST</stp>
        <stp>4/15/2019</stp>
        <stp>4/15/2019</stp>
        <stp>[Basic Pricing.xlsm]Rate_History!R81C4</stp>
        <tr r="D81" s="49"/>
      </tp>
      <tp t="e">
        <v>#N/A</v>
        <stp/>
        <stp>##V3_BDHV12</stp>
        <stp>EUR002m Index</stp>
        <stp>PX_LAST</stp>
        <stp>4/15/2019</stp>
        <stp>4/15/2019</stp>
        <stp>[Basic Pricing.xlsm]Rate_History!R33C2</stp>
        <tr r="B33" s="49"/>
      </tp>
      <tp t="e">
        <v>#N/A</v>
        <stp/>
        <stp>##V3_BDPV12</stp>
        <stp>ESH1 Comdty</stp>
        <stp>PX_LAST</stp>
        <stp>[Basic Pricing.xlsm]FX_Curve_Live!R113C4</stp>
        <tr r="D113" s="42"/>
      </tp>
      <tp t="e">
        <v>#N/A</v>
        <stp/>
        <stp>##V3_BDPV12</stp>
        <stp>JY0003M Index</stp>
        <stp>PX_LAST</stp>
        <stp>[Basic Pricing.xlsm]Rate_Live!R59C2</stp>
        <tr r="B59" s="39"/>
      </tp>
      <tp t="e">
        <v>#N/A</v>
        <stp/>
        <stp>##V3_BDHV12</stp>
        <stp>BP0012M Index</stp>
        <stp>PX_LAST</stp>
        <stp>4/15/2019</stp>
        <stp>4/15/2019</stp>
        <stp>[Basic Pricing.xlsm]Rate_History!R86C2</stp>
        <tr r="B86" s="49"/>
      </tp>
      <tp t="e">
        <v>#N/A</v>
        <stp/>
        <stp>##V3_BDHV12</stp>
        <stp>USONC7 ICPL curncy</stp>
        <stp>PX_LAST</stp>
        <stp>4/15/2019</stp>
        <stp>4/15/2019</stp>
        <stp>[Basic Pricing.xlsm]Vol_Surface!R9C7</stp>
        <tr r="G9" s="53"/>
      </tp>
      <tp t="e">
        <v>#N/A</v>
        <stp/>
        <stp>##V3_BDHV12</stp>
        <stp>USONB5 ICPL curncy</stp>
        <stp>PX_LAST</stp>
        <stp>4/15/2019</stp>
        <stp>4/15/2019</stp>
        <stp>[Basic Pricing.xlsm]Vol_Surface!R8C6</stp>
        <tr r="F8" s="53"/>
      </tp>
      <tp t="e">
        <v>#N/A</v>
        <stp/>
        <stp>##V3_BDHV12</stp>
        <stp>EDH0 Comdty</stp>
        <stp>PX_LAST</stp>
        <stp>4/15/2019</stp>
        <stp>4/15/2019</stp>
        <stp>[Basic Pricing.xlsm]FX_Curve_History!R9C4</stp>
        <tr r="D9" s="50"/>
      </tp>
      <tp t="e">
        <v>#N/A</v>
        <stp/>
        <stp>##V3_BDHV12</stp>
        <stp>YEM9 Comdty</stp>
        <stp>PX_LAST</stp>
        <stp>4/15/2019</stp>
        <stp>4/15/2019</stp>
        <stp>[Basic Pricing.xlsm]Rate_History!R56C4</stp>
        <tr r="D56" s="49"/>
      </tp>
      <tp t="e">
        <v>#N/A</v>
        <stp/>
        <stp>##V3_BDHV12</stp>
        <stp>BP0001M Index</stp>
        <stp>PX_LAST</stp>
        <stp>4/15/2019</stp>
        <stp>4/15/2019</stp>
        <stp>[Basic Pricing.xlsm]Rate_History!R82C2</stp>
        <tr r="B82" s="49"/>
      </tp>
      <tp t="e">
        <v>#N/A</v>
        <stp/>
        <stp>##V3_BDHV12</stp>
        <stp>BP0006M Index</stp>
        <stp>PX_LAST</stp>
        <stp>4/15/2019</stp>
        <stp>4/15/2019</stp>
        <stp>[Basic Pricing.xlsm]Rate_History!R85C2</stp>
        <tr r="B85" s="49"/>
      </tp>
      <tp t="e">
        <v>#N/A</v>
        <stp/>
        <stp>##V3_BDHV12</stp>
        <stp>JY0002M Index</stp>
        <stp>PX_LAST</stp>
        <stp>4/15/2019</stp>
        <stp>4/15/2019</stp>
        <stp>[Basic Pricing.xlsm]Rate_History!R58C2</stp>
        <tr r="B58" s="49"/>
      </tp>
      <tp t="e">
        <v>#N/A</v>
        <stp/>
        <stp>##V3_BDHV12</stp>
        <stp>JY0003M Index</stp>
        <stp>PX_LAST</stp>
        <stp>4/15/2019</stp>
        <stp>4/15/2019</stp>
        <stp>[Basic Pricing.xlsm]Rate_History!R59C2</stp>
        <tr r="B59" s="49"/>
      </tp>
      <tp t="e">
        <v>#N/A</v>
        <stp/>
        <stp>##V3_BDHV12</stp>
        <stp>USONB7 ICPL curncy</stp>
        <stp>PX_LAST</stp>
        <stp>4/15/2019</stp>
        <stp>4/15/2019</stp>
        <stp>[Basic Pricing.xlsm]Vol_Surface!R9C6</stp>
        <tr r="F9" s="53"/>
      </tp>
      <tp t="e">
        <v>#N/A</v>
        <stp/>
        <stp>##V3_BDHV12</stp>
        <stp>USONC5 ICPL curncy</stp>
        <stp>PX_LAST</stp>
        <stp>4/15/2019</stp>
        <stp>4/15/2019</stp>
        <stp>[Basic Pricing.xlsm]Vol_Surface!R8C7</stp>
        <tr r="G8" s="53"/>
      </tp>
      <tp t="e">
        <v>#N/A</v>
        <stp/>
        <stp>##V3_BDHV12</stp>
        <stp>EUR003m Index</stp>
        <stp>PX_LAST</stp>
        <stp>4/15/2019</stp>
        <stp>4/15/2019</stp>
        <stp>[Basic Pricing.xlsm]Rate_History!R34C2</stp>
        <tr r="B34" s="49"/>
      </tp>
      <tp t="e">
        <v>#N/A</v>
        <stp/>
        <stp>##V3_BDHV12</stp>
        <stp>YEU9 Comdty</stp>
        <stp>PX_LAST</stp>
        <stp>4/15/2019</stp>
        <stp>4/15/2019</stp>
        <stp>[Basic Pricing.xlsm]Rate_History!R57C4</stp>
        <tr r="D57" s="49"/>
      </tp>
      <tp t="e">
        <v>#N/A</v>
        <stp/>
        <stp>##V3_BDHV12</stp>
        <stp>USONA7 ICPL curncy</stp>
        <stp>PX_LAST</stp>
        <stp>4/15/2019</stp>
        <stp>4/15/2019</stp>
        <stp>[Basic Pricing.xlsm]Vol_Surface!R9C5</stp>
        <tr r="E9" s="53"/>
      </tp>
      <tp t="e">
        <v>#N/A</v>
        <stp/>
        <stp>##V3_BDHV12</stp>
        <stp>EUR012m Index</stp>
        <stp>PX_LAST</stp>
        <stp>4/15/2019</stp>
        <stp>4/15/2019</stp>
        <stp>[Basic Pricing.xlsm]Rate_History!R36C2</stp>
        <tr r="B36" s="49"/>
      </tp>
      <tp t="e">
        <v>#N/A</v>
        <stp/>
        <stp>##V3_BDPV12</stp>
        <stp>ESM9 Comdty</stp>
        <stp>PX_LAST</stp>
        <stp>[Basic Pricing.xlsm]FX_Curve_Live!R106C4</stp>
        <tr r="D106" s="42"/>
      </tp>
      <tp t="e">
        <v>#N/A</v>
        <stp/>
        <stp>##V3_BDHV12</stp>
        <stp>BP0002M Index</stp>
        <stp>PX_LAST</stp>
        <stp>4/15/2019</stp>
        <stp>4/15/2019</stp>
        <stp>[Basic Pricing.xlsm]Rate_History!R83C2</stp>
        <tr r="B83" s="49"/>
      </tp>
      <tp t="e">
        <v>#N/A</v>
        <stp/>
        <stp>##V3_BDHV12</stp>
        <stp>USONA5 ICPL curncy</stp>
        <stp>PX_LAST</stp>
        <stp>4/15/2019</stp>
        <stp>4/15/2019</stp>
        <stp>[Basic Pricing.xlsm]Vol_Surface!R8C5</stp>
        <tr r="E8" s="53"/>
      </tp>
      <tp t="e">
        <v>#N/A</v>
        <stp/>
        <stp>##V3_BDPV12</stp>
        <stp>EUBS4 Index</stp>
        <stp>PX_LAST</stp>
        <stp>[Basic Pricing.xlsm]FX_Curve_Live!R33C13</stp>
        <tr r="M33" s="42"/>
      </tp>
      <tp t="e">
        <v>#N/A</v>
        <stp/>
        <stp>##V3_BDPV12</stp>
        <stp>EUBS3 Index</stp>
        <stp>PX_LAST</stp>
        <stp>[Basic Pricing.xlsm]FX_Curve_Live!R32C13</stp>
        <tr r="M32" s="42"/>
      </tp>
      <tp t="e">
        <v>#N/A</v>
        <stp/>
        <stp>##V3_BDPV12</stp>
        <stp>EUBS5 Index</stp>
        <stp>PX_LAST</stp>
        <stp>[Basic Pricing.xlsm]FX_Curve_Live!R34C13</stp>
        <tr r="M34" s="42"/>
      </tp>
      <tp t="e">
        <v>#N/A</v>
        <stp/>
        <stp>##V3_BDPV12</stp>
        <stp>EUBS7 Index</stp>
        <stp>PX_LAST</stp>
        <stp>[Basic Pricing.xlsm]FX_Curve_Live!R36C13</stp>
        <tr r="M36" s="42"/>
      </tp>
      <tp t="e">
        <v>#N/A</v>
        <stp/>
        <stp>##V3_BDPV12</stp>
        <stp>EUBS9 Index</stp>
        <stp>PX_LAST</stp>
        <stp>[Basic Pricing.xlsm]FX_Curve_Live!R38C13</stp>
        <tr r="M38" s="42"/>
      </tp>
      <tp t="e">
        <v>#N/A</v>
        <stp/>
        <stp>##V3_BDPV12</stp>
        <stp>EUBS2 Index</stp>
        <stp>PX_LAST</stp>
        <stp>[Basic Pricing.xlsm]FX_Curve_Live!R31C13</stp>
        <tr r="M31" s="42"/>
      </tp>
      <tp t="e">
        <v>#N/A</v>
        <stp/>
        <stp>##V3_BDPV12</stp>
        <stp>EUBS6 Index</stp>
        <stp>PX_LAST</stp>
        <stp>[Basic Pricing.xlsm]FX_Curve_Live!R35C13</stp>
        <tr r="M35" s="42"/>
      </tp>
      <tp t="e">
        <v>#N/A</v>
        <stp/>
        <stp>##V3_BDPV12</stp>
        <stp>EUBS8 Index</stp>
        <stp>PX_LAST</stp>
        <stp>[Basic Pricing.xlsm]FX_Curve_Live!R37C13</stp>
        <tr r="M37" s="42"/>
      </tp>
      <tp t="e">
        <v>#N/A</v>
        <stp/>
        <stp>##V3_BDPV12</stp>
        <stp>EUBS1 Index</stp>
        <stp>PX_LAST</stp>
        <stp>[Basic Pricing.xlsm]FX_Curve_Live!R31C16</stp>
        <tr r="P31" s="42"/>
      </tp>
      <tp t="e">
        <v>#N/A</v>
        <stp/>
        <stp>##V3_BDHV12</stp>
        <stp>US0012m Index</stp>
        <stp>PX_LAST</stp>
        <stp>4/15/2019</stp>
        <stp>4/15/2019</stp>
        <stp>[Basic Pricing.xlsm]Rate_History!R11C2</stp>
        <tr r="B11" s="49"/>
        <tr r="B11" s="49"/>
      </tp>
      <tp t="e">
        <v>#N/A</v>
        <stp/>
        <stp>##V3_BDPV12</stp>
        <stp>ESU9 Comdty</stp>
        <stp>PX_LAST</stp>
        <stp>[Basic Pricing.xlsm]FX_Curve_Live!R107C4</stp>
        <tr r="D107" s="42"/>
      </tp>
      <tp t="e">
        <v>#N/A</v>
        <stp/>
        <stp>##V3_BDHV12</stp>
        <stp>EUNE204 ICPL Curncy</stp>
        <stp>PX_LAST</stp>
        <stp>4/15/2019</stp>
        <stp>4/15/2019</stp>
        <stp>[Basic Pricing.xlsm]Vol_Surface!R74C5</stp>
        <tr r="E74" s="53"/>
      </tp>
      <tp t="e">
        <v>#N/A</v>
        <stp/>
        <stp>##V3_BDHV12</stp>
        <stp>EUNE103 ICPL Curncy</stp>
        <stp>PX_LAST</stp>
        <stp>4/15/2019</stp>
        <stp>4/15/2019</stp>
        <stp>[Basic Pricing.xlsm]Vol_Surface!R73C4</stp>
        <tr r="D73" s="53"/>
      </tp>
      <tp t="e">
        <v>#N/A</v>
        <stp/>
        <stp>##V3_BDPV12</stp>
        <stp>USDAUD Curncy</stp>
        <stp>PX_LAST</stp>
        <stp>[Basic Pricing.xlsm]FX_Live!R12C5</stp>
        <tr r="E12" s="44"/>
      </tp>
      <tp t="e">
        <v>#N/A</v>
        <stp/>
        <stp>##V3_BDHV12</stp>
        <stp>EUNZO10 ICPL Curncy</stp>
        <stp>PX_LAST</stp>
        <stp>4/15/2019</stp>
        <stp>4/15/2019</stp>
        <stp>[Basic Pricing.xlsm]Vol_Surface!R30C5</stp>
        <tr r="E30" s="53"/>
      </tp>
      <tp t="e">
        <v>#N/A</v>
        <stp/>
        <stp>##V3_BDHV12</stp>
        <stp>EUNZA10 ICPL Curncy</stp>
        <stp>PX_LAST</stp>
        <stp>4/15/2019</stp>
        <stp>4/15/2019</stp>
        <stp>[Basic Pricing.xlsm]Vol_Surface!R30C6</stp>
        <tr r="F30" s="53"/>
      </tp>
      <tp t="e">
        <v>#N/A</v>
        <stp/>
        <stp>##V3_BDPV12</stp>
        <stp>USDBRL Curncy</stp>
        <stp>PX_LAST</stp>
        <stp>[Basic Pricing.xlsm]FX_Live!R15C5</stp>
        <tr r="E15" s="44"/>
      </tp>
      <tp t="e">
        <v>#N/A</v>
        <stp/>
        <stp>##V3_BDHV12</stp>
        <stp>GBP9Y BGN Curncy</stp>
        <stp>PX_LAST</stp>
        <stp>4/15/2019</stp>
        <stp>4/15/2019</stp>
        <stp>[Basic Pricing.xlsm]FXFR!R64C4</stp>
        <tr r="D64" s="46"/>
      </tp>
      <tp t="e">
        <v>#N/A</v>
        <stp/>
        <stp>##V3_BDHV12</stp>
        <stp>EUR3Y BGN Curncy</stp>
        <stp>PX_LAST</stp>
        <stp>4/15/2019</stp>
        <stp>4/15/2019</stp>
        <stp>[Basic Pricing.xlsm]FXFR!R36C4</stp>
        <tr r="D36" s="46"/>
      </tp>
      <tp t="e">
        <v>#N/A</v>
        <stp/>
        <stp>##V3_BDHV12</stp>
        <stp>JPY2Y BGN Curncy</stp>
        <stp>PX_LAST</stp>
        <stp>4/15/2019</stp>
        <stp>4/15/2019</stp>
        <stp>[Basic Pricing.xlsm]FXFR!R79C4</stp>
        <tr r="D79" s="46"/>
      </tp>
      <tp t="e">
        <v>#N/A</v>
        <stp/>
        <stp>##V3_BDHV12</stp>
        <stp>USSW5 Index</stp>
        <stp>PX_LAST</stp>
        <stp>4/15/2019</stp>
        <stp>4/15/2019</stp>
        <stp>[Basic Pricing.xlsm]FX_Curve_History!R9C6</stp>
        <tr r="F9" s="50"/>
      </tp>
      <tp t="e">
        <v>#N/A</v>
        <stp/>
        <stp>##V3_BDHV12</stp>
        <stp>CLSWIB12 CMPN Index</stp>
        <stp>Close</stp>
        <stp>04/15/2019 15:00:00</stp>
        <stp>04/15/2019 15:01:00</stp>
        <stp>[Basic Pricing.xlsm]Rate_History!R191C18</stp>
        <stp>BarType</stp>
        <stp>T</stp>
        <stp>Dir=V</stp>
        <tr r="R191" s="49"/>
      </tp>
      <tp t="e">
        <v>#N/A</v>
        <stp/>
        <stp>##V3_BDPV12</stp>
        <stp>CLSWIB12 Index</stp>
        <stp>PX_LAST</stp>
        <stp>[Basic Pricing.xlsm]FX_Curve_Live!R191C6</stp>
        <tr r="F191" s="42"/>
      </tp>
      <tp t="e">
        <v>#N/A</v>
        <stp/>
        <stp>##V3_BDPV12</stp>
        <stp>ERM0 Comdty</stp>
        <stp>PX_LAST</stp>
        <stp>[Basic Pricing.xlsm]FX_Curve_Live!R35C4</stp>
        <tr r="D35" s="42"/>
      </tp>
      <tp t="e">
        <v>#N/A</v>
        <stp/>
        <stp>##V3_BDHV12</stp>
        <stp>USOND10 ICPL curncy</stp>
        <stp>PX_LAST</stp>
        <stp>4/15/2019</stp>
        <stp>4/15/2019</stp>
        <stp>[Basic Pricing.xlsm]Vol_Surface!R10C8</stp>
        <tr r="H10" s="53"/>
      </tp>
      <tp t="e">
        <v>#N/A</v>
        <stp/>
        <stp>##V3_BDHV12</stp>
        <stp>USONE10 ICPL curncy</stp>
        <stp>PX_LAST</stp>
        <stp>4/15/2019</stp>
        <stp>4/15/2019</stp>
        <stp>[Basic Pricing.xlsm]Vol_Surface!R10C9</stp>
        <tr r="I10" s="53"/>
      </tp>
      <tp t="e">
        <v>#N/A</v>
        <stp/>
        <stp>##V3_BDHV12</stp>
        <stp>USONA10 ICPL curncy</stp>
        <stp>PX_LAST</stp>
        <stp>4/15/2019</stp>
        <stp>4/15/2019</stp>
        <stp>[Basic Pricing.xlsm]Vol_Surface!R10C5</stp>
        <tr r="E10" s="53"/>
      </tp>
      <tp t="e">
        <v>#N/A</v>
        <stp/>
        <stp>##V3_BDHV12</stp>
        <stp>USONB10 ICPL curncy</stp>
        <stp>PX_LAST</stp>
        <stp>4/15/2019</stp>
        <stp>4/15/2019</stp>
        <stp>[Basic Pricing.xlsm]Vol_Surface!R10C6</stp>
        <tr r="F10" s="53"/>
      </tp>
      <tp t="e">
        <v>#N/A</v>
        <stp/>
        <stp>##V3_BDHV12</stp>
        <stp>USONC10 ICPL curncy</stp>
        <stp>PX_LAST</stp>
        <stp>4/15/2019</stp>
        <stp>4/15/2019</stp>
        <stp>[Basic Pricing.xlsm]Vol_Surface!R10C7</stp>
        <tr r="G10" s="53"/>
      </tp>
      <tp t="e">
        <v>#N/A</v>
        <stp/>
        <stp>##V3_BDHV12</stp>
        <stp>USONX10 ICPL curncy</stp>
        <stp>PX_LAST</stp>
        <stp>4/15/2019</stp>
        <stp>4/15/2019</stp>
        <stp>[Basic Pricing.xlsm]Vol_Surface!R10C2</stp>
        <tr r="B10" s="53"/>
      </tp>
      <tp t="e">
        <v>#N/A</v>
        <stp/>
        <stp>##V3_BDHV12</stp>
        <stp>USONY10 ICPL curncy</stp>
        <stp>PX_LAST</stp>
        <stp>4/15/2019</stp>
        <stp>4/15/2019</stp>
        <stp>[Basic Pricing.xlsm]Vol_Surface!R10C3</stp>
        <tr r="C10" s="53"/>
      </tp>
      <tp t="e">
        <v>#N/A</v>
        <stp/>
        <stp>##V3_BDHV12</stp>
        <stp>USONZ10 ICPL curncy</stp>
        <stp>PX_LAST</stp>
        <stp>4/15/2019</stp>
        <stp>4/15/2019</stp>
        <stp>[Basic Pricing.xlsm]Vol_Surface!R10C4</stp>
        <tr r="D10" s="53"/>
      </tp>
      <tp t="e">
        <v>#N/A</v>
        <stp/>
        <stp>##V3_BDHV12</stp>
        <stp>CDSW3 Index</stp>
        <stp>PX_LAST</stp>
        <stp>4/15/2019</stp>
        <stp>4/15/2019</stp>
        <stp>[Basic Pricing.xlsm]FX_Curve_History!R132C6</stp>
        <tr r="F132" s="50"/>
      </tp>
      <tp t="e">
        <v>#N/A</v>
        <stp/>
        <stp>##V3_BDHV12</stp>
        <stp>CDSW5 Index</stp>
        <stp>PX_LAST</stp>
        <stp>4/15/2019</stp>
        <stp>4/15/2019</stp>
        <stp>[Basic Pricing.xlsm]FX_Curve_History!R134C6</stp>
        <tr r="F134" s="50"/>
      </tp>
      <tp t="e">
        <v>#N/A</v>
        <stp/>
        <stp>##V3_BDHV12</stp>
        <stp>CDSW7 Index</stp>
        <stp>PX_LAST</stp>
        <stp>4/15/2019</stp>
        <stp>4/15/2019</stp>
        <stp>[Basic Pricing.xlsm]FX_Curve_History!R136C6</stp>
        <tr r="F136" s="50"/>
      </tp>
      <tp t="e">
        <v>#N/A</v>
        <stp/>
        <stp>##V3_BDHV12</stp>
        <stp>CDSW9 Index</stp>
        <stp>PX_LAST</stp>
        <stp>4/15/2019</stp>
        <stp>4/15/2019</stp>
        <stp>[Basic Pricing.xlsm]FX_Curve_History!R138C6</stp>
        <tr r="F138" s="50"/>
      </tp>
      <tp t="e">
        <v>#N/A</v>
        <stp/>
        <stp>##V3_BDHV12</stp>
        <stp>EUNE102 ICPL Curncy</stp>
        <stp>PX_LAST</stp>
        <stp>4/15/2019</stp>
        <stp>4/15/2019</stp>
        <stp>[Basic Pricing.xlsm]Vol_Surface!R73C3</stp>
        <tr r="C73" s="53"/>
      </tp>
      <tp t="e">
        <v>#N/A</v>
        <stp/>
        <stp>##V3_BDHV12</stp>
        <stp>EUNE205 ICPL Curncy</stp>
        <stp>PX_LAST</stp>
        <stp>4/15/2019</stp>
        <stp>4/15/2019</stp>
        <stp>[Basic Pricing.xlsm]Vol_Surface!R74C6</stp>
        <tr r="F74" s="53"/>
      </tp>
      <tp t="e">
        <v>#N/A</v>
        <stp/>
        <stp>##V3_BDHV12</stp>
        <stp>BCN9Y BGN Curncy</stp>
        <stp>PX_LAST</stp>
        <stp>4/15/2019</stp>
        <stp>4/15/2019</stp>
        <stp>[Basic Pricing.xlsm]FXFR!R20C4</stp>
        <tr r="D20" s="46"/>
      </tp>
      <tp t="e">
        <v>#N/A</v>
        <stp/>
        <stp>##V3_BDHV12</stp>
        <stp>EUR4Y BGN Curncy</stp>
        <stp>PX_LAST</stp>
        <stp>4/15/2019</stp>
        <stp>4/15/2019</stp>
        <stp>[Basic Pricing.xlsm]FXFR!R37C4</stp>
        <tr r="D37" s="46"/>
      </tp>
      <tp t="e">
        <v>#N/A</v>
        <stp/>
        <stp>##V3_BDPV12</stp>
        <stp>USDSEK Curncy</stp>
        <stp>PX_LAST</stp>
        <stp>[Basic Pricing.xlsm]FX_Live!R6C5</stp>
        <tr r="E6" s="44"/>
      </tp>
      <tp t="e">
        <v>#N/A</v>
        <stp/>
        <stp>##V3_BDHV12</stp>
        <stp>USSW4 Index</stp>
        <stp>PX_LAST</stp>
        <stp>4/15/2019</stp>
        <stp>4/15/2019</stp>
        <stp>[Basic Pricing.xlsm]FX_Curve_History!R8C6</stp>
        <tr r="F8" s="50"/>
      </tp>
      <tp t="e">
        <v>#N/A</v>
        <stp/>
        <stp>##V3_BDHV12</stp>
        <stp>BPSW40 Index</stp>
        <stp>PX_LAST</stp>
        <stp>4/15/2019</stp>
        <stp>4/15/2019</stp>
        <stp>[Basic Pricing.xlsm]FX_Curve_History!R100C6</stp>
        <tr r="F100" s="50"/>
      </tp>
      <tp t="e">
        <v>#N/A</v>
        <stp/>
        <stp>##V3_BDHV12</stp>
        <stp>CLSWIB13 CMPN Index</stp>
        <stp>Close</stp>
        <stp>04/15/2019 15:00:00</stp>
        <stp>04/15/2019 15:01:00</stp>
        <stp>[Basic Pricing.xlsm]Rate_History!R192C18</stp>
        <stp>BarType</stp>
        <stp>T</stp>
        <stp>Dir=V</stp>
        <tr r="R192" s="49"/>
      </tp>
      <tp t="e">
        <v>#N/A</v>
        <stp/>
        <stp>##V3_BDPV12</stp>
        <stp>ERH0 Comdty</stp>
        <stp>PX_LAST</stp>
        <stp>[Basic Pricing.xlsm]FX_Curve_Live!R34C4</stp>
        <tr r="D34" s="42"/>
      </tp>
      <tp t="e">
        <v>#N/A</v>
        <stp/>
        <stp>##V3_BDHV12</stp>
        <stp>GBP12M BGN Curncy</stp>
        <stp>PX_LAST</stp>
        <stp>4/15/2019</stp>
        <stp>4/15/2019</stp>
        <stp>[Basic Pricing.xlsm]FXFR!R56C4</stp>
        <tr r="D56" s="46"/>
      </tp>
      <tp t="e">
        <v>#N/A</v>
        <stp/>
        <stp>##V3_BDHV12</stp>
        <stp>USOND20 ICPL curncy</stp>
        <stp>PX_LAST</stp>
        <stp>4/15/2019</stp>
        <stp>4/15/2019</stp>
        <stp>[Basic Pricing.xlsm]Vol_Surface!R13C8</stp>
        <tr r="H13" s="53"/>
      </tp>
      <tp t="e">
        <v>#N/A</v>
        <stp/>
        <stp>##V3_BDHV12</stp>
        <stp>USONE20 ICPL curncy</stp>
        <stp>PX_LAST</stp>
        <stp>4/15/2019</stp>
        <stp>4/15/2019</stp>
        <stp>[Basic Pricing.xlsm]Vol_Surface!R13C9</stp>
        <tr r="I13" s="53"/>
      </tp>
      <tp t="e">
        <v>#N/A</v>
        <stp/>
        <stp>##V3_BDHV12</stp>
        <stp>USOND12 ICPL curncy</stp>
        <stp>PX_LAST</stp>
        <stp>4/15/2019</stp>
        <stp>4/15/2019</stp>
        <stp>[Basic Pricing.xlsm]Vol_Surface!R11C8</stp>
        <tr r="H11" s="53"/>
      </tp>
      <tp t="e">
        <v>#N/A</v>
        <stp/>
        <stp>##V3_BDHV12</stp>
        <stp>USONE12 ICPL curncy</stp>
        <stp>PX_LAST</stp>
        <stp>4/15/2019</stp>
        <stp>4/15/2019</stp>
        <stp>[Basic Pricing.xlsm]Vol_Surface!R11C9</stp>
        <tr r="I11" s="53"/>
      </tp>
      <tp t="e">
        <v>#N/A</v>
        <stp/>
        <stp>##V3_BDHV12</stp>
        <stp>USONA20 ICPL curncy</stp>
        <stp>PX_LAST</stp>
        <stp>4/15/2019</stp>
        <stp>4/15/2019</stp>
        <stp>[Basic Pricing.xlsm]Vol_Surface!R13C5</stp>
        <tr r="E13" s="53"/>
      </tp>
      <tp t="e">
        <v>#N/A</v>
        <stp/>
        <stp>##V3_BDHV12</stp>
        <stp>USONB20 ICPL curncy</stp>
        <stp>PX_LAST</stp>
        <stp>4/15/2019</stp>
        <stp>4/15/2019</stp>
        <stp>[Basic Pricing.xlsm]Vol_Surface!R13C6</stp>
        <tr r="F13" s="53"/>
      </tp>
      <tp t="e">
        <v>#N/A</v>
        <stp/>
        <stp>##V3_BDHV12</stp>
        <stp>USONC20 ICPL curncy</stp>
        <stp>PX_LAST</stp>
        <stp>4/15/2019</stp>
        <stp>4/15/2019</stp>
        <stp>[Basic Pricing.xlsm]Vol_Surface!R13C7</stp>
        <tr r="G13" s="53"/>
      </tp>
      <tp t="e">
        <v>#N/A</v>
        <stp/>
        <stp>##V3_BDHV12</stp>
        <stp>USONA12 ICPL curncy</stp>
        <stp>PX_LAST</stp>
        <stp>4/15/2019</stp>
        <stp>4/15/2019</stp>
        <stp>[Basic Pricing.xlsm]Vol_Surface!R11C5</stp>
        <tr r="E11" s="53"/>
      </tp>
      <tp t="e">
        <v>#N/A</v>
        <stp/>
        <stp>##V3_BDHV12</stp>
        <stp>USONB12 ICPL curncy</stp>
        <stp>PX_LAST</stp>
        <stp>4/15/2019</stp>
        <stp>4/15/2019</stp>
        <stp>[Basic Pricing.xlsm]Vol_Surface!R11C6</stp>
        <tr r="F11" s="53"/>
      </tp>
      <tp t="e">
        <v>#N/A</v>
        <stp/>
        <stp>##V3_BDHV12</stp>
        <stp>USONC12 ICPL curncy</stp>
        <stp>PX_LAST</stp>
        <stp>4/15/2019</stp>
        <stp>4/15/2019</stp>
        <stp>[Basic Pricing.xlsm]Vol_Surface!R11C7</stp>
        <tr r="G11" s="53"/>
      </tp>
      <tp t="e">
        <v>#N/A</v>
        <stp/>
        <stp>##V3_BDHV12</stp>
        <stp>USONX20 ICPL curncy</stp>
        <stp>PX_LAST</stp>
        <stp>4/15/2019</stp>
        <stp>4/15/2019</stp>
        <stp>[Basic Pricing.xlsm]Vol_Surface!R13C2</stp>
        <tr r="B13" s="53"/>
      </tp>
      <tp t="e">
        <v>#N/A</v>
        <stp/>
        <stp>##V3_BDHV12</stp>
        <stp>USONY20 ICPL curncy</stp>
        <stp>PX_LAST</stp>
        <stp>4/15/2019</stp>
        <stp>4/15/2019</stp>
        <stp>[Basic Pricing.xlsm]Vol_Surface!R13C3</stp>
        <tr r="C13" s="53"/>
      </tp>
      <tp t="e">
        <v>#N/A</v>
        <stp/>
        <stp>##V3_BDHV12</stp>
        <stp>USONX12 ICPL curncy</stp>
        <stp>PX_LAST</stp>
        <stp>4/15/2019</stp>
        <stp>4/15/2019</stp>
        <stp>[Basic Pricing.xlsm]Vol_Surface!R11C2</stp>
        <tr r="B11" s="53"/>
      </tp>
      <tp t="e">
        <v>#N/A</v>
        <stp/>
        <stp>##V3_BDHV12</stp>
        <stp>USONY12 ICPL curncy</stp>
        <stp>PX_LAST</stp>
        <stp>4/15/2019</stp>
        <stp>4/15/2019</stp>
        <stp>[Basic Pricing.xlsm]Vol_Surface!R11C3</stp>
        <tr r="C11" s="53"/>
      </tp>
      <tp t="e">
        <v>#N/A</v>
        <stp/>
        <stp>##V3_BDHV12</stp>
        <stp>USONZ20 ICPL curncy</stp>
        <stp>PX_LAST</stp>
        <stp>4/15/2019</stp>
        <stp>4/15/2019</stp>
        <stp>[Basic Pricing.xlsm]Vol_Surface!R13C4</stp>
        <tr r="D13" s="53"/>
      </tp>
      <tp t="e">
        <v>#N/A</v>
        <stp/>
        <stp>##V3_BDHV12</stp>
        <stp>USONZ12 ICPL curncy</stp>
        <stp>PX_LAST</stp>
        <stp>4/15/2019</stp>
        <stp>4/15/2019</stp>
        <stp>[Basic Pricing.xlsm]Vol_Surface!R11C4</stp>
        <tr r="D11" s="53"/>
      </tp>
      <tp t="e">
        <v>#N/A</v>
        <stp/>
        <stp>##V3_BDHV12</stp>
        <stp>EUNE101 ICPL Curncy</stp>
        <stp>PX_LAST</stp>
        <stp>4/15/2019</stp>
        <stp>4/15/2019</stp>
        <stp>[Basic Pricing.xlsm]Vol_Surface!R73C2</stp>
        <tr r="B73" s="53"/>
      </tp>
      <tp t="e">
        <v>#N/A</v>
        <stp/>
        <stp>##V3_BDHV12</stp>
        <stp>EUNE206 ICPL Curncy</stp>
        <stp>PX_LAST</stp>
        <stp>4/15/2019</stp>
        <stp>4/15/2019</stp>
        <stp>[Basic Pricing.xlsm]Vol_Surface!R74C7</stp>
        <tr r="G74" s="53"/>
      </tp>
      <tp t="e">
        <v>#N/A</v>
        <stp/>
        <stp>##V3_BDHV12</stp>
        <stp>GBP1W BGN Curncy</stp>
        <stp>PX_LAST</stp>
        <stp>4/15/2019</stp>
        <stp>4/15/2019</stp>
        <stp>[Basic Pricing.xlsm]FXFR!R48C4</stp>
        <tr r="D48" s="46"/>
      </tp>
      <tp t="e">
        <v>#N/A</v>
        <stp/>
        <stp>##V3_BDHV12</stp>
        <stp>BCN2Y BGN Curncy</stp>
        <stp>PX_LAST</stp>
        <stp>4/15/2019</stp>
        <stp>4/15/2019</stp>
        <stp>[Basic Pricing.xlsm]FXFR!R13C4</stp>
        <tr r="D13" s="46"/>
      </tp>
      <tp t="e">
        <v>#N/A</v>
        <stp/>
        <stp>##V3_BDHV12</stp>
        <stp>CLSWIB10 CMPN Index</stp>
        <stp>Close</stp>
        <stp>04/15/2019 15:00:00</stp>
        <stp>04/15/2019 15:01:00</stp>
        <stp>[Basic Pricing.xlsm]Rate_History!R189C18</stp>
        <stp>BarType</stp>
        <stp>T</stp>
        <stp>Dir=V</stp>
        <tr r="R189" s="49"/>
      </tp>
      <tp t="e">
        <v>#N/A</v>
        <stp/>
        <stp>##V3_BDHV12</stp>
        <stp>CLSWIB20 CMPN Index</stp>
        <stp>Close</stp>
        <stp>04/15/2019 15:00:00</stp>
        <stp>04/15/2019 15:01:00</stp>
        <stp>[Basic Pricing.xlsm]Rate_History!R197C18</stp>
        <stp>BarType</stp>
        <stp>T</stp>
        <stp>Dir=V</stp>
        <tr r="R197" s="49"/>
      </tp>
      <tp t="e">
        <v>#N/A</v>
        <stp/>
        <stp>##V3_BDPV12</stp>
        <stp>ERZ0 Comdty</stp>
        <stp>PX_LAST</stp>
        <stp>[Basic Pricing.xlsm]FX_Curve_Live!R37C4</stp>
        <tr r="D37" s="42"/>
      </tp>
      <tp t="e">
        <v>#N/A</v>
        <stp/>
        <stp>##V3_BDHV12</stp>
        <stp>EUSA30 CMPN Curncy</stp>
        <stp>LAST_PRICE</stp>
        <stp>4/15/2019</stp>
        <stp>4/15/2019</stp>
        <stp>[Basic Pricing.xlsm]Rate_History!R49C20</stp>
        <tr r="T49" s="49"/>
      </tp>
      <tp t="e">
        <v>#N/A</v>
        <stp/>
        <stp>##V3_BDHV12</stp>
        <stp>EUSA20 CMPN Curncy</stp>
        <stp>LAST_PRICE</stp>
        <stp>4/15/2019</stp>
        <stp>4/15/2019</stp>
        <stp>[Basic Pricing.xlsm]Rate_History!R47C20</stp>
        <tr r="T47" s="49"/>
      </tp>
      <tp t="e">
        <v>#N/A</v>
        <stp/>
        <stp>##V3_BDHV12</stp>
        <stp>EUSA25 CMPN Curncy</stp>
        <stp>LAST_PRICE</stp>
        <stp>4/15/2019</stp>
        <stp>4/15/2019</stp>
        <stp>[Basic Pricing.xlsm]Rate_History!R48C20</stp>
        <tr r="T48" s="49"/>
      </tp>
      <tp t="e">
        <v>#N/A</v>
        <stp/>
        <stp>##V3_BDHV12</stp>
        <stp>EUSA12 CMPN Curncy</stp>
        <stp>LAST_PRICE</stp>
        <stp>4/15/2019</stp>
        <stp>4/15/2019</stp>
        <stp>[Basic Pricing.xlsm]Rate_History!R41C20</stp>
        <tr r="T41" s="49"/>
      </tp>
      <tp t="e">
        <v>#N/A</v>
        <stp/>
        <stp>##V3_BDHV12</stp>
        <stp>EUSA16 CMPN Curncy</stp>
        <stp>LAST_PRICE</stp>
        <stp>4/15/2019</stp>
        <stp>4/15/2019</stp>
        <stp>[Basic Pricing.xlsm]Rate_History!R45C20</stp>
        <tr r="T45" s="49"/>
      </tp>
      <tp t="e">
        <v>#N/A</v>
        <stp/>
        <stp>##V3_BDHV12</stp>
        <stp>EUSA11 CMPN Curncy</stp>
        <stp>LAST_PRICE</stp>
        <stp>4/15/2019</stp>
        <stp>4/15/2019</stp>
        <stp>[Basic Pricing.xlsm]Rate_History!R40C20</stp>
        <tr r="T40" s="49"/>
      </tp>
      <tp t="e">
        <v>#N/A</v>
        <stp/>
        <stp>##V3_BDHV12</stp>
        <stp>EUSA13 CMPN Curncy</stp>
        <stp>LAST_PRICE</stp>
        <stp>4/15/2019</stp>
        <stp>4/15/2019</stp>
        <stp>[Basic Pricing.xlsm]Rate_History!R42C20</stp>
        <tr r="T42" s="49"/>
      </tp>
      <tp t="e">
        <v>#N/A</v>
        <stp/>
        <stp>##V3_BDHV12</stp>
        <stp>EUSA15 CMPN Curncy</stp>
        <stp>LAST_PRICE</stp>
        <stp>4/15/2019</stp>
        <stp>4/15/2019</stp>
        <stp>[Basic Pricing.xlsm]Rate_History!R44C20</stp>
        <tr r="T44" s="49"/>
      </tp>
      <tp t="e">
        <v>#N/A</v>
        <stp/>
        <stp>##V3_BDHV12</stp>
        <stp>EUSA17 CMPN Curncy</stp>
        <stp>LAST_PRICE</stp>
        <stp>4/15/2019</stp>
        <stp>4/15/2019</stp>
        <stp>[Basic Pricing.xlsm]Rate_History!R46C20</stp>
        <tr r="T46" s="49"/>
      </tp>
      <tp t="e">
        <v>#N/A</v>
        <stp/>
        <stp>##V3_BDHV12</stp>
        <stp>EUSA14 CMPN Curncy</stp>
        <stp>LAST_PRICE</stp>
        <stp>4/15/2019</stp>
        <stp>4/15/2019</stp>
        <stp>[Basic Pricing.xlsm]Rate_History!R43C20</stp>
        <tr r="T43" s="49"/>
      </tp>
      <tp t="e">
        <v>#N/A</v>
        <stp/>
        <stp>##V3_BDHV12</stp>
        <stp>EUSA10 CMPN Curncy</stp>
        <stp>LAST_PRICE</stp>
        <stp>4/15/2019</stp>
        <stp>4/15/2019</stp>
        <stp>[Basic Pricing.xlsm]Rate_History!R39C20</stp>
        <tr r="T39" s="49"/>
      </tp>
      <tp t="e">
        <v>#N/A</v>
        <stp/>
        <stp>##V3_BDHV12</stp>
        <stp>EUSA40 CMPN Curncy</stp>
        <stp>LAST_PRICE</stp>
        <stp>4/15/2019</stp>
        <stp>4/15/2019</stp>
        <stp>[Basic Pricing.xlsm]Rate_History!R50C20</stp>
        <tr r="T50" s="49"/>
      </tp>
      <tp t="e">
        <v>#N/A</v>
        <stp/>
        <stp>##V3_BDHV12</stp>
        <stp>BPSW14 CMPN Curncy</stp>
        <stp>LAST_PRICE</stp>
        <stp>4/15/2019</stp>
        <stp>4/15/2019</stp>
        <stp>[Basic Pricing.xlsm]Rate_History!R93C20</stp>
        <tr r="T93" s="49"/>
      </tp>
      <tp t="e">
        <v>#N/A</v>
        <stp/>
        <stp>##V3_BDHV12</stp>
        <stp>BPSW12 CMPN Curncy</stp>
        <stp>LAST_PRICE</stp>
        <stp>4/15/2019</stp>
        <stp>4/15/2019</stp>
        <stp>[Basic Pricing.xlsm]Rate_History!R91C20</stp>
        <tr r="T91" s="49"/>
      </tp>
      <tp t="e">
        <v>#N/A</v>
        <stp/>
        <stp>##V3_BDHV12</stp>
        <stp>BPSW16 CMPN Curncy</stp>
        <stp>LAST_PRICE</stp>
        <stp>4/15/2019</stp>
        <stp>4/15/2019</stp>
        <stp>[Basic Pricing.xlsm]Rate_History!R95C20</stp>
        <tr r="T95" s="49"/>
      </tp>
      <tp t="e">
        <v>#N/A</v>
        <stp/>
        <stp>##V3_BDHV12</stp>
        <stp>BPSW11 CMPN Curncy</stp>
        <stp>LAST_PRICE</stp>
        <stp>4/15/2019</stp>
        <stp>4/15/2019</stp>
        <stp>[Basic Pricing.xlsm]Rate_History!R90C20</stp>
        <tr r="T90" s="49"/>
      </tp>
      <tp t="e">
        <v>#N/A</v>
        <stp/>
        <stp>##V3_BDHV12</stp>
        <stp>BPSW13 CMPN Curncy</stp>
        <stp>LAST_PRICE</stp>
        <stp>4/15/2019</stp>
        <stp>4/15/2019</stp>
        <stp>[Basic Pricing.xlsm]Rate_History!R92C20</stp>
        <tr r="T92" s="49"/>
      </tp>
      <tp t="e">
        <v>#N/A</v>
        <stp/>
        <stp>##V3_BDHV12</stp>
        <stp>BPSW15 CMPN Curncy</stp>
        <stp>LAST_PRICE</stp>
        <stp>4/15/2019</stp>
        <stp>4/15/2019</stp>
        <stp>[Basic Pricing.xlsm]Rate_History!R94C20</stp>
        <tr r="T94" s="49"/>
      </tp>
      <tp t="e">
        <v>#N/A</v>
        <stp/>
        <stp>##V3_BDHV12</stp>
        <stp>BPSW17 CMPN Curncy</stp>
        <stp>LAST_PRICE</stp>
        <stp>4/15/2019</stp>
        <stp>4/15/2019</stp>
        <stp>[Basic Pricing.xlsm]Rate_History!R96C20</stp>
        <tr r="T96" s="49"/>
      </tp>
      <tp t="e">
        <v>#N/A</v>
        <stp/>
        <stp>##V3_BDHV12</stp>
        <stp>BPSW10 CMPN Curncy</stp>
        <stp>LAST_PRICE</stp>
        <stp>4/15/2019</stp>
        <stp>4/15/2019</stp>
        <stp>[Basic Pricing.xlsm]Rate_History!R89C20</stp>
        <tr r="T89" s="49"/>
      </tp>
      <tp t="e">
        <v>#N/A</v>
        <stp/>
        <stp>##V3_BDHV12</stp>
        <stp>BPSW30 CMPN Curncy</stp>
        <stp>LAST_PRICE</stp>
        <stp>4/15/2019</stp>
        <stp>4/15/2019</stp>
        <stp>[Basic Pricing.xlsm]Rate_History!R99C20</stp>
        <tr r="T99" s="49"/>
      </tp>
      <tp t="e">
        <v>#N/A</v>
        <stp/>
        <stp>##V3_BDHV12</stp>
        <stp>BPSW20 CMPN Curncy</stp>
        <stp>LAST_PRICE</stp>
        <stp>4/15/2019</stp>
        <stp>4/15/2019</stp>
        <stp>[Basic Pricing.xlsm]Rate_History!R97C20</stp>
        <tr r="T97" s="49"/>
      </tp>
      <tp t="e">
        <v>#N/A</v>
        <stp/>
        <stp>##V3_BDHV12</stp>
        <stp>JYSW40 CMPN Curncy</stp>
        <stp>LAST_PRICE</stp>
        <stp>4/15/2019</stp>
        <stp>4/15/2019</stp>
        <stp>[Basic Pricing.xlsm]Rate_History!R75C20</stp>
        <tr r="T75" s="49"/>
      </tp>
      <tp t="e">
        <v>#N/A</v>
        <stp/>
        <stp>##V3_BDHV12</stp>
        <stp>BPSW25 CMPN Curncy</stp>
        <stp>LAST_PRICE</stp>
        <stp>4/15/2019</stp>
        <stp>4/15/2019</stp>
        <stp>[Basic Pricing.xlsm]Rate_History!R98C20</stp>
        <tr r="T98" s="49"/>
      </tp>
      <tp t="e">
        <v>#N/A</v>
        <stp/>
        <stp>##V3_BDHV12</stp>
        <stp>JYSW30 CMPN Curncy</stp>
        <stp>LAST_PRICE</stp>
        <stp>4/15/2019</stp>
        <stp>4/15/2019</stp>
        <stp>[Basic Pricing.xlsm]Rate_History!R74C20</stp>
        <tr r="T74" s="49"/>
      </tp>
      <tp t="e">
        <v>#N/A</v>
        <stp/>
        <stp>##V3_BDHV12</stp>
        <stp>JYSW25 CMPN Curncy</stp>
        <stp>LAST_PRICE</stp>
        <stp>4/15/2019</stp>
        <stp>4/15/2019</stp>
        <stp>[Basic Pricing.xlsm]Rate_History!R73C20</stp>
        <tr r="T73" s="49"/>
      </tp>
      <tp t="e">
        <v>#N/A</v>
        <stp/>
        <stp>##V3_BDHV12</stp>
        <stp>JYSW20 CMPN Curncy</stp>
        <stp>LAST_PRICE</stp>
        <stp>4/15/2019</stp>
        <stp>4/15/2019</stp>
        <stp>[Basic Pricing.xlsm]Rate_History!R72C20</stp>
        <tr r="T72" s="49"/>
      </tp>
      <tp t="e">
        <v>#N/A</v>
        <stp/>
        <stp>##V3_BDHV12</stp>
        <stp>JYSW16 CMPN Curncy</stp>
        <stp>LAST_PRICE</stp>
        <stp>4/15/2019</stp>
        <stp>4/15/2019</stp>
        <stp>[Basic Pricing.xlsm]Rate_History!R70C20</stp>
        <tr r="T70" s="49"/>
      </tp>
      <tp t="e">
        <v>#N/A</v>
        <stp/>
        <stp>##V3_BDHV12</stp>
        <stp>JYSW17 CMPN Curncy</stp>
        <stp>LAST_PRICE</stp>
        <stp>4/15/2019</stp>
        <stp>4/15/2019</stp>
        <stp>[Basic Pricing.xlsm]Rate_History!R71C20</stp>
        <tr r="T71" s="49"/>
      </tp>
      <tp t="e">
        <v>#N/A</v>
        <stp/>
        <stp>##V3_BDHV12</stp>
        <stp>JYSW14 CMPN Curncy</stp>
        <stp>LAST_PRICE</stp>
        <stp>4/15/2019</stp>
        <stp>4/15/2019</stp>
        <stp>[Basic Pricing.xlsm]Rate_History!R68C20</stp>
        <tr r="T68" s="49"/>
      </tp>
      <tp t="e">
        <v>#N/A</v>
        <stp/>
        <stp>##V3_BDHV12</stp>
        <stp>JYSW15 CMPN Curncy</stp>
        <stp>LAST_PRICE</stp>
        <stp>4/15/2019</stp>
        <stp>4/15/2019</stp>
        <stp>[Basic Pricing.xlsm]Rate_History!R69C20</stp>
        <tr r="T69" s="49"/>
      </tp>
      <tp t="e">
        <v>#N/A</v>
        <stp/>
        <stp>##V3_BDHV12</stp>
        <stp>JYSW10 CMPN Curncy</stp>
        <stp>LAST_PRICE</stp>
        <stp>4/15/2019</stp>
        <stp>4/15/2019</stp>
        <stp>[Basic Pricing.xlsm]Rate_History!R64C20</stp>
        <tr r="T64" s="49"/>
      </tp>
      <tp t="e">
        <v>#N/A</v>
        <stp/>
        <stp>##V3_BDHV12</stp>
        <stp>JYSW11 CMPN Curncy</stp>
        <stp>LAST_PRICE</stp>
        <stp>4/15/2019</stp>
        <stp>4/15/2019</stp>
        <stp>[Basic Pricing.xlsm]Rate_History!R65C20</stp>
        <tr r="T65" s="49"/>
      </tp>
      <tp t="e">
        <v>#N/A</v>
        <stp/>
        <stp>##V3_BDHV12</stp>
        <stp>JYSW12 CMPN Curncy</stp>
        <stp>LAST_PRICE</stp>
        <stp>4/15/2019</stp>
        <stp>4/15/2019</stp>
        <stp>[Basic Pricing.xlsm]Rate_History!R66C20</stp>
        <tr r="T66" s="49"/>
      </tp>
      <tp t="e">
        <v>#N/A</v>
        <stp/>
        <stp>##V3_BDHV12</stp>
        <stp>JYSW13 CMPN Curncy</stp>
        <stp>LAST_PRICE</stp>
        <stp>4/15/2019</stp>
        <stp>4/15/2019</stp>
        <stp>[Basic Pricing.xlsm]Rate_History!R67C20</stp>
        <tr r="T67" s="49"/>
      </tp>
      <tp t="e">
        <v>#N/A</v>
        <stp/>
        <stp>##V3_BDHV12</stp>
        <stp>USSW40 CMPN Curncy</stp>
        <stp>LAST_PRICE</stp>
        <stp>4/15/2019</stp>
        <stp>4/15/2019</stp>
        <stp>[Basic Pricing.xlsm]Rate_History!R25C20</stp>
        <tr r="T25" s="49"/>
      </tp>
      <tp t="e">
        <v>#N/A</v>
        <stp/>
        <stp>##V3_BDHV12</stp>
        <stp>USSW16 CMPN Curncy</stp>
        <stp>LAST_PRICE</stp>
        <stp>4/15/2019</stp>
        <stp>4/15/2019</stp>
        <stp>[Basic Pricing.xlsm]Rate_History!R20C20</stp>
        <tr r="T20" s="49"/>
      </tp>
      <tp t="e">
        <v>#N/A</v>
        <stp/>
        <stp>##V3_BDHV12</stp>
        <stp>USSW17 CMPN Curncy</stp>
        <stp>LAST_PRICE</stp>
        <stp>4/15/2019</stp>
        <stp>4/15/2019</stp>
        <stp>[Basic Pricing.xlsm]Rate_History!R21C20</stp>
        <tr r="T21" s="49"/>
      </tp>
      <tp t="e">
        <v>#N/A</v>
        <stp/>
        <stp>##V3_BDHV12</stp>
        <stp>USSW30 CMPN Curncy</stp>
        <stp>LAST_PRICE</stp>
        <stp>4/15/2019</stp>
        <stp>4/15/2019</stp>
        <stp>[Basic Pricing.xlsm]Rate_History!R24C20</stp>
        <tr r="T24" s="49"/>
      </tp>
      <tp t="e">
        <v>#N/A</v>
        <stp/>
        <stp>##V3_BDHV12</stp>
        <stp>USSW10 CMPN Curncy</stp>
        <stp>LAST_PRICE</stp>
        <stp>4/15/2019</stp>
        <stp>4/15/2019</stp>
        <stp>[Basic Pricing.xlsm]Rate_History!R14C20</stp>
        <tr r="T14" s="49"/>
      </tp>
      <tp t="e">
        <v>#N/A</v>
        <stp/>
        <stp>##V3_BDHV12</stp>
        <stp>USSW11 CMPN Curncy</stp>
        <stp>LAST_PRICE</stp>
        <stp>4/15/2019</stp>
        <stp>4/15/2019</stp>
        <stp>[Basic Pricing.xlsm]Rate_History!R15C20</stp>
        <tr r="T15" s="49"/>
      </tp>
      <tp t="e">
        <v>#N/A</v>
        <stp/>
        <stp>##V3_BDHV12</stp>
        <stp>USSW12 CMPN Curncy</stp>
        <stp>LAST_PRICE</stp>
        <stp>4/15/2019</stp>
        <stp>4/15/2019</stp>
        <stp>[Basic Pricing.xlsm]Rate_History!R16C20</stp>
        <tr r="T16" s="49"/>
      </tp>
      <tp t="e">
        <v>#N/A</v>
        <stp/>
        <stp>##V3_BDHV12</stp>
        <stp>USSW13 CMPN Curncy</stp>
        <stp>LAST_PRICE</stp>
        <stp>4/15/2019</stp>
        <stp>4/15/2019</stp>
        <stp>[Basic Pricing.xlsm]Rate_History!R17C20</stp>
        <tr r="T17" s="49"/>
      </tp>
      <tp t="e">
        <v>#N/A</v>
        <stp/>
        <stp>##V3_BDHV12</stp>
        <stp>USSW25 CMPN Curncy</stp>
        <stp>LAST_PRICE</stp>
        <stp>4/15/2019</stp>
        <stp>4/15/2019</stp>
        <stp>[Basic Pricing.xlsm]Rate_History!R23C20</stp>
        <tr r="T23" s="49"/>
      </tp>
      <tp t="e">
        <v>#N/A</v>
        <stp/>
        <stp>##V3_BDHV12</stp>
        <stp>USSW20 CMPN Curncy</stp>
        <stp>LAST_PRICE</stp>
        <stp>4/15/2019</stp>
        <stp>4/15/2019</stp>
        <stp>[Basic Pricing.xlsm]Rate_History!R22C20</stp>
        <tr r="T22" s="49"/>
      </tp>
      <tp t="e">
        <v>#N/A</v>
        <stp/>
        <stp>##V3_BDHV12</stp>
        <stp>USSW14 CMPN Curncy</stp>
        <stp>LAST_PRICE</stp>
        <stp>4/15/2019</stp>
        <stp>4/15/2019</stp>
        <stp>[Basic Pricing.xlsm]Rate_History!R18C20</stp>
        <tr r="T18" s="49"/>
      </tp>
      <tp t="e">
        <v>#N/A</v>
        <stp/>
        <stp>##V3_BDHV12</stp>
        <stp>USSW15 CMPN Curncy</stp>
        <stp>LAST_PRICE</stp>
        <stp>4/15/2019</stp>
        <stp>4/15/2019</stp>
        <stp>[Basic Pricing.xlsm]Rate_History!R19C20</stp>
        <tr r="T19" s="49"/>
      </tp>
      <tp t="e">
        <v>#N/A</v>
        <stp/>
        <stp>##V3_BDHV12</stp>
        <stp>CDSW2 Index</stp>
        <stp>PX_LAST</stp>
        <stp>4/15/2019</stp>
        <stp>4/15/2019</stp>
        <stp>[Basic Pricing.xlsm]FX_Curve_History!R131C6</stp>
        <tr r="F131" s="50"/>
      </tp>
      <tp t="e">
        <v>#N/A</v>
        <stp/>
        <stp>##V3_BDHV12</stp>
        <stp>CDSW6 Index</stp>
        <stp>PX_LAST</stp>
        <stp>4/15/2019</stp>
        <stp>4/15/2019</stp>
        <stp>[Basic Pricing.xlsm]FX_Curve_History!R135C6</stp>
        <tr r="F135" s="50"/>
      </tp>
      <tp t="e">
        <v>#N/A</v>
        <stp/>
        <stp>##V3_BDHV12</stp>
        <stp>EUNE207 ICPL Curncy</stp>
        <stp>PX_LAST</stp>
        <stp>4/15/2019</stp>
        <stp>4/15/2019</stp>
        <stp>[Basic Pricing.xlsm]Vol_Surface!R74C8</stp>
        <tr r="H74" s="53"/>
      </tp>
      <tp t="e">
        <v>#N/A</v>
        <stp/>
        <stp>##V3_BDHV12</stp>
        <stp>EUNZO20 ICPL Curncy</stp>
        <stp>PX_LAST</stp>
        <stp>4/15/2019</stp>
        <stp>4/15/2019</stp>
        <stp>[Basic Pricing.xlsm]Vol_Surface!R33C5</stp>
        <tr r="E33" s="53"/>
      </tp>
      <tp t="e">
        <v>#N/A</v>
        <stp/>
        <stp>##V3_BDHV12</stp>
        <stp>EUNZO12 ICPL Curncy</stp>
        <stp>PX_LAST</stp>
        <stp>4/15/2019</stp>
        <stp>4/15/2019</stp>
        <stp>[Basic Pricing.xlsm]Vol_Surface!R31C5</stp>
        <tr r="E31" s="53"/>
      </tp>
      <tp t="e">
        <v>#N/A</v>
        <stp/>
        <stp>##V3_BDHV12</stp>
        <stp>EUNZA20 ICPL Curncy</stp>
        <stp>PX_LAST</stp>
        <stp>4/15/2019</stp>
        <stp>4/15/2019</stp>
        <stp>[Basic Pricing.xlsm]Vol_Surface!R33C6</stp>
        <tr r="F33" s="53"/>
      </tp>
      <tp t="e">
        <v>#N/A</v>
        <stp/>
        <stp>##V3_BDHV12</stp>
        <stp>EUNZA12 ICPL Curncy</stp>
        <stp>PX_LAST</stp>
        <stp>4/15/2019</stp>
        <stp>4/15/2019</stp>
        <stp>[Basic Pricing.xlsm]Vol_Surface!R31C6</stp>
        <tr r="F31" s="53"/>
      </tp>
      <tp t="e">
        <v>#N/A</v>
        <stp/>
        <stp>##V3_BDHV12</stp>
        <stp>EUNZ154 ICPL Curncy</stp>
        <stp>PX_LAST</stp>
        <stp>4/15/2019</stp>
        <stp>4/15/2019</stp>
        <stp>[Basic Pricing.xlsm]Vol_Surface!R27C9</stp>
        <tr r="I27" s="53"/>
      </tp>
      <tp t="e">
        <v>#N/A</v>
        <stp/>
        <stp>##V3_BDHV12</stp>
        <stp>EUNZ104 ICPL Curncy</stp>
        <stp>PX_LAST</stp>
        <stp>4/15/2019</stp>
        <stp>4/15/2019</stp>
        <stp>[Basic Pricing.xlsm]Vol_Surface!R27C8</stp>
        <tr r="H27" s="53"/>
      </tp>
      <tp t="e">
        <v>#N/A</v>
        <stp/>
        <stp>##V3_BDHV12</stp>
        <stp>EUNZ054 ICPL Curncy</stp>
        <stp>PX_LAST</stp>
        <stp>4/15/2019</stp>
        <stp>4/15/2019</stp>
        <stp>[Basic Pricing.xlsm]Vol_Surface!R27C7</stp>
        <tr r="G27" s="53"/>
      </tp>
      <tp t="e">
        <v>#N/A</v>
        <stp/>
        <stp>##V3_BDPV12</stp>
        <stp>USSW6 Index</stp>
        <stp>PX_LAST</stp>
        <stp>[Basic Pricing.xlsm]FX_Curve_Live!R10C6</stp>
        <tr r="F10" s="42"/>
      </tp>
      <tp t="e">
        <v>#N/A</v>
        <stp/>
        <stp>##V3_BDPV12</stp>
        <stp>USSW7 Index</stp>
        <stp>PX_LAST</stp>
        <stp>[Basic Pricing.xlsm]FX_Curve_Live!R11C6</stp>
        <tr r="F11" s="42"/>
      </tp>
      <tp t="e">
        <v>#N/A</v>
        <stp/>
        <stp>##V3_BDHV12</stp>
        <stp>GBP2Y BGN Curncy</stp>
        <stp>PX_LAST</stp>
        <stp>4/15/2019</stp>
        <stp>4/15/2019</stp>
        <stp>[Basic Pricing.xlsm]FXFR!R57C4</stp>
        <tr r="D57" s="46"/>
      </tp>
      <tp t="e">
        <v>#N/A</v>
        <stp/>
        <stp>##V3_BDHV12</stp>
        <stp>EUR2Y BGN Curncy</stp>
        <stp>PX_LAST</stp>
        <stp>4/15/2019</stp>
        <stp>4/15/2019</stp>
        <stp>[Basic Pricing.xlsm]FXFR!R35C4</stp>
        <tr r="D35" s="46"/>
      </tp>
      <tp t="e">
        <v>#N/A</v>
        <stp/>
        <stp>##V3_BDHV12</stp>
        <stp>CLSWIB11 CMPN Index</stp>
        <stp>Close</stp>
        <stp>04/15/2019 15:00:00</stp>
        <stp>04/15/2019 15:01:00</stp>
        <stp>[Basic Pricing.xlsm]Rate_History!R190C18</stp>
        <stp>BarType</stp>
        <stp>T</stp>
        <stp>Dir=V</stp>
        <tr r="R190" s="49"/>
      </tp>
      <tp t="e">
        <v>#N/A</v>
        <stp/>
        <stp>##V3_BDPV12</stp>
        <stp>ERU0 Comdty</stp>
        <stp>PX_LAST</stp>
        <stp>[Basic Pricing.xlsm]FX_Curve_Live!R36C4</stp>
        <tr r="D36" s="42"/>
      </tp>
      <tp t="e">
        <v>#N/A</v>
        <stp/>
        <stp>##V3_BDHV12</stp>
        <stp>EUNE107 ICPL Curncy</stp>
        <stp>PX_LAST</stp>
        <stp>4/15/2019</stp>
        <stp>4/15/2019</stp>
        <stp>[Basic Pricing.xlsm]Vol_Surface!R73C8</stp>
        <tr r="H73" s="53"/>
      </tp>
      <tp t="e">
        <v>#N/A</v>
        <stp/>
        <stp>##V3_BDPV12</stp>
        <stp>L H1 Comdty</stp>
        <stp>PX_LAST</stp>
        <stp>[Basic Pricing.xlsm]FX_Curve_Live!R88C4</stp>
        <tr r="D88" s="42"/>
      </tp>
      <tp t="e">
        <v>#N/A</v>
        <stp/>
        <stp>##V3_BDHV12</stp>
        <stp>GBP5Y BGN Curncy</stp>
        <stp>PX_LAST</stp>
        <stp>4/15/2019</stp>
        <stp>4/15/2019</stp>
        <stp>[Basic Pricing.xlsm]FXFR!R60C4</stp>
        <tr r="D60" s="46"/>
      </tp>
      <tp t="e">
        <v>#N/A</v>
        <stp/>
        <stp>##V3_BDHV12</stp>
        <stp>BCN4Y BGN Curncy</stp>
        <stp>PX_LAST</stp>
        <stp>4/15/2019</stp>
        <stp>4/15/2019</stp>
        <stp>[Basic Pricing.xlsm]FXFR!R15C4</stp>
        <tr r="D15" s="46"/>
      </tp>
      <tp t="e">
        <v>#N/A</v>
        <stp/>
        <stp>##V3_BDHV12</stp>
        <stp>EUR9Y BGN Curncy</stp>
        <stp>PX_LAST</stp>
        <stp>4/15/2019</stp>
        <stp>4/15/2019</stp>
        <stp>[Basic Pricing.xlsm]FXFR!R42C4</stp>
        <tr r="D42" s="46"/>
      </tp>
      <tp t="e">
        <v>#N/A</v>
        <stp/>
        <stp>##V3_BDHV12</stp>
        <stp>CLSWIB16 CMPN Index</stp>
        <stp>Close</stp>
        <stp>04/15/2019 15:00:00</stp>
        <stp>04/15/2019 15:01:00</stp>
        <stp>[Basic Pricing.xlsm]Rate_History!R195C18</stp>
        <stp>BarType</stp>
        <stp>T</stp>
        <stp>Dir=V</stp>
        <tr r="R195" s="49"/>
      </tp>
      <tp t="e">
        <v>#N/A</v>
        <stp/>
        <stp>##V3_BDPV12</stp>
        <stp>ERM9 Comdty</stp>
        <stp>PX_LAST</stp>
        <stp>[Basic Pricing.xlsm]FX_Curve_Live!R31C4</stp>
        <tr r="D31" s="42"/>
      </tp>
      <tp t="e">
        <v>#N/A</v>
        <stp/>
        <stp>##V3_BDHV12</stp>
        <stp>HASWDI10Y CMPN Curncy</stp>
        <stp>LAST_PRICE</stp>
        <stp>4/15/2019</stp>
        <stp>4/15/2019</stp>
        <stp>[Basic Pricing.xlsm]Rate_History!R166C20</stp>
        <tr r="T166" s="49"/>
      </tp>
      <tp t="e">
        <v>#N/A</v>
        <stp/>
        <stp>##V3_BDHV12</stp>
        <stp>HASWDI10Y CMPN Curncy</stp>
        <stp>LAST_PRICE</stp>
        <stp>4/15/2019</stp>
        <stp>4/15/2019</stp>
        <stp>[Basic Pricing.xlsm]Rate_History!R167C20</stp>
        <tr r="T167" s="49"/>
      </tp>
      <tp t="e">
        <v>#N/A</v>
        <stp/>
        <stp>##V3_BDHV12</stp>
        <stp>HASWDI10Y CMPN Curncy</stp>
        <stp>LAST_PRICE</stp>
        <stp>4/15/2019</stp>
        <stp>4/15/2019</stp>
        <stp>[Basic Pricing.xlsm]Rate_History!R165C20</stp>
        <tr r="T165" s="49"/>
      </tp>
      <tp t="e">
        <v>#N/A</v>
        <stp/>
        <stp>##V3_BDHV12</stp>
        <stp>HASWDI10Y CMPN Curncy</stp>
        <stp>LAST_PRICE</stp>
        <stp>4/15/2019</stp>
        <stp>4/15/2019</stp>
        <stp>[Basic Pricing.xlsm]Rate_History!R168C20</stp>
        <tr r="T168" s="49"/>
      </tp>
      <tp t="e">
        <v>#N/A</v>
        <stp/>
        <stp>##V3_BDHV12</stp>
        <stp>HASWDI10Y CMPN Curncy</stp>
        <stp>LAST_PRICE</stp>
        <stp>4/15/2019</stp>
        <stp>4/15/2019</stp>
        <stp>[Basic Pricing.xlsm]Rate_History!R169C20</stp>
        <tr r="T169" s="49"/>
      </tp>
      <tp t="e">
        <v>#N/A</v>
        <stp/>
        <stp>##V3_BDHV12</stp>
        <stp>HASWDI10Y CMPN Curncy</stp>
        <stp>LAST_PRICE</stp>
        <stp>4/15/2019</stp>
        <stp>4/15/2019</stp>
        <stp>[Basic Pricing.xlsm]Rate_History!R172C20</stp>
        <tr r="T172" s="49"/>
      </tp>
      <tp t="e">
        <v>#N/A</v>
        <stp/>
        <stp>##V3_BDHV12</stp>
        <stp>HASWDI10Y CMPN Curncy</stp>
        <stp>LAST_PRICE</stp>
        <stp>4/15/2019</stp>
        <stp>4/15/2019</stp>
        <stp>[Basic Pricing.xlsm]Rate_History!R170C20</stp>
        <tr r="T170" s="49"/>
      </tp>
      <tp t="e">
        <v>#N/A</v>
        <stp/>
        <stp>##V3_BDHV12</stp>
        <stp>HASWDI10Y CMPN Curncy</stp>
        <stp>LAST_PRICE</stp>
        <stp>4/15/2019</stp>
        <stp>4/15/2019</stp>
        <stp>[Basic Pricing.xlsm]Rate_History!R171C20</stp>
        <tr r="T171" s="49"/>
      </tp>
      <tp t="e">
        <v>#N/A</v>
        <stp/>
        <stp>##V3_BDHV12</stp>
        <stp>BCN12M BGN Curncy</stp>
        <stp>PX_LAST</stp>
        <stp>4/15/2019</stp>
        <stp>4/15/2019</stp>
        <stp>[Basic Pricing.xlsm]FXFR!R12C4</stp>
        <tr r="D12" s="46"/>
      </tp>
      <tp t="e">
        <v>#N/A</v>
        <stp/>
        <stp>##V3_BDPV12</stp>
        <stp>EDU0 Comdty</stp>
        <stp>PX_LAST</stp>
        <stp>[Basic Pricing.xlsm]FX_Curve_Live!R11C4</stp>
        <tr r="D11" s="42"/>
      </tp>
      <tp t="e">
        <v>#N/A</v>
        <stp/>
        <stp>##V3_BDHV12</stp>
        <stp>EUNE201 ICPL Curncy</stp>
        <stp>PX_LAST</stp>
        <stp>4/15/2019</stp>
        <stp>4/15/2019</stp>
        <stp>[Basic Pricing.xlsm]Vol_Surface!R74C2</stp>
        <tr r="B74" s="53"/>
      </tp>
      <tp t="e">
        <v>#N/A</v>
        <stp/>
        <stp>##V3_BDHV12</stp>
        <stp>EUNE106 ICPL Curncy</stp>
        <stp>PX_LAST</stp>
        <stp>4/15/2019</stp>
        <stp>4/15/2019</stp>
        <stp>[Basic Pricing.xlsm]Vol_Surface!R73C7</stp>
        <tr r="G73" s="53"/>
      </tp>
      <tp t="e">
        <v>#N/A</v>
        <stp/>
        <stp>##V3_BDHV12</stp>
        <stp>EUNZ151 ICPL Curncy</stp>
        <stp>PX_LAST</stp>
        <stp>4/15/2019</stp>
        <stp>4/15/2019</stp>
        <stp>[Basic Pricing.xlsm]Vol_Surface!R24C9</stp>
        <tr r="I24" s="53"/>
      </tp>
      <tp t="e">
        <v>#N/A</v>
        <stp/>
        <stp>##V3_BDHV12</stp>
        <stp>EUNZ153 ICPL Curncy</stp>
        <stp>PX_LAST</stp>
        <stp>4/15/2019</stp>
        <stp>4/15/2019</stp>
        <stp>[Basic Pricing.xlsm]Vol_Surface!R26C9</stp>
        <tr r="I26" s="53"/>
      </tp>
      <tp t="e">
        <v>#N/A</v>
        <stp/>
        <stp>##V3_BDHV12</stp>
        <stp>EUNZ101 ICPL Curncy</stp>
        <stp>PX_LAST</stp>
        <stp>4/15/2019</stp>
        <stp>4/15/2019</stp>
        <stp>[Basic Pricing.xlsm]Vol_Surface!R24C8</stp>
        <tr r="H24" s="53"/>
      </tp>
      <tp t="e">
        <v>#N/A</v>
        <stp/>
        <stp>##V3_BDHV12</stp>
        <stp>EUNZ103 ICPL Curncy</stp>
        <stp>PX_LAST</stp>
        <stp>4/15/2019</stp>
        <stp>4/15/2019</stp>
        <stp>[Basic Pricing.xlsm]Vol_Surface!R26C8</stp>
        <tr r="H26" s="53"/>
      </tp>
      <tp t="e">
        <v>#N/A</v>
        <stp/>
        <stp>##V3_BDHV12</stp>
        <stp>EUNZ051 ICPL Curncy</stp>
        <stp>PX_LAST</stp>
        <stp>4/15/2019</stp>
        <stp>4/15/2019</stp>
        <stp>[Basic Pricing.xlsm]Vol_Surface!R24C7</stp>
        <tr r="G24" s="53"/>
      </tp>
      <tp t="e">
        <v>#N/A</v>
        <stp/>
        <stp>##V3_BDHV12</stp>
        <stp>EUNZ053 ICPL Curncy</stp>
        <stp>PX_LAST</stp>
        <stp>4/15/2019</stp>
        <stp>4/15/2019</stp>
        <stp>[Basic Pricing.xlsm]Vol_Surface!R26C7</stp>
        <tr r="G26" s="53"/>
      </tp>
      <tp t="e">
        <v>#N/A</v>
        <stp/>
        <stp>##V3_BDHV12</stp>
        <stp>GBP6Y BGN Curncy</stp>
        <stp>PX_LAST</stp>
        <stp>4/15/2019</stp>
        <stp>4/15/2019</stp>
        <stp>[Basic Pricing.xlsm]FXFR!R61C4</stp>
        <tr r="D61" s="46"/>
      </tp>
      <tp t="e">
        <v>#N/A</v>
        <stp/>
        <stp>##V3_BDHV12</stp>
        <stp>BCN3Y BGN Curncy</stp>
        <stp>PX_LAST</stp>
        <stp>4/15/2019</stp>
        <stp>4/15/2019</stp>
        <stp>[Basic Pricing.xlsm]FXFR!R14C4</stp>
        <tr r="D14" s="46"/>
      </tp>
      <tp t="e">
        <v>#N/A</v>
        <stp/>
        <stp>##V3_BDHV12</stp>
        <stp>CLSWIB17 CMPN Index</stp>
        <stp>Close</stp>
        <stp>04/15/2019 15:00:00</stp>
        <stp>04/15/2019 15:01:00</stp>
        <stp>[Basic Pricing.xlsm]Rate_History!R196C18</stp>
        <stp>BarType</stp>
        <stp>T</stp>
        <stp>Dir=V</stp>
        <tr r="R196" s="49"/>
      </tp>
      <tp t="e">
        <v>#N/A</v>
        <stp/>
        <stp>##V3_BDPV12</stp>
        <stp>EDZ9 Comdty</stp>
        <stp>PX_LAST</stp>
        <stp>[Basic Pricing.xlsm]FX_Curve_Live!R8C4</stp>
        <tr r="D8" s="42"/>
      </tp>
      <tp t="e">
        <v>#N/A</v>
        <stp/>
        <stp>##V3_BDPV12</stp>
        <stp>CLSWIB15 Index</stp>
        <stp>PX_LAST</stp>
        <stp>[Basic Pricing.xlsm]FX_Curve_Live!R194C6</stp>
        <tr r="F194" s="42"/>
      </tp>
      <tp t="e">
        <v>#N/A</v>
        <stp/>
        <stp>##V3_BDHV12</stp>
        <stp>EU0Z2505 ICPL Curncy</stp>
        <stp>PX_LAST</stp>
        <stp>4/15/2019</stp>
        <stp>4/15/2019</stp>
        <stp>[Basic Pricing.xlsm]Vol_Surface!R28C3</stp>
        <tr r="C28" s="53"/>
      </tp>
      <tp t="e">
        <v>#N/A</v>
        <stp/>
        <stp>##V3_BDHV12</stp>
        <stp>EU0Z1305 ICPL Curncy</stp>
        <stp>PX_LAST</stp>
        <stp>4/15/2019</stp>
        <stp>4/15/2019</stp>
        <stp>[Basic Pricing.xlsm]Vol_Surface!R28C4</stp>
        <tr r="D28" s="53"/>
      </tp>
      <tp t="e">
        <v>#N/A</v>
        <stp/>
        <stp>##V3_BDHV12</stp>
        <stp>EU0Z0505 ICPL Curncy</stp>
        <stp>PX_LAST</stp>
        <stp>4/15/2019</stp>
        <stp>4/15/2019</stp>
        <stp>[Basic Pricing.xlsm]Vol_Surface!R28C2</stp>
        <tr r="B28" s="53"/>
      </tp>
      <tp t="e">
        <v>#N/A</v>
        <stp/>
        <stp>##V3_BDPV12</stp>
        <stp>EDM0 Comdty</stp>
        <stp>PX_LAST</stp>
        <stp>[Basic Pricing.xlsm]FX_Curve_Live!R10C4</stp>
        <tr r="D10" s="42"/>
      </tp>
      <tp t="e">
        <v>#N/A</v>
        <stp/>
        <stp>##V3_BDHV12</stp>
        <stp>USOND15 ICPL curncy</stp>
        <stp>PX_LAST</stp>
        <stp>4/15/2019</stp>
        <stp>4/15/2019</stp>
        <stp>[Basic Pricing.xlsm]Vol_Surface!R12C8</stp>
        <tr r="H12" s="53"/>
      </tp>
      <tp t="e">
        <v>#N/A</v>
        <stp/>
        <stp>##V3_BDHV12</stp>
        <stp>USONE15 ICPL curncy</stp>
        <stp>PX_LAST</stp>
        <stp>4/15/2019</stp>
        <stp>4/15/2019</stp>
        <stp>[Basic Pricing.xlsm]Vol_Surface!R12C9</stp>
        <tr r="I12" s="53"/>
      </tp>
      <tp t="e">
        <v>#N/A</v>
        <stp/>
        <stp>##V3_BDHV12</stp>
        <stp>USONA15 ICPL curncy</stp>
        <stp>PX_LAST</stp>
        <stp>4/15/2019</stp>
        <stp>4/15/2019</stp>
        <stp>[Basic Pricing.xlsm]Vol_Surface!R12C5</stp>
        <tr r="E12" s="53"/>
      </tp>
      <tp t="e">
        <v>#N/A</v>
        <stp/>
        <stp>##V3_BDHV12</stp>
        <stp>USONB15 ICPL curncy</stp>
        <stp>PX_LAST</stp>
        <stp>4/15/2019</stp>
        <stp>4/15/2019</stp>
        <stp>[Basic Pricing.xlsm]Vol_Surface!R12C6</stp>
        <tr r="F12" s="53"/>
      </tp>
      <tp t="e">
        <v>#N/A</v>
        <stp/>
        <stp>##V3_BDHV12</stp>
        <stp>USONC15 ICPL curncy</stp>
        <stp>PX_LAST</stp>
        <stp>4/15/2019</stp>
        <stp>4/15/2019</stp>
        <stp>[Basic Pricing.xlsm]Vol_Surface!R12C7</stp>
        <tr r="G12" s="53"/>
      </tp>
      <tp t="e">
        <v>#N/A</v>
        <stp/>
        <stp>##V3_BDHV12</stp>
        <stp>USONX15 ICPL curncy</stp>
        <stp>PX_LAST</stp>
        <stp>4/15/2019</stp>
        <stp>4/15/2019</stp>
        <stp>[Basic Pricing.xlsm]Vol_Surface!R12C2</stp>
        <tr r="B12" s="53"/>
      </tp>
      <tp t="e">
        <v>#N/A</v>
        <stp/>
        <stp>##V3_BDHV12</stp>
        <stp>USONY15 ICPL curncy</stp>
        <stp>PX_LAST</stp>
        <stp>4/15/2019</stp>
        <stp>4/15/2019</stp>
        <stp>[Basic Pricing.xlsm]Vol_Surface!R12C3</stp>
        <tr r="C12" s="53"/>
      </tp>
      <tp t="e">
        <v>#N/A</v>
        <stp/>
        <stp>##V3_BDHV12</stp>
        <stp>USONZ15 ICPL curncy</stp>
        <stp>PX_LAST</stp>
        <stp>4/15/2019</stp>
        <stp>4/15/2019</stp>
        <stp>[Basic Pricing.xlsm]Vol_Surface!R12C4</stp>
        <tr r="D12" s="53"/>
      </tp>
      <tp t="e">
        <v>#N/A</v>
        <stp/>
        <stp>##V3_BDHV12</stp>
        <stp>EUNE202 ICPL Curncy</stp>
        <stp>PX_LAST</stp>
        <stp>4/15/2019</stp>
        <stp>4/15/2019</stp>
        <stp>[Basic Pricing.xlsm]Vol_Surface!R74C3</stp>
        <tr r="C74" s="53"/>
      </tp>
      <tp t="e">
        <v>#N/A</v>
        <stp/>
        <stp>##V3_BDHV12</stp>
        <stp>EUNE105 ICPL Curncy</stp>
        <stp>PX_LAST</stp>
        <stp>4/15/2019</stp>
        <stp>4/15/2019</stp>
        <stp>[Basic Pricing.xlsm]Vol_Surface!R73C6</stp>
        <tr r="F73" s="53"/>
      </tp>
      <tp t="e">
        <v>#N/A</v>
        <stp/>
        <stp>##V3_BDHV12</stp>
        <stp>GBP7Y BGN Curncy</stp>
        <stp>PX_LAST</stp>
        <stp>4/15/2019</stp>
        <stp>4/15/2019</stp>
        <stp>[Basic Pricing.xlsm]FXFR!R62C4</stp>
        <tr r="D62" s="46"/>
      </tp>
      <tp t="e">
        <v>#N/A</v>
        <stp/>
        <stp>##V3_BDHV12</stp>
        <stp>BCN6Y BGN Curncy</stp>
        <stp>PX_LAST</stp>
        <stp>4/15/2019</stp>
        <stp>4/15/2019</stp>
        <stp>[Basic Pricing.xlsm]FXFR!R17C4</stp>
        <tr r="D17" s="46"/>
      </tp>
      <tp t="e">
        <v>#N/A</v>
        <stp/>
        <stp>##V3_BDHV12</stp>
        <stp>EUR7Y BGN Curncy</stp>
        <stp>PX_LAST</stp>
        <stp>4/15/2019</stp>
        <stp>4/15/2019</stp>
        <stp>[Basic Pricing.xlsm]FXFR!R40C4</stp>
        <tr r="D40" s="46"/>
      </tp>
      <tp t="e">
        <v>#N/A</v>
        <stp/>
        <stp>##V3_BDPV12</stp>
        <stp>CABROVER Index</stp>
        <stp>PX_LAST</stp>
        <stp>[Basic Pricing.xlsm]FX_Curve_Live!R131C2</stp>
        <tr r="B131" s="42"/>
      </tp>
      <tp t="e">
        <v>#N/A</v>
        <stp/>
        <stp>##V3_BDHV12</stp>
        <stp>CLSWIB14 CMPN Index</stp>
        <stp>Close</stp>
        <stp>04/15/2019 15:00:00</stp>
        <stp>04/15/2019 15:01:00</stp>
        <stp>[Basic Pricing.xlsm]Rate_History!R193C18</stp>
        <stp>BarType</stp>
        <stp>T</stp>
        <stp>Dir=V</stp>
        <tr r="R193" s="49"/>
      </tp>
      <tp t="e">
        <v>#N/A</v>
        <stp/>
        <stp>##V3_BDPV12</stp>
        <stp>CLSWIB1F Index</stp>
        <stp>PX_LAST</stp>
        <stp>[Basic Pricing.xlsm]FX_Curve_Live!R187C2</stp>
        <tr r="B187" s="42"/>
      </tp>
      <tp t="e">
        <v>#N/A</v>
        <stp/>
        <stp>##V3_BDPV12</stp>
        <stp>CLSWIB20 Index</stp>
        <stp>PX_LAST</stp>
        <stp>[Basic Pricing.xlsm]FX_Curve_Live!R197C6</stp>
        <tr r="F197" s="42"/>
      </tp>
      <tp t="e">
        <v>#N/A</v>
        <stp/>
        <stp>##V3_BDHV12</stp>
        <stp>EUSA9 Index</stp>
        <stp>PX_LAST</stp>
        <stp>4/15/2019</stp>
        <stp>4/15/2019</stp>
        <stp>[Basic Pricing.xlsm]FX_Curve_History!R38C6</stp>
        <tr r="F38" s="50"/>
      </tp>
      <tp t="e">
        <v>#N/A</v>
        <stp/>
        <stp>##V3_BDHV12</stp>
        <stp>JPY10Y BGN Curncy</stp>
        <stp>PX_LAST</stp>
        <stp>4/15/2019</stp>
        <stp>4/15/2019</stp>
        <stp>[Basic Pricing.xlsm]FXFR!R87C4</stp>
        <tr r="D87" s="46"/>
      </tp>
      <tp t="e">
        <v>#N/A</v>
        <stp/>
        <stp>##V3_BDPV12</stp>
        <stp>ERZ9 Comdty</stp>
        <stp>PX_LAST</stp>
        <stp>[Basic Pricing.xlsm]FX_Curve_Live!R33C4</stp>
        <tr r="D33" s="42"/>
      </tp>
      <tp t="e">
        <v>#N/A</v>
        <stp/>
        <stp>##V3_BDHV12</stp>
        <stp>EU0Z2507 ICPL Curncy</stp>
        <stp>PX_LAST</stp>
        <stp>4/15/2019</stp>
        <stp>4/15/2019</stp>
        <stp>[Basic Pricing.xlsm]Vol_Surface!R29C3</stp>
        <tr r="C29" s="53"/>
      </tp>
      <tp t="e">
        <v>#N/A</v>
        <stp/>
        <stp>##V3_BDHV12</stp>
        <stp>EU0Z1307 ICPL Curncy</stp>
        <stp>PX_LAST</stp>
        <stp>4/15/2019</stp>
        <stp>4/15/2019</stp>
        <stp>[Basic Pricing.xlsm]Vol_Surface!R29C4</stp>
        <tr r="D29" s="53"/>
      </tp>
      <tp t="e">
        <v>#N/A</v>
        <stp/>
        <stp>##V3_BDHV12</stp>
        <stp>EU0Z0507 ICPL Curncy</stp>
        <stp>PX_LAST</stp>
        <stp>4/15/2019</stp>
        <stp>4/15/2019</stp>
        <stp>[Basic Pricing.xlsm]Vol_Surface!R29C2</stp>
        <tr r="B29" s="53"/>
      </tp>
      <tp t="e">
        <v>#N/A</v>
        <stp/>
        <stp>##V3_BDPV12</stp>
        <stp>EDH1 Comdty</stp>
        <stp>PX_LAST</stp>
        <stp>[Basic Pricing.xlsm]FX_Curve_Live!R13C4</stp>
        <tr r="D13" s="42"/>
      </tp>
      <tp t="e">
        <v>#N/A</v>
        <stp/>
        <stp>##V3_BDHV12</stp>
        <stp>CDSW4 Index</stp>
        <stp>PX_LAST</stp>
        <stp>4/15/2019</stp>
        <stp>4/15/2019</stp>
        <stp>[Basic Pricing.xlsm]FX_Curve_History!R133C6</stp>
        <tr r="F133" s="50"/>
      </tp>
      <tp t="e">
        <v>#N/A</v>
        <stp/>
        <stp>##V3_BDHV12</stp>
        <stp>EUNE203 ICPL Curncy</stp>
        <stp>PX_LAST</stp>
        <stp>4/15/2019</stp>
        <stp>4/15/2019</stp>
        <stp>[Basic Pricing.xlsm]Vol_Surface!R74C4</stp>
        <tr r="D74" s="53"/>
      </tp>
      <tp t="e">
        <v>#N/A</v>
        <stp/>
        <stp>##V3_BDHV12</stp>
        <stp>EUNE104 ICPL Curncy</stp>
        <stp>PX_LAST</stp>
        <stp>4/15/2019</stp>
        <stp>4/15/2019</stp>
        <stp>[Basic Pricing.xlsm]Vol_Surface!R73C5</stp>
        <tr r="E73" s="53"/>
      </tp>
      <tp t="e">
        <v>#N/A</v>
        <stp/>
        <stp>##V3_BDHV12</stp>
        <stp>EUNZO15 ICPL Curncy</stp>
        <stp>PX_LAST</stp>
        <stp>4/15/2019</stp>
        <stp>4/15/2019</stp>
        <stp>[Basic Pricing.xlsm]Vol_Surface!R32C5</stp>
        <tr r="E32" s="53"/>
      </tp>
      <tp t="e">
        <v>#N/A</v>
        <stp/>
        <stp>##V3_BDHV12</stp>
        <stp>EUNZA15 ICPL Curncy</stp>
        <stp>PX_LAST</stp>
        <stp>4/15/2019</stp>
        <stp>4/15/2019</stp>
        <stp>[Basic Pricing.xlsm]Vol_Surface!R32C6</stp>
        <tr r="F32" s="53"/>
      </tp>
      <tp t="e">
        <v>#N/A</v>
        <stp/>
        <stp>##V3_BDHV12</stp>
        <stp>EUNZ152 ICPL Curncy</stp>
        <stp>PX_LAST</stp>
        <stp>4/15/2019</stp>
        <stp>4/15/2019</stp>
        <stp>[Basic Pricing.xlsm]Vol_Surface!R25C9</stp>
        <tr r="I25" s="53"/>
      </tp>
      <tp t="e">
        <v>#N/A</v>
        <stp/>
        <stp>##V3_BDHV12</stp>
        <stp>EUNZ102 ICPL Curncy</stp>
        <stp>PX_LAST</stp>
        <stp>4/15/2019</stp>
        <stp>4/15/2019</stp>
        <stp>[Basic Pricing.xlsm]Vol_Surface!R25C8</stp>
        <tr r="H25" s="53"/>
      </tp>
      <tp t="e">
        <v>#N/A</v>
        <stp/>
        <stp>##V3_BDHV12</stp>
        <stp>EUNZ052 ICPL Curncy</stp>
        <stp>PX_LAST</stp>
        <stp>4/15/2019</stp>
        <stp>4/15/2019</stp>
        <stp>[Basic Pricing.xlsm]Vol_Surface!R25C7</stp>
        <tr r="G25" s="53"/>
      </tp>
      <tp t="e">
        <v>#N/A</v>
        <stp/>
        <stp>##V3_BDHV12</stp>
        <stp>GBP8Y BGN Curncy</stp>
        <stp>PX_LAST</stp>
        <stp>4/15/2019</stp>
        <stp>4/15/2019</stp>
        <stp>[Basic Pricing.xlsm]FXFR!R63C4</stp>
        <tr r="D63" s="46"/>
      </tp>
      <tp t="e">
        <v>#N/A</v>
        <stp/>
        <stp>##V3_BDHV12</stp>
        <stp>BCN5Y BGN Curncy</stp>
        <stp>PX_LAST</stp>
        <stp>4/15/2019</stp>
        <stp>4/15/2019</stp>
        <stp>[Basic Pricing.xlsm]FXFR!R16C4</stp>
        <tr r="D16" s="46"/>
      </tp>
      <tp t="e">
        <v>#N/A</v>
        <stp/>
        <stp>##V3_BDHV12</stp>
        <stp>EUR8Y BGN Curncy</stp>
        <stp>PX_LAST</stp>
        <stp>4/15/2019</stp>
        <stp>4/15/2019</stp>
        <stp>[Basic Pricing.xlsm]FXFR!R41C4</stp>
        <tr r="D41" s="46"/>
      </tp>
      <tp t="e">
        <v>#N/A</v>
        <stp/>
        <stp>##V3_BDHV12</stp>
        <stp>JPY1W BGN Curncy</stp>
        <stp>PX_LAST</stp>
        <stp>4/15/2019</stp>
        <stp>4/15/2019</stp>
        <stp>[Basic Pricing.xlsm]FXFR!R70C4</stp>
        <tr r="D70" s="46"/>
      </tp>
      <tp t="e">
        <v>#N/A</v>
        <stp/>
        <stp>##V3_BDPV12</stp>
        <stp>CLSWIB9 Index</stp>
        <stp>PX_LAST</stp>
        <stp>[Basic Pricing.xlsm]FX_Curve_Live!R188C6</stp>
        <tr r="F188" s="42"/>
      </tp>
      <tp t="e">
        <v>#N/A</v>
        <stp/>
        <stp>##V3_BDHV12</stp>
        <stp>CLSWIB15 CMPN Index</stp>
        <stp>Close</stp>
        <stp>04/15/2019 15:00:00</stp>
        <stp>04/15/2019 15:01:00</stp>
        <stp>[Basic Pricing.xlsm]Rate_History!R194C18</stp>
        <stp>BarType</stp>
        <stp>T</stp>
        <stp>Dir=V</stp>
        <tr r="R194" s="49"/>
      </tp>
      <tp t="e">
        <v>#N/A</v>
        <stp/>
        <stp>##V3_BDHV12</stp>
        <stp>EUR10Y BGN Curncy</stp>
        <stp>PX_LAST</stp>
        <stp>4/15/2019</stp>
        <stp>4/15/2019</stp>
        <stp>[Basic Pricing.xlsm]FXFR!R43C4</stp>
        <tr r="D43" s="46"/>
      </tp>
      <tp t="e">
        <v>#N/A</v>
        <stp/>
        <stp>##V3_BDPV12</stp>
        <stp>ERU9 Comdty</stp>
        <stp>PX_LAST</stp>
        <stp>[Basic Pricing.xlsm]FX_Curve_Live!R32C4</stp>
        <tr r="D32" s="42"/>
      </tp>
      <tp t="e">
        <v>#N/A</v>
        <stp/>
        <stp>##V3_BDPV12</stp>
        <stp>EDZ0 Comdty</stp>
        <stp>PX_LAST</stp>
        <stp>[Basic Pricing.xlsm]FX_Curve_Live!R12C4</stp>
        <tr r="D12" s="42"/>
      </tp>
      <tp t="e">
        <v>#N/A</v>
        <stp/>
        <stp>##V3_BDPV12</stp>
        <stp>L H0 Comdty</stp>
        <stp>PX_LAST</stp>
        <stp>[Basic Pricing.xlsm]FX_Curve_Live!R84C4</stp>
        <tr r="D84" s="42"/>
      </tp>
      <tp t="e">
        <v>#N/A</v>
        <stp/>
        <stp>##V3_BDHV12</stp>
        <stp>BCN8Y BGN Curncy</stp>
        <stp>PX_LAST</stp>
        <stp>4/15/2019</stp>
        <stp>4/15/2019</stp>
        <stp>[Basic Pricing.xlsm]FXFR!R19C4</stp>
        <tr r="D19" s="46"/>
      </tp>
      <tp t="e">
        <v>#N/A</v>
        <stp/>
        <stp>##V3_BDHV12</stp>
        <stp>JPY4Y BGN Curncy</stp>
        <stp>PX_LAST</stp>
        <stp>4/15/2019</stp>
        <stp>4/15/2019</stp>
        <stp>[Basic Pricing.xlsm]FXFR!R81C4</stp>
        <tr r="D81" s="46"/>
      </tp>
      <tp t="e">
        <v>#N/A</v>
        <stp/>
        <stp>##V3_BDPV12</stp>
        <stp>CDOR01 Index</stp>
        <stp>PX_LAST</stp>
        <stp>[Basic Pricing.xlsm]FX_Curve_Live!R132C2</stp>
        <tr r="B132" s="42"/>
      </tp>
      <tp t="e">
        <v>#N/A</v>
        <stp/>
        <stp>##V3_BDPV12</stp>
        <stp>CLSWIB8 Index</stp>
        <stp>PX_LAST</stp>
        <stp>[Basic Pricing.xlsm]FX_Curve_Live!R187C6</stp>
        <tr r="F187" s="42"/>
      </tp>
      <tp t="e">
        <v>#N/A</v>
        <stp/>
        <stp>##V3_BDHV12</stp>
        <stp>EUSA7 Index</stp>
        <stp>PX_LAST</stp>
        <stp>4/15/2019</stp>
        <stp>4/15/2019</stp>
        <stp>[Basic Pricing.xlsm]FX_Curve_History!R36C6</stp>
        <tr r="F36" s="50"/>
      </tp>
      <tp t="e">
        <v>#N/A</v>
        <stp/>
        <stp>##V3_BDPV12</stp>
        <stp>CLSWIB10 Index</stp>
        <stp>PX_LAST</stp>
        <stp>[Basic Pricing.xlsm]FX_Curve_Live!R189C6</stp>
        <tr r="F189" s="42"/>
      </tp>
      <tp t="e">
        <v>#N/A</v>
        <stp/>
        <stp>##V3_BDHV12</stp>
        <stp>EU0Z2510 ICPL Curncy</stp>
        <stp>PX_LAST</stp>
        <stp>4/15/2019</stp>
        <stp>4/15/2019</stp>
        <stp>[Basic Pricing.xlsm]Vol_Surface!R30C3</stp>
        <tr r="C30" s="53"/>
      </tp>
      <tp t="e">
        <v>#N/A</v>
        <stp/>
        <stp>##V3_BDHV12</stp>
        <stp>EUNZ1010 ICPL Curncy</stp>
        <stp>PX_LAST</stp>
        <stp>4/15/2019</stp>
        <stp>4/15/2019</stp>
        <stp>[Basic Pricing.xlsm]Vol_Surface!R30C8</stp>
        <tr r="H30" s="53"/>
      </tp>
      <tp t="e">
        <v>#N/A</v>
        <stp/>
        <stp>##V3_BDHV12</stp>
        <stp>EUNZ1510 ICPL Curncy</stp>
        <stp>PX_LAST</stp>
        <stp>4/15/2019</stp>
        <stp>4/15/2019</stp>
        <stp>[Basic Pricing.xlsm]Vol_Surface!R30C9</stp>
        <tr r="I30" s="53"/>
      </tp>
      <tp t="e">
        <v>#N/A</v>
        <stp/>
        <stp>##V3_BDHV12</stp>
        <stp>EU0Z1310 ICPL Curncy</stp>
        <stp>PX_LAST</stp>
        <stp>4/15/2019</stp>
        <stp>4/15/2019</stp>
        <stp>[Basic Pricing.xlsm]Vol_Surface!R30C4</stp>
        <tr r="D30" s="53"/>
      </tp>
      <tp t="e">
        <v>#N/A</v>
        <stp/>
        <stp>##V3_BDHV12</stp>
        <stp>HASWDI10Y CMPN Curncy</stp>
        <stp>Close</stp>
        <stp>04/15/2019 11:15:00</stp>
        <stp>04/15/2019 11:16:00</stp>
        <stp>[Basic Pricing.xlsm]Rate_History!R171C18</stp>
        <stp>BarType</stp>
        <stp>T</stp>
        <stp>Dir=V</stp>
        <tr r="R171" s="49"/>
      </tp>
      <tp t="e">
        <v>#N/A</v>
        <stp/>
        <stp>##V3_BDHV12</stp>
        <stp>HASWDI10Y CMPN Curncy</stp>
        <stp>Close</stp>
        <stp>04/15/2019 11:15:00</stp>
        <stp>04/15/2019 11:16:00</stp>
        <stp>[Basic Pricing.xlsm]Rate_History!R170C18</stp>
        <stp>BarType</stp>
        <stp>T</stp>
        <stp>Dir=V</stp>
        <tr r="R170" s="49"/>
      </tp>
      <tp t="e">
        <v>#N/A</v>
        <stp/>
        <stp>##V3_BDHV12</stp>
        <stp>HASWDI10Y CMPN Curncy</stp>
        <stp>Close</stp>
        <stp>04/15/2019 11:15:00</stp>
        <stp>04/15/2019 11:16:00</stp>
        <stp>[Basic Pricing.xlsm]Rate_History!R172C18</stp>
        <stp>BarType</stp>
        <stp>T</stp>
        <stp>Dir=V</stp>
        <tr r="R172" s="49"/>
      </tp>
      <tp t="e">
        <v>#N/A</v>
        <stp/>
        <stp>##V3_BDHV12</stp>
        <stp>HASWDI10Y CMPN Curncy</stp>
        <stp>Close</stp>
        <stp>04/15/2019 11:15:00</stp>
        <stp>04/15/2019 11:16:00</stp>
        <stp>[Basic Pricing.xlsm]Rate_History!R169C18</stp>
        <stp>BarType</stp>
        <stp>T</stp>
        <stp>Dir=V</stp>
        <tr r="R169" s="49"/>
      </tp>
      <tp t="e">
        <v>#N/A</v>
        <stp/>
        <stp>##V3_BDHV12</stp>
        <stp>HASWDI10Y CMPN Curncy</stp>
        <stp>Close</stp>
        <stp>04/15/2019 11:15:00</stp>
        <stp>04/15/2019 11:16:00</stp>
        <stp>[Basic Pricing.xlsm]Rate_History!R168C18</stp>
        <stp>BarType</stp>
        <stp>T</stp>
        <stp>Dir=V</stp>
        <tr r="R168" s="49"/>
      </tp>
      <tp t="e">
        <v>#N/A</v>
        <stp/>
        <stp>##V3_BDHV12</stp>
        <stp>HASWDI10Y CMPN Curncy</stp>
        <stp>Close</stp>
        <stp>04/15/2019 11:15:00</stp>
        <stp>04/15/2019 11:16:00</stp>
        <stp>[Basic Pricing.xlsm]Rate_History!R165C18</stp>
        <stp>BarType</stp>
        <stp>T</stp>
        <stp>Dir=V</stp>
        <tr r="R165" s="49"/>
      </tp>
      <tp t="e">
        <v>#N/A</v>
        <stp/>
        <stp>##V3_BDHV12</stp>
        <stp>HASWDI10Y CMPN Curncy</stp>
        <stp>Close</stp>
        <stp>04/15/2019 11:15:00</stp>
        <stp>04/15/2019 11:16:00</stp>
        <stp>[Basic Pricing.xlsm]Rate_History!R167C18</stp>
        <stp>BarType</stp>
        <stp>T</stp>
        <stp>Dir=V</stp>
        <tr r="R167" s="49"/>
      </tp>
      <tp t="e">
        <v>#N/A</v>
        <stp/>
        <stp>##V3_BDHV12</stp>
        <stp>HASWDI10Y CMPN Curncy</stp>
        <stp>Close</stp>
        <stp>04/15/2019 11:15:00</stp>
        <stp>04/15/2019 11:16:00</stp>
        <stp>[Basic Pricing.xlsm]Rate_History!R166C18</stp>
        <stp>BarType</stp>
        <stp>T</stp>
        <stp>Dir=V</stp>
        <tr r="R166" s="49"/>
      </tp>
      <tp t="e">
        <v>#N/A</v>
        <stp/>
        <stp>##V3_BDHV12</stp>
        <stp>EUNZ0510 ICPL Curncy</stp>
        <stp>PX_LAST</stp>
        <stp>4/15/2019</stp>
        <stp>4/15/2019</stp>
        <stp>[Basic Pricing.xlsm]Vol_Surface!R30C7</stp>
        <tr r="G30" s="53"/>
      </tp>
      <tp t="e">
        <v>#N/A</v>
        <stp/>
        <stp>##V3_BDHV12</stp>
        <stp>EU0Z0510 ICPL Curncy</stp>
        <stp>PX_LAST</stp>
        <stp>4/15/2019</stp>
        <stp>4/15/2019</stp>
        <stp>[Basic Pricing.xlsm]Vol_Surface!R30C2</stp>
        <tr r="B30" s="53"/>
      </tp>
      <tp t="e">
        <v>#N/A</v>
        <stp/>
        <stp>##V3_BDPV12</stp>
        <stp>L M0 Comdty</stp>
        <stp>PX_LAST</stp>
        <stp>[Basic Pricing.xlsm]FX_Curve_Live!R85C4</stp>
        <tr r="D85" s="42"/>
      </tp>
      <tp t="e">
        <v>#N/A</v>
        <stp/>
        <stp>##V3_BDHV12</stp>
        <stp>BCN7Y BGN Curncy</stp>
        <stp>PX_LAST</stp>
        <stp>4/15/2019</stp>
        <stp>4/15/2019</stp>
        <stp>[Basic Pricing.xlsm]FXFR!R18C4</stp>
        <tr r="D18" s="46"/>
      </tp>
      <tp t="e">
        <v>#N/A</v>
        <stp/>
        <stp>##V3_BDHV12</stp>
        <stp>JPY3Y BGN Curncy</stp>
        <stp>PX_LAST</stp>
        <stp>4/15/2019</stp>
        <stp>4/15/2019</stp>
        <stp>[Basic Pricing.xlsm]FXFR!R80C4</stp>
        <tr r="D80" s="46"/>
      </tp>
      <tp t="e">
        <v>#N/A</v>
        <stp/>
        <stp>##V3_BDPV12</stp>
        <stp>CDOR02 Index</stp>
        <stp>PX_LAST</stp>
        <stp>[Basic Pricing.xlsm]FX_Curve_Live!R133C2</stp>
        <tr r="B133" s="42"/>
      </tp>
      <tp t="e">
        <v>#N/A</v>
        <stp/>
        <stp>##V3_BDPV12</stp>
        <stp>CLSWIB1 Index</stp>
        <stp>PX_LAST</stp>
        <stp>[Basic Pricing.xlsm]FX_Curve_Live!R186C2</stp>
        <tr r="B186" s="42"/>
      </tp>
      <tp t="e">
        <v>#N/A</v>
        <stp/>
        <stp>##V3_BDPV12</stp>
        <stp>CLSWIB7 Index</stp>
        <stp>PX_LAST</stp>
        <stp>[Basic Pricing.xlsm]FX_Curve_Live!R186C6</stp>
        <tr r="F186" s="42"/>
      </tp>
      <tp t="e">
        <v>#N/A</v>
        <stp/>
        <stp>##V3_BDHV12</stp>
        <stp>EUSA8 Index</stp>
        <stp>PX_LAST</stp>
        <stp>4/15/2019</stp>
        <stp>4/15/2019</stp>
        <stp>[Basic Pricing.xlsm]FX_Curve_History!R37C6</stp>
        <tr r="F37" s="50"/>
      </tp>
      <tp t="e">
        <v>#N/A</v>
        <stp/>
        <stp>##V3_BDPV12</stp>
        <stp>L U0 Comdty</stp>
        <stp>PX_LAST</stp>
        <stp>[Basic Pricing.xlsm]FX_Curve_Live!R86C4</stp>
        <tr r="D86" s="42"/>
      </tp>
      <tp t="e">
        <v>#N/A</v>
        <stp/>
        <stp>##V3_BDPV12</stp>
        <stp>US00o/n Index</stp>
        <stp>PX_LAST</stp>
        <stp>[Basic Pricing.xlsm]FX_Curve_Live!R6C2</stp>
        <tr r="B6" s="42"/>
      </tp>
      <tp t="e">
        <v>#N/A</v>
        <stp/>
        <stp>##V3_BDHV12</stp>
        <stp>JPY6Y BGN Curncy</stp>
        <stp>PX_LAST</stp>
        <stp>4/15/2019</stp>
        <stp>4/15/2019</stp>
        <stp>[Basic Pricing.xlsm]FXFR!R83C4</stp>
        <tr r="D83" s="46"/>
      </tp>
      <tp t="e">
        <v>#N/A</v>
        <stp/>
        <stp>##V3_BDPV12</stp>
        <stp>CLSWIBI Index</stp>
        <stp>PX_LAST</stp>
        <stp>[Basic Pricing.xlsm]FX_Curve_Live!R185C2</stp>
        <tr r="B185" s="42"/>
      </tp>
      <tp t="e">
        <v>#N/A</v>
        <stp/>
        <stp>##V3_BDPV12</stp>
        <stp>CLSWIB6 Index</stp>
        <stp>PX_LAST</stp>
        <stp>[Basic Pricing.xlsm]FX_Curve_Live!R185C6</stp>
        <tr r="F185" s="42"/>
      </tp>
      <tp t="e">
        <v>#N/A</v>
        <stp/>
        <stp>##V3_BDHV12</stp>
        <stp>EUSA5 Index</stp>
        <stp>PX_LAST</stp>
        <stp>4/15/2019</stp>
        <stp>4/15/2019</stp>
        <stp>[Basic Pricing.xlsm]FX_Curve_History!R34C6</stp>
        <tr r="F34" s="50"/>
      </tp>
      <tp t="e">
        <v>#N/A</v>
        <stp/>
        <stp>##V3_BDPV12</stp>
        <stp>EDU9 Comdty</stp>
        <stp>PX_LAST</stp>
        <stp>[Basic Pricing.xlsm]FX_Curve_Live!R7C4</stp>
        <tr r="D7" s="42"/>
      </tp>
      <tp t="e">
        <v>#N/A</v>
        <stp/>
        <stp>##V3_BDHV12</stp>
        <stp>EUNE108 ICPL Curncy</stp>
        <stp>PX_LAST</stp>
        <stp>4/15/2019</stp>
        <stp>4/15/2019</stp>
        <stp>[Basic Pricing.xlsm]Vol_Surface!R73C9</stp>
        <tr r="I73" s="53"/>
      </tp>
      <tp t="e">
        <v>#N/A</v>
        <stp/>
        <stp>##V3_BDPV12</stp>
        <stp>L Z0 Comdty</stp>
        <stp>PX_LAST</stp>
        <stp>[Basic Pricing.xlsm]FX_Curve_Live!R87C4</stp>
        <tr r="D87" s="42"/>
      </tp>
      <tp t="e">
        <v>#N/A</v>
        <stp/>
        <stp>##V3_BDHV12</stp>
        <stp>JPY5Y BGN Curncy</stp>
        <stp>PX_LAST</stp>
        <stp>4/15/2019</stp>
        <stp>4/15/2019</stp>
        <stp>[Basic Pricing.xlsm]FXFR!R82C4</stp>
        <tr r="D82" s="46"/>
      </tp>
      <tp t="e">
        <v>#N/A</v>
        <stp/>
        <stp>##V3_BDPV12</stp>
        <stp>CLSWIBC Index</stp>
        <stp>PX_LAST</stp>
        <stp>[Basic Pricing.xlsm]FX_Curve_Live!R184C2</stp>
        <tr r="B184" s="42"/>
      </tp>
      <tp t="e">
        <v>#N/A</v>
        <stp/>
        <stp>##V3_BDPV12</stp>
        <stp>CLSWIB5 Index</stp>
        <stp>PX_LAST</stp>
        <stp>[Basic Pricing.xlsm]FX_Curve_Live!R184C6</stp>
        <tr r="F184" s="42"/>
      </tp>
      <tp t="e">
        <v>#N/A</v>
        <stp/>
        <stp>##V3_BDHV12</stp>
        <stp>EUSA6 Index</stp>
        <stp>PX_LAST</stp>
        <stp>4/15/2019</stp>
        <stp>4/15/2019</stp>
        <stp>[Basic Pricing.xlsm]FX_Curve_History!R35C6</stp>
        <tr r="F35" s="50"/>
      </tp>
      <tp t="e">
        <v>#N/A</v>
        <stp/>
        <stp>##V3_BDPV12</stp>
        <stp>EDM9 Comdty</stp>
        <stp>PX_LAST</stp>
        <stp>[Basic Pricing.xlsm]FX_Curve_Live!R6C4</stp>
        <tr r="D6" s="42"/>
      </tp>
      <tp t="e">
        <v>#N/A</v>
        <stp/>
        <stp>##V3_BDHV12</stp>
        <stp>EU0Z2520 ICPL Curncy</stp>
        <stp>PX_LAST</stp>
        <stp>4/15/2019</stp>
        <stp>4/15/2019</stp>
        <stp>[Basic Pricing.xlsm]Vol_Surface!R33C3</stp>
        <tr r="C33" s="53"/>
      </tp>
      <tp t="e">
        <v>#N/A</v>
        <stp/>
        <stp>##V3_BDHV12</stp>
        <stp>EU0Z2504 ICPL Curncy</stp>
        <stp>PX_LAST</stp>
        <stp>4/15/2019</stp>
        <stp>4/15/2019</stp>
        <stp>[Basic Pricing.xlsm]Vol_Surface!R27C3</stp>
        <tr r="C27" s="53"/>
      </tp>
      <tp t="e">
        <v>#N/A</v>
        <stp/>
        <stp>##V3_BDHV12</stp>
        <stp>EU0Z2512 ICPL Curncy</stp>
        <stp>PX_LAST</stp>
        <stp>4/15/2019</stp>
        <stp>4/15/2019</stp>
        <stp>[Basic Pricing.xlsm]Vol_Surface!R31C3</stp>
        <tr r="C31" s="53"/>
      </tp>
      <tp t="e">
        <v>#N/A</v>
        <stp/>
        <stp>##V3_BDHV12</stp>
        <stp>EUNZ1012 ICPL Curncy</stp>
        <stp>PX_LAST</stp>
        <stp>4/15/2019</stp>
        <stp>4/15/2019</stp>
        <stp>[Basic Pricing.xlsm]Vol_Surface!R31C8</stp>
        <tr r="H31" s="53"/>
      </tp>
      <tp t="e">
        <v>#N/A</v>
        <stp/>
        <stp>##V3_BDHV12</stp>
        <stp>EUNZ1020 ICPL Curncy</stp>
        <stp>PX_LAST</stp>
        <stp>4/15/2019</stp>
        <stp>4/15/2019</stp>
        <stp>[Basic Pricing.xlsm]Vol_Surface!R33C8</stp>
        <tr r="H33" s="53"/>
      </tp>
      <tp t="e">
        <v>#N/A</v>
        <stp/>
        <stp>##V3_BDHV12</stp>
        <stp>EUNZ1512 ICPL Curncy</stp>
        <stp>PX_LAST</stp>
        <stp>4/15/2019</stp>
        <stp>4/15/2019</stp>
        <stp>[Basic Pricing.xlsm]Vol_Surface!R31C9</stp>
        <tr r="I31" s="53"/>
      </tp>
      <tp t="e">
        <v>#N/A</v>
        <stp/>
        <stp>##V3_BDHV12</stp>
        <stp>EUNZ1520 ICPL Curncy</stp>
        <stp>PX_LAST</stp>
        <stp>4/15/2019</stp>
        <stp>4/15/2019</stp>
        <stp>[Basic Pricing.xlsm]Vol_Surface!R33C9</stp>
        <tr r="I33" s="53"/>
      </tp>
      <tp t="e">
        <v>#N/A</v>
        <stp/>
        <stp>##V3_BDHV12</stp>
        <stp>EU0Z1320 ICPL Curncy</stp>
        <stp>PX_LAST</stp>
        <stp>4/15/2019</stp>
        <stp>4/15/2019</stp>
        <stp>[Basic Pricing.xlsm]Vol_Surface!R33C4</stp>
        <tr r="D33" s="53"/>
      </tp>
      <tp t="e">
        <v>#N/A</v>
        <stp/>
        <stp>##V3_BDHV12</stp>
        <stp>EU0Z1304 ICPL Curncy</stp>
        <stp>PX_LAST</stp>
        <stp>4/15/2019</stp>
        <stp>4/15/2019</stp>
        <stp>[Basic Pricing.xlsm]Vol_Surface!R27C4</stp>
        <tr r="D27" s="53"/>
      </tp>
      <tp t="e">
        <v>#N/A</v>
        <stp/>
        <stp>##V3_BDHV12</stp>
        <stp>EU0Z1312 ICPL Curncy</stp>
        <stp>PX_LAST</stp>
        <stp>4/15/2019</stp>
        <stp>4/15/2019</stp>
        <stp>[Basic Pricing.xlsm]Vol_Surface!R31C4</stp>
        <tr r="D31" s="53"/>
      </tp>
      <tp t="e">
        <v>#N/A</v>
        <stp/>
        <stp>##V3_BDHV12</stp>
        <stp>EUNZ0512 ICPL Curncy</stp>
        <stp>PX_LAST</stp>
        <stp>4/15/2019</stp>
        <stp>4/15/2019</stp>
        <stp>[Basic Pricing.xlsm]Vol_Surface!R31C7</stp>
        <tr r="G31" s="53"/>
      </tp>
      <tp t="e">
        <v>#N/A</v>
        <stp/>
        <stp>##V3_BDHV12</stp>
        <stp>EUNZ0520 ICPL Curncy</stp>
        <stp>PX_LAST</stp>
        <stp>4/15/2019</stp>
        <stp>4/15/2019</stp>
        <stp>[Basic Pricing.xlsm]Vol_Surface!R33C7</stp>
        <tr r="G33" s="53"/>
      </tp>
      <tp t="e">
        <v>#N/A</v>
        <stp/>
        <stp>##V3_BDHV12</stp>
        <stp>EU0Z0520 ICPL Curncy</stp>
        <stp>PX_LAST</stp>
        <stp>4/15/2019</stp>
        <stp>4/15/2019</stp>
        <stp>[Basic Pricing.xlsm]Vol_Surface!R33C2</stp>
        <tr r="B33" s="53"/>
      </tp>
      <tp t="e">
        <v>#N/A</v>
        <stp/>
        <stp>##V3_BDHV12</stp>
        <stp>EU0Z0504 ICPL Curncy</stp>
        <stp>PX_LAST</stp>
        <stp>4/15/2019</stp>
        <stp>4/15/2019</stp>
        <stp>[Basic Pricing.xlsm]Vol_Surface!R27C2</stp>
        <tr r="B27" s="53"/>
      </tp>
      <tp t="e">
        <v>#N/A</v>
        <stp/>
        <stp>##V3_BDHV12</stp>
        <stp>EU0Z0512 ICPL Curncy</stp>
        <stp>PX_LAST</stp>
        <stp>4/15/2019</stp>
        <stp>4/15/2019</stp>
        <stp>[Basic Pricing.xlsm]Vol_Surface!R31C2</stp>
        <tr r="B31" s="53"/>
      </tp>
      <tp t="e">
        <v>#N/A</v>
        <stp/>
        <stp>##V3_BDHV12</stp>
        <stp>EUNE208 ICPL Curncy</stp>
        <stp>PX_LAST</stp>
        <stp>4/15/2019</stp>
        <stp>4/15/2019</stp>
        <stp>[Basic Pricing.xlsm]Vol_Surface!R74C9</stp>
        <tr r="I74" s="53"/>
      </tp>
      <tp t="e">
        <v>#N/A</v>
        <stp/>
        <stp>##V3_BDHV12</stp>
        <stp>GBP3Y BGN Curncy</stp>
        <stp>PX_LAST</stp>
        <stp>4/15/2019</stp>
        <stp>4/15/2019</stp>
        <stp>[Basic Pricing.xlsm]FXFR!R58C4</stp>
        <tr r="D58" s="46"/>
      </tp>
      <tp t="e">
        <v>#N/A</v>
        <stp/>
        <stp>##V3_BDHV12</stp>
        <stp>CAD1W BGN Curncy</stp>
        <stp>PX_LAST</stp>
        <stp>4/15/2019</stp>
        <stp>4/15/2019</stp>
        <stp>[Basic Pricing.xlsm]FXFR!R92C4</stp>
        <tr r="D92" s="46"/>
      </tp>
      <tp t="e">
        <v>#N/A</v>
        <stp/>
        <stp>##V3_BDHV12</stp>
        <stp>JPY8Y BGN Curncy</stp>
        <stp>PX_LAST</stp>
        <stp>4/15/2019</stp>
        <stp>4/15/2019</stp>
        <stp>[Basic Pricing.xlsm]FXFR!R85C4</stp>
        <tr r="D85" s="46"/>
      </tp>
      <tp t="e">
        <v>#N/A</v>
        <stp/>
        <stp>##V3_BDPV12</stp>
        <stp>CDOR12 Index</stp>
        <stp>PX_LAST</stp>
        <stp>[Basic Pricing.xlsm]FX_Curve_Live!R136C2</stp>
        <tr r="B136" s="42"/>
      </tp>
      <tp t="e">
        <v>#N/A</v>
        <stp/>
        <stp>##V3_BDPV12</stp>
        <stp>CLSWIB4 Index</stp>
        <stp>PX_LAST</stp>
        <stp>[Basic Pricing.xlsm]FX_Curve_Live!R183C6</stp>
        <tr r="F183" s="42"/>
      </tp>
      <tp t="e">
        <v>#N/A</v>
        <stp/>
        <stp>##V3_BDHV12</stp>
        <stp>EUSA3 Index</stp>
        <stp>PX_LAST</stp>
        <stp>4/15/2019</stp>
        <stp>4/15/2019</stp>
        <stp>[Basic Pricing.xlsm]FX_Curve_History!R32C6</stp>
        <tr r="F32" s="50"/>
      </tp>
      <tp t="e">
        <v>#N/A</v>
        <stp/>
        <stp>##V3_BDPV12</stp>
        <stp>USDNZD Curncy</stp>
        <stp>PX_LAST</stp>
        <stp>[Basic Pricing.xlsm]FX_Live!R10C5</stp>
        <tr r="E10" s="44"/>
      </tp>
      <tp t="e">
        <v>#N/A</v>
        <stp/>
        <stp>##V3_BDHV12</stp>
        <stp>EUNZ155 ICPL Curncy</stp>
        <stp>PX_LAST</stp>
        <stp>4/15/2019</stp>
        <stp>4/15/2019</stp>
        <stp>[Basic Pricing.xlsm]Vol_Surface!R28C9</stp>
        <tr r="I28" s="53"/>
      </tp>
      <tp t="e">
        <v>#N/A</v>
        <stp/>
        <stp>##V3_BDHV12</stp>
        <stp>EUNZ105 ICPL Curncy</stp>
        <stp>PX_LAST</stp>
        <stp>4/15/2019</stp>
        <stp>4/15/2019</stp>
        <stp>[Basic Pricing.xlsm]Vol_Surface!R28C8</stp>
        <tr r="H28" s="53"/>
      </tp>
      <tp t="e">
        <v>#N/A</v>
        <stp/>
        <stp>##V3_BDHV12</stp>
        <stp>EUNZ055 ICPL Curncy</stp>
        <stp>PX_LAST</stp>
        <stp>4/15/2019</stp>
        <stp>4/15/2019</stp>
        <stp>[Basic Pricing.xlsm]Vol_Surface!R28C7</stp>
        <tr r="G28" s="53"/>
      </tp>
      <tp t="e">
        <v>#N/A</v>
        <stp/>
        <stp>##V3_BDPV12</stp>
        <stp>L M9 Comdty</stp>
        <stp>PX_LAST</stp>
        <stp>[Basic Pricing.xlsm]FX_Curve_Live!R81C4</stp>
        <tr r="D81" s="42"/>
      </tp>
      <tp t="e">
        <v>#N/A</v>
        <stp/>
        <stp>##V3_BDHV12</stp>
        <stp>GBP4Y BGN Curncy</stp>
        <stp>PX_LAST</stp>
        <stp>4/15/2019</stp>
        <stp>4/15/2019</stp>
        <stp>[Basic Pricing.xlsm]FXFR!R59C4</stp>
        <tr r="D59" s="46"/>
      </tp>
      <tp t="e">
        <v>#N/A</v>
        <stp/>
        <stp>##V3_BDHV12</stp>
        <stp>JPY7Y BGN Curncy</stp>
        <stp>PX_LAST</stp>
        <stp>4/15/2019</stp>
        <stp>4/15/2019</stp>
        <stp>[Basic Pricing.xlsm]FXFR!R84C4</stp>
        <tr r="D84" s="46"/>
      </tp>
      <tp t="e">
        <v>#N/A</v>
        <stp/>
        <stp>##V3_BDPV12</stp>
        <stp>CLSWIBA Index</stp>
        <stp>PX_LAST</stp>
        <stp>[Basic Pricing.xlsm]FX_Curve_Live!R182C2</stp>
        <tr r="B182" s="42"/>
      </tp>
      <tp t="e">
        <v>#N/A</v>
        <stp/>
        <stp>##V3_BDPV12</stp>
        <stp>CLSWIB3 Index</stp>
        <stp>PX_LAST</stp>
        <stp>[Basic Pricing.xlsm]FX_Curve_Live!R182C6</stp>
        <tr r="F182" s="42"/>
      </tp>
      <tp t="e">
        <v>#N/A</v>
        <stp/>
        <stp>##V3_BDHV12</stp>
        <stp>EUSA4 Index</stp>
        <stp>PX_LAST</stp>
        <stp>4/15/2019</stp>
        <stp>4/15/2019</stp>
        <stp>[Basic Pricing.xlsm]FX_Curve_History!R33C6</stp>
        <tr r="F33" s="50"/>
      </tp>
      <tp t="e">
        <v>#N/A</v>
        <stp/>
        <stp>##V3_BDPV12</stp>
        <stp>EDH0 Comdty</stp>
        <stp>PX_LAST</stp>
        <stp>[Basic Pricing.xlsm]FX_Curve_Live!R9C4</stp>
        <tr r="D9" s="42"/>
      </tp>
      <tp t="e">
        <v>#N/A</v>
        <stp/>
        <stp>##V3_BDPV12</stp>
        <stp>ERH1 Comdty</stp>
        <stp>PX_LAST</stp>
        <stp>[Basic Pricing.xlsm]FX_Curve_Live!R38C4</stp>
        <tr r="D38" s="42"/>
      </tp>
      <tp t="e">
        <v>#N/A</v>
        <stp/>
        <stp>##V3_BDHV12</stp>
        <stp>EU0Z2501 ICPL Curncy</stp>
        <stp>PX_LAST</stp>
        <stp>4/15/2019</stp>
        <stp>4/15/2019</stp>
        <stp>[Basic Pricing.xlsm]Vol_Surface!R24C3</stp>
        <tr r="C24" s="53"/>
      </tp>
      <tp t="e">
        <v>#N/A</v>
        <stp/>
        <stp>##V3_BDHV12</stp>
        <stp>EU0Z2503 ICPL Curncy</stp>
        <stp>PX_LAST</stp>
        <stp>4/15/2019</stp>
        <stp>4/15/2019</stp>
        <stp>[Basic Pricing.xlsm]Vol_Surface!R26C3</stp>
        <tr r="C26" s="53"/>
      </tp>
      <tp t="e">
        <v>#N/A</v>
        <stp/>
        <stp>##V3_BDHV12</stp>
        <stp>EU0Z1301 ICPL Curncy</stp>
        <stp>PX_LAST</stp>
        <stp>4/15/2019</stp>
        <stp>4/15/2019</stp>
        <stp>[Basic Pricing.xlsm]Vol_Surface!R24C4</stp>
        <tr r="D24" s="53"/>
      </tp>
      <tp t="e">
        <v>#N/A</v>
        <stp/>
        <stp>##V3_BDHV12</stp>
        <stp>EU0Z1303 ICPL Curncy</stp>
        <stp>PX_LAST</stp>
        <stp>4/15/2019</stp>
        <stp>4/15/2019</stp>
        <stp>[Basic Pricing.xlsm]Vol_Surface!R26C4</stp>
        <tr r="D26" s="53"/>
      </tp>
      <tp t="e">
        <v>#N/A</v>
        <stp/>
        <stp>##V3_BDHV12</stp>
        <stp>EU0Z0501 ICPL Curncy</stp>
        <stp>PX_LAST</stp>
        <stp>4/15/2019</stp>
        <stp>4/15/2019</stp>
        <stp>[Basic Pricing.xlsm]Vol_Surface!R24C2</stp>
        <tr r="B24" s="53"/>
      </tp>
      <tp t="e">
        <v>#N/A</v>
        <stp/>
        <stp>##V3_BDHV12</stp>
        <stp>EU0Z0503 ICPL Curncy</stp>
        <stp>PX_LAST</stp>
        <stp>4/15/2019</stp>
        <stp>4/15/2019</stp>
        <stp>[Basic Pricing.xlsm]Vol_Surface!R26C2</stp>
        <tr r="B26" s="53"/>
      </tp>
      <tp t="e">
        <v>#N/A</v>
        <stp/>
        <stp>##V3_BDHV12</stp>
        <stp>EUNZ157 ICPL Curncy</stp>
        <stp>PX_LAST</stp>
        <stp>4/15/2019</stp>
        <stp>4/15/2019</stp>
        <stp>[Basic Pricing.xlsm]Vol_Surface!R29C9</stp>
        <tr r="I29" s="53"/>
      </tp>
      <tp t="e">
        <v>#N/A</v>
        <stp/>
        <stp>##V3_BDHV12</stp>
        <stp>EUNZ107 ICPL Curncy</stp>
        <stp>PX_LAST</stp>
        <stp>4/15/2019</stp>
        <stp>4/15/2019</stp>
        <stp>[Basic Pricing.xlsm]Vol_Surface!R29C8</stp>
        <tr r="H29" s="53"/>
      </tp>
      <tp t="e">
        <v>#N/A</v>
        <stp/>
        <stp>##V3_BDHV12</stp>
        <stp>EUNZ057 ICPL Curncy</stp>
        <stp>PX_LAST</stp>
        <stp>4/15/2019</stp>
        <stp>4/15/2019</stp>
        <stp>[Basic Pricing.xlsm]Vol_Surface!R29C7</stp>
        <tr r="G29" s="53"/>
      </tp>
      <tp t="e">
        <v>#N/A</v>
        <stp/>
        <stp>##V3_BDPV12</stp>
        <stp>L U9 Comdty</stp>
        <stp>PX_LAST</stp>
        <stp>[Basic Pricing.xlsm]FX_Curve_Live!R82C4</stp>
        <tr r="D82" s="42"/>
      </tp>
      <tp t="e">
        <v>#N/A</v>
        <stp/>
        <stp>##V3_BDHV12</stp>
        <stp>EUR5Y BGN Curncy</stp>
        <stp>PX_LAST</stp>
        <stp>4/15/2019</stp>
        <stp>4/15/2019</stp>
        <stp>[Basic Pricing.xlsm]FXFR!R38C4</stp>
        <tr r="D38" s="46"/>
      </tp>
      <tp t="e">
        <v>#N/A</v>
        <stp/>
        <stp>##V3_BDHV12</stp>
        <stp>EUR1W BGN Curncy</stp>
        <stp>PX_LAST</stp>
        <stp>4/15/2019</stp>
        <stp>4/15/2019</stp>
        <stp>[Basic Pricing.xlsm]FXFR!R26C4</stp>
        <tr r="D26" s="46"/>
      </tp>
      <tp t="e">
        <v>#N/A</v>
        <stp/>
        <stp>##V3_BDHV12</stp>
        <stp>SFSW14 CMPN Curncy</stp>
        <stp>Close</stp>
        <stp>04/15/2019 11:15:00</stp>
        <stp>04/15/2019 11:16:00</stp>
        <stp>[Basic Pricing.xlsm]Rate_History!R118C18</stp>
        <stp>BarType</stp>
        <stp>T</stp>
        <stp>Dir=V</stp>
        <stp>cols=2;rows=1</stp>
        <tr r="R118" s="49"/>
      </tp>
      <tp t="e">
        <v>#N/A</v>
        <stp/>
        <stp>##V3_BDHV12</stp>
        <stp>SFSW11 CMPN Curncy</stp>
        <stp>Close</stp>
        <stp>04/15/2019 11:15:00</stp>
        <stp>04/15/2019 11:16:00</stp>
        <stp>[Basic Pricing.xlsm]Rate_History!R115C18</stp>
        <stp>BarType</stp>
        <stp>T</stp>
        <stp>Dir=V</stp>
        <stp>cols=2;rows=1</stp>
        <tr r="R115" s="49"/>
      </tp>
      <tp t="e">
        <v>#N/A</v>
        <stp/>
        <stp>##V3_BDHV12</stp>
        <stp>SFSW13 CMPN Curncy</stp>
        <stp>Close</stp>
        <stp>04/15/2019 11:15:00</stp>
        <stp>04/15/2019 11:16:00</stp>
        <stp>[Basic Pricing.xlsm]Rate_History!R117C18</stp>
        <stp>BarType</stp>
        <stp>T</stp>
        <stp>Dir=V</stp>
        <stp>cols=2;rows=1</stp>
        <tr r="R117" s="49"/>
      </tp>
      <tp t="e">
        <v>#N/A</v>
        <stp/>
        <stp>##V3_BDPV12</stp>
        <stp>CDOR03 Index</stp>
        <stp>PX_LAST</stp>
        <stp>[Basic Pricing.xlsm]FX_Curve_Live!R134C2</stp>
        <tr r="B134" s="42"/>
      </tp>
      <tp t="e">
        <v>#N/A</v>
        <stp/>
        <stp>##V3_BDHV12</stp>
        <stp>USSW3 Index</stp>
        <stp>PX_LAST</stp>
        <stp>4/15/2019</stp>
        <stp>4/15/2019</stp>
        <stp>[Basic Pricing.xlsm]FX_Curve_History!R7C6</stp>
        <tr r="F7" s="50"/>
      </tp>
      <tp t="e">
        <v>#N/A</v>
        <stp/>
        <stp>##V3_BDPV12</stp>
        <stp>CLSWIB2 Index</stp>
        <stp>PX_LAST</stp>
        <stp>[Basic Pricing.xlsm]FX_Curve_Live!R181C6</stp>
        <tr r="F181" s="42"/>
      </tp>
      <tp t="e">
        <v>#N/A</v>
        <stp/>
        <stp>##V3_BDHV12</stp>
        <stp>CDSW8 Index</stp>
        <stp>PX_LAST</stp>
        <stp>4/15/2019</stp>
        <stp>4/15/2019</stp>
        <stp>[Basic Pricing.xlsm]FX_Curve_History!R137C6</stp>
        <tr r="F137" s="50"/>
      </tp>
      <tp t="e">
        <v>#N/A</v>
        <stp/>
        <stp>##V3_BDPV12</stp>
        <stp>L Z9 Comdty</stp>
        <stp>PX_LAST</stp>
        <stp>[Basic Pricing.xlsm]FX_Curve_Live!R83C4</stp>
        <tr r="D83" s="42"/>
      </tp>
      <tp t="e">
        <v>#N/A</v>
        <stp/>
        <stp>##V3_BDPV12</stp>
        <stp>USSW8 Index</stp>
        <stp>PX_LAST</stp>
        <stp>[Basic Pricing.xlsm]FX_Curve_Live!R12C6</stp>
        <tr r="F12" s="42"/>
      </tp>
      <tp t="e">
        <v>#N/A</v>
        <stp/>
        <stp>##V3_BDPV12</stp>
        <stp>USSW9 Index</stp>
        <stp>PX_LAST</stp>
        <stp>[Basic Pricing.xlsm]FX_Curve_Live!R13C6</stp>
        <tr r="F13" s="42"/>
      </tp>
      <tp t="e">
        <v>#N/A</v>
        <stp/>
        <stp>##V3_BDHV12</stp>
        <stp>EUR6Y BGN Curncy</stp>
        <stp>PX_LAST</stp>
        <stp>4/15/2019</stp>
        <stp>4/15/2019</stp>
        <stp>[Basic Pricing.xlsm]FXFR!R39C4</stp>
        <tr r="D39" s="46"/>
      </tp>
      <tp t="e">
        <v>#N/A</v>
        <stp/>
        <stp>##V3_BDHV12</stp>
        <stp>JPY9Y BGN Curncy</stp>
        <stp>PX_LAST</stp>
        <stp>4/15/2019</stp>
        <stp>4/15/2019</stp>
        <stp>[Basic Pricing.xlsm]FXFR!R86C4</stp>
        <tr r="D86" s="46"/>
      </tp>
      <tp t="e">
        <v>#N/A</v>
        <stp/>
        <stp>##V3_BDHV12</stp>
        <stp>SFSW15 CMPN Curncy</stp>
        <stp>Close</stp>
        <stp>04/15/2019 11:15:00</stp>
        <stp>04/15/2019 11:16:00</stp>
        <stp>[Basic Pricing.xlsm]Rate_History!R119C18</stp>
        <stp>BarType</stp>
        <stp>T</stp>
        <stp>Dir=V</stp>
        <tr r="R119" s="49"/>
      </tp>
      <tp t="e">
        <v>#N/A</v>
        <stp/>
        <stp>##V3_BDHV12</stp>
        <stp>SFSW20 CMPN Curncy</stp>
        <stp>Close</stp>
        <stp>04/15/2019 11:15:00</stp>
        <stp>04/15/2019 11:16:00</stp>
        <stp>[Basic Pricing.xlsm]Rate_History!R120C18</stp>
        <stp>BarType</stp>
        <stp>T</stp>
        <stp>Dir=V</stp>
        <tr r="R120" s="49"/>
      </tp>
      <tp t="e">
        <v>#N/A</v>
        <stp/>
        <stp>##V3_BDHV12</stp>
        <stp>SFSW10 CMPN Curncy</stp>
        <stp>Close</stp>
        <stp>04/15/2019 11:15:00</stp>
        <stp>04/15/2019 11:16:00</stp>
        <stp>[Basic Pricing.xlsm]Rate_History!R114C18</stp>
        <stp>BarType</stp>
        <stp>T</stp>
        <stp>Dir=V</stp>
        <tr r="R114" s="49"/>
      </tp>
      <tp t="e">
        <v>#N/A</v>
        <stp/>
        <stp>##V3_BDHV12</stp>
        <stp>SFSW12 CMPN Curncy</stp>
        <stp>Close</stp>
        <stp>04/15/2019 11:15:00</stp>
        <stp>04/15/2019 11:16:00</stp>
        <stp>[Basic Pricing.xlsm]Rate_History!R116C18</stp>
        <stp>BarType</stp>
        <stp>T</stp>
        <stp>Dir=V</stp>
        <tr r="R116" s="49"/>
      </tp>
      <tp t="e">
        <v>#N/A</v>
        <stp/>
        <stp>##V3_BDHV12</stp>
        <stp>SFSW25 CMPN Curncy</stp>
        <stp>Close</stp>
        <stp>04/15/2019 11:15:00</stp>
        <stp>04/15/2019 11:16:00</stp>
        <stp>[Basic Pricing.xlsm]Rate_History!R121C18</stp>
        <stp>BarType</stp>
        <stp>T</stp>
        <stp>Dir=V</stp>
        <tr r="R121" s="49"/>
      </tp>
      <tp t="e">
        <v>#N/A</v>
        <stp/>
        <stp>##V3_BDHV12</stp>
        <stp>SFSW30 CMPN Curncy</stp>
        <stp>Close</stp>
        <stp>04/15/2019 11:15:00</stp>
        <stp>04/15/2019 11:16:00</stp>
        <stp>[Basic Pricing.xlsm]Rate_History!R122C18</stp>
        <stp>BarType</stp>
        <stp>T</stp>
        <stp>Dir=V</stp>
        <tr r="R122" s="49"/>
      </tp>
      <tp t="e">
        <v>#N/A</v>
        <stp/>
        <stp>##V3_BDHV12</stp>
        <stp>SFSW40 CMPN Curncy</stp>
        <stp>Close</stp>
        <stp>04/15/2019 11:15:00</stp>
        <stp>04/15/2019 11:16:00</stp>
        <stp>[Basic Pricing.xlsm]Rate_History!R123C18</stp>
        <stp>BarType</stp>
        <stp>T</stp>
        <stp>Dir=V</stp>
        <tr r="R123" s="49"/>
      </tp>
      <tp t="e">
        <v>#N/A</v>
        <stp/>
        <stp>##V3_BDPV12</stp>
        <stp>CDOR06 Index</stp>
        <stp>PX_LAST</stp>
        <stp>[Basic Pricing.xlsm]FX_Curve_Live!R135C2</stp>
        <tr r="B135" s="42"/>
      </tp>
      <tp t="e">
        <v>#N/A</v>
        <stp/>
        <stp>##V3_BDHV12</stp>
        <stp>USSW2 Index</stp>
        <stp>PX_LAST</stp>
        <stp>4/15/2019</stp>
        <stp>4/15/2019</stp>
        <stp>[Basic Pricing.xlsm]FX_Curve_History!R6C6</stp>
        <tr r="F6" s="50"/>
      </tp>
      <tp t="e">
        <v>#N/A</v>
        <stp/>
        <stp>##V3_BDHV12</stp>
        <stp>EUSA2 Index</stp>
        <stp>PX_LAST</stp>
        <stp>4/15/2019</stp>
        <stp>4/15/2019</stp>
        <stp>[Basic Pricing.xlsm]FX_Curve_History!R31C6</stp>
        <tr r="F31" s="50"/>
      </tp>
      <tp t="e">
        <v>#N/A</v>
        <stp/>
        <stp>##V3_BDHV12</stp>
        <stp>EU0Z2502 ICPL Curncy</stp>
        <stp>PX_LAST</stp>
        <stp>4/15/2019</stp>
        <stp>4/15/2019</stp>
        <stp>[Basic Pricing.xlsm]Vol_Surface!R25C3</stp>
        <tr r="C25" s="53"/>
      </tp>
      <tp t="e">
        <v>#N/A</v>
        <stp/>
        <stp>##V3_BDHV12</stp>
        <stp>EU0Z2515 ICPL Curncy</stp>
        <stp>PX_LAST</stp>
        <stp>4/15/2019</stp>
        <stp>4/15/2019</stp>
        <stp>[Basic Pricing.xlsm]Vol_Surface!R32C3</stp>
        <tr r="C32" s="53"/>
      </tp>
      <tp t="e">
        <v>#N/A</v>
        <stp/>
        <stp>##V3_BDHV12</stp>
        <stp>EUNZ1015 ICPL Curncy</stp>
        <stp>PX_LAST</stp>
        <stp>4/15/2019</stp>
        <stp>4/15/2019</stp>
        <stp>[Basic Pricing.xlsm]Vol_Surface!R32C8</stp>
        <tr r="H32" s="53"/>
      </tp>
      <tp t="e">
        <v>#N/A</v>
        <stp/>
        <stp>##V3_BDHV12</stp>
        <stp>EUNZ1515 ICPL Curncy</stp>
        <stp>PX_LAST</stp>
        <stp>4/15/2019</stp>
        <stp>4/15/2019</stp>
        <stp>[Basic Pricing.xlsm]Vol_Surface!R32C9</stp>
        <tr r="I32" s="53"/>
      </tp>
      <tp t="e">
        <v>#N/A</v>
        <stp/>
        <stp>##V3_BDHV12</stp>
        <stp>EU0Z1302 ICPL Curncy</stp>
        <stp>PX_LAST</stp>
        <stp>4/15/2019</stp>
        <stp>4/15/2019</stp>
        <stp>[Basic Pricing.xlsm]Vol_Surface!R25C4</stp>
        <tr r="D25" s="53"/>
      </tp>
      <tp t="e">
        <v>#N/A</v>
        <stp/>
        <stp>##V3_BDHV12</stp>
        <stp>EU0Z1315 ICPL Curncy</stp>
        <stp>PX_LAST</stp>
        <stp>4/15/2019</stp>
        <stp>4/15/2019</stp>
        <stp>[Basic Pricing.xlsm]Vol_Surface!R32C4</stp>
        <tr r="D32" s="53"/>
      </tp>
      <tp t="e">
        <v>#N/A</v>
        <stp/>
        <stp>##V3_BDHV12</stp>
        <stp>EUNZ0515 ICPL Curncy</stp>
        <stp>PX_LAST</stp>
        <stp>4/15/2019</stp>
        <stp>4/15/2019</stp>
        <stp>[Basic Pricing.xlsm]Vol_Surface!R32C7</stp>
        <tr r="G32" s="53"/>
      </tp>
      <tp t="e">
        <v>#N/A</v>
        <stp/>
        <stp>##V3_BDHV12</stp>
        <stp>EU0Z0502 ICPL Curncy</stp>
        <stp>PX_LAST</stp>
        <stp>4/15/2019</stp>
        <stp>4/15/2019</stp>
        <stp>[Basic Pricing.xlsm]Vol_Surface!R25C2</stp>
        <tr r="B25" s="53"/>
      </tp>
      <tp t="e">
        <v>#N/A</v>
        <stp/>
        <stp>##V3_BDHV12</stp>
        <stp>EU0Z0515 ICPL Curncy</stp>
        <stp>PX_LAST</stp>
        <stp>4/15/2019</stp>
        <stp>4/15/2019</stp>
        <stp>[Basic Pricing.xlsm]Vol_Surface!R32C2</stp>
        <tr r="B32" s="53"/>
      </tp>
      <tp t="e">
        <v>#N/A</v>
        <stp/>
        <stp>##V3_BDHV12</stp>
        <stp>USSN024 CMPN Curncy</stp>
        <stp>PX_LAST</stp>
        <stp>4/15/2019</stp>
        <stp>4/15/2019</stp>
        <stp>[Basic Pricing.xlsm]Vol_Surface!R49C5</stp>
        <tr r="E49" s="53"/>
      </tp>
      <tp t="e">
        <v>#N/A</v>
        <stp/>
        <stp>##V3_BDHV12</stp>
        <stp>USSN015 CMPN Curncy</stp>
        <stp>PX_LAST</stp>
        <stp>4/15/2019</stp>
        <stp>4/15/2019</stp>
        <stp>[Basic Pricing.xlsm]Vol_Surface!R48C6</stp>
        <tr r="F48" s="53"/>
      </tp>
      <tp t="e">
        <v>#N/A</v>
        <stp/>
        <stp>##V3_BDHV12</stp>
        <stp>USSN0C8 CMPN Curncy</stp>
        <stp>PX_LAST</stp>
        <stp>4/15/2019</stp>
        <stp>4/15/2019</stp>
        <stp>[Basic Pricing.xlsm]Vol_Surface!R45C9</stp>
        <tr r="I45" s="53"/>
      </tp>
      <tp t="e">
        <v>#N/A</v>
        <stp/>
        <stp>##V3_BDPV12</stp>
        <stp>CDSW7 Index</stp>
        <stp>PX_LAST</stp>
        <stp>[Basic Pricing.xlsm]Rate_Live!R136C6</stp>
        <tr r="F136" s="39"/>
      </tp>
      <tp t="e">
        <v>#N/A</v>
        <stp/>
        <stp>##V3_BDPV12</stp>
        <stp>JYSW8 Index</stp>
        <stp>PX_LAST</stp>
        <stp>[Basic Pricing.xlsm]FX_Curve_Live!R62C6</stp>
        <tr r="F62" s="42"/>
      </tp>
      <tp t="e">
        <v>#N/A</v>
        <stp/>
        <stp>##V3_BDPV12</stp>
        <stp>JYSW9 Index</stp>
        <stp>PX_LAST</stp>
        <stp>[Basic Pricing.xlsm]FX_Curve_Live!R63C6</stp>
        <tr r="F63" s="42"/>
      </tp>
      <tp t="e">
        <v>#N/A</v>
        <stp/>
        <stp>##V3_BDHV12</stp>
        <stp>GBP2M BGN Curncy</stp>
        <stp>PX_LAST</stp>
        <stp>4/15/2019</stp>
        <stp>4/15/2019</stp>
        <stp>[Basic Pricing.xlsm]FXFR!R50C4</stp>
        <tr r="D50" s="46"/>
      </tp>
      <tp t="e">
        <v>#N/A</v>
        <stp/>
        <stp>##V3_BDHV12</stp>
        <stp>CAD2M BGN Curncy</stp>
        <stp>PX_LAST</stp>
        <stp>4/15/2019</stp>
        <stp>4/15/2019</stp>
        <stp>[Basic Pricing.xlsm]FXFR!R94C4</stp>
        <tr r="D94" s="46"/>
      </tp>
      <tp t="e">
        <v>#N/A</v>
        <stp/>
        <stp>##V3_BDHV12</stp>
        <stp>EUR6M BGN Curncy</stp>
        <stp>PX_LAST</stp>
        <stp>4/15/2019</stp>
        <stp>4/15/2019</stp>
        <stp>[Basic Pricing.xlsm]FXFR!R32C4</stp>
        <tr r="D32" s="46"/>
      </tp>
      <tp t="e">
        <v>#N/A</v>
        <stp/>
        <stp>##V3_BDPV12</stp>
        <stp>SFSW12 Index</stp>
        <stp>PX_LAST</stp>
        <stp>[Basic Pricing.xlsm]FX_Curve_Live!R116C6</stp>
        <tr r="F116" s="42"/>
      </tp>
      <tp t="e">
        <v>#N/A</v>
        <stp/>
        <stp>##V3_BDPV12</stp>
        <stp>EUSA20 Index</stp>
        <stp>PX_LAST</stp>
        <stp>[Basic Pricing.xlsm]FX_Curve_Live!R47C6</stp>
        <tr r="F47" s="42"/>
      </tp>
      <tp t="e">
        <v>#N/A</v>
        <stp/>
        <stp>##V3_BDPV12</stp>
        <stp>EUSA14 Index</stp>
        <stp>PX_LAST</stp>
        <stp>[Basic Pricing.xlsm]FX_Curve_Live!R43C6</stp>
        <tr r="F43" s="42"/>
      </tp>
      <tp t="e">
        <v>#N/A</v>
        <stp/>
        <stp>##V3_BDPV12</stp>
        <stp>USDGBP Curncy</stp>
        <stp>PX_LAST</stp>
        <stp>[Basic Pricing.xlsm]FX_Live!R3C5</stp>
        <tr r="E3" s="44"/>
      </tp>
      <tp t="e">
        <v>#N/A</v>
        <stp/>
        <stp>##V3_BDHV12</stp>
        <stp>CDSW40 Index</stp>
        <stp>PX_LAST</stp>
        <stp>4/15/2019</stp>
        <stp>4/15/2019</stp>
        <stp>[Basic Pricing.xlsm]FX_Curve_History!R145C6</stp>
        <tr r="F145" s="50"/>
      </tp>
      <tp t="e">
        <v>#N/A</v>
        <stp/>
        <stp>##V3_BDHV12</stp>
        <stp>BPSW9 Index</stp>
        <stp>PX_LAST</stp>
        <stp>4/15/2019</stp>
        <stp>4/15/2019</stp>
        <stp>[Basic Pricing.xlsm]FX_Curve_History!R88C6</stp>
        <tr r="F88" s="50"/>
      </tp>
      <tp t="e">
        <v>#N/A</v>
        <stp/>
        <stp>##V3_BDHV12</stp>
        <stp>JYSW4 Index</stp>
        <stp>PX_LAST</stp>
        <stp>4/15/2019</stp>
        <stp>4/15/2019</stp>
        <stp>[Basic Pricing.xlsm]FX_Curve_History!R58C6</stp>
        <tr r="F58" s="50"/>
      </tp>
      <tp t="e">
        <v>#N/A</v>
        <stp/>
        <stp>##V3_BDHV12</stp>
        <stp>ESM9 Comdty</stp>
        <stp>PX_LAST</stp>
        <stp>4/15/2019</stp>
        <stp>4/15/2019</stp>
        <stp>[Basic Pricing.xlsm]FX_Curve_History!R106C4</stp>
        <tr r="D106" s="50"/>
      </tp>
      <tp t="e">
        <v>#N/A</v>
        <stp/>
        <stp>##V3_BDHV12</stp>
        <stp>BAM9 Comdty</stp>
        <stp>PX_LAST</stp>
        <stp>4/15/2019</stp>
        <stp>4/15/2019</stp>
        <stp>[Basic Pricing.xlsm]FX_Curve_History!R131C4</stp>
        <tr r="D131" s="50"/>
      </tp>
      <tp t="e">
        <v>#N/A</v>
        <stp/>
        <stp>##V3_BDPV12</stp>
        <stp>YEH0 Comdty</stp>
        <stp>PX_LAST</stp>
        <stp>[Basic Pricing.xlsm]FX_Curve_Live!R59C4</stp>
        <tr r="D59" s="42"/>
      </tp>
      <tp t="e">
        <v>#N/A</v>
        <stp/>
        <stp>##V3_BDHV12</stp>
        <stp>USSN014 CMPN Curncy</stp>
        <stp>PX_LAST</stp>
        <stp>4/15/2019</stp>
        <stp>4/15/2019</stp>
        <stp>[Basic Pricing.xlsm]Vol_Surface!R48C5</stp>
        <tr r="E48" s="53"/>
      </tp>
      <tp t="e">
        <v>#N/A</v>
        <stp/>
        <stp>##V3_BDHV12</stp>
        <stp>USSN025 CMPN Curncy</stp>
        <stp>PX_LAST</stp>
        <stp>4/15/2019</stp>
        <stp>4/15/2019</stp>
        <stp>[Basic Pricing.xlsm]Vol_Surface!R49C6</stp>
        <tr r="F49" s="53"/>
      </tp>
      <tp t="e">
        <v>#N/A</v>
        <stp/>
        <stp>##V3_BDHV12</stp>
        <stp>USSN108 CMPN Curncy</stp>
        <stp>PX_LAST</stp>
        <stp>4/15/2019</stp>
        <stp>4/15/2019</stp>
        <stp>[Basic Pricing.xlsm]Vol_Surface!R54C9</stp>
        <tr r="I54" s="53"/>
      </tp>
      <tp t="e">
        <v>#N/A</v>
        <stp/>
        <stp>##V3_BDHV12</stp>
        <stp>USSN0A8 CMPN Curncy</stp>
        <stp>PX_LAST</stp>
        <stp>4/15/2019</stp>
        <stp>4/15/2019</stp>
        <stp>[Basic Pricing.xlsm]Vol_Surface!R44C9</stp>
        <tr r="I44" s="53"/>
      </tp>
      <tp t="e">
        <v>#N/A</v>
        <stp/>
        <stp>##V3_BDPV12</stp>
        <stp>CDSW8 Index</stp>
        <stp>PX_LAST</stp>
        <stp>[Basic Pricing.xlsm]Rate_Live!R137C6</stp>
        <tr r="F137" s="39"/>
      </tp>
      <tp t="e">
        <v>#N/A</v>
        <stp/>
        <stp>##V3_BDPV12</stp>
        <stp>BPSW2 Index</stp>
        <stp>PX_LAST</stp>
        <stp>[Basic Pricing.xlsm]FX_Curve_Live!R81C6</stp>
        <tr r="F81" s="42"/>
      </tp>
      <tp t="e">
        <v>#N/A</v>
        <stp/>
        <stp>##V3_BDPV12</stp>
        <stp>BPSW6 Index</stp>
        <stp>PX_LAST</stp>
        <stp>[Basic Pricing.xlsm]FX_Curve_Live!R85C6</stp>
        <tr r="F85" s="42"/>
      </tp>
      <tp t="e">
        <v>#N/A</v>
        <stp/>
        <stp>##V3_BDHV12</stp>
        <stp>GBP3M BGN Curncy</stp>
        <stp>PX_LAST</stp>
        <stp>4/15/2019</stp>
        <stp>4/15/2019</stp>
        <stp>[Basic Pricing.xlsm]FXFR!R51C4</stp>
        <tr r="D51" s="46"/>
      </tp>
      <tp t="e">
        <v>#N/A</v>
        <stp/>
        <stp>##V3_BDHV12</stp>
        <stp>CAD3M BGN Curncy</stp>
        <stp>PX_LAST</stp>
        <stp>4/15/2019</stp>
        <stp>4/15/2019</stp>
        <stp>[Basic Pricing.xlsm]FXFR!R95C4</stp>
        <tr r="D95" s="46"/>
      </tp>
      <tp t="e">
        <v>#N/A</v>
        <stp/>
        <stp>##V3_BDHV12</stp>
        <stp>EUR9M BGN Curncy</stp>
        <stp>PX_LAST</stp>
        <stp>4/15/2019</stp>
        <stp>4/15/2019</stp>
        <stp>[Basic Pricing.xlsm]FXFR!R33C4</stp>
        <tr r="D33" s="46"/>
      </tp>
      <tp t="e">
        <v>#N/A</v>
        <stp/>
        <stp>##V3_BDPV12</stp>
        <stp>SFSW13 Index</stp>
        <stp>PX_LAST</stp>
        <stp>[Basic Pricing.xlsm]FX_Curve_Live!R117C6</stp>
        <tr r="F117" s="42"/>
      </tp>
      <tp t="e">
        <v>#N/A</v>
        <stp/>
        <stp>##V3_BDPV12</stp>
        <stp>BPSW12 Index</stp>
        <stp>PX_LAST</stp>
        <stp>[Basic Pricing.xlsm]FX_Curve_Live!R91C6</stp>
        <tr r="F91" s="42"/>
      </tp>
      <tp t="e">
        <v>#N/A</v>
        <stp/>
        <stp>##V3_BDPV12</stp>
        <stp>BPSW16 Index</stp>
        <stp>PX_LAST</stp>
        <stp>[Basic Pricing.xlsm]FX_Curve_Live!R95C6</stp>
        <tr r="F95" s="42"/>
      </tp>
      <tp t="e">
        <v>#N/A</v>
        <stp/>
        <stp>##V3_BDHV12</stp>
        <stp>CDSW15 Index</stp>
        <stp>PX_LAST</stp>
        <stp>4/15/2019</stp>
        <stp>4/15/2019</stp>
        <stp>[Basic Pricing.xlsm]FX_Curve_History!R141C6</stp>
        <tr r="F141" s="50"/>
      </tp>
      <tp t="e">
        <v>#N/A</v>
        <stp/>
        <stp>##V3_BDHV12</stp>
        <stp>CDSW30 Index</stp>
        <stp>PX_LAST</stp>
        <stp>4/15/2019</stp>
        <stp>4/15/2019</stp>
        <stp>[Basic Pricing.xlsm]FX_Curve_History!R144C6</stp>
        <tr r="F144" s="50"/>
      </tp>
      <tp t="e">
        <v>#N/A</v>
        <stp/>
        <stp>##V3_BDHV12</stp>
        <stp>CDOR12 Index</stp>
        <stp>PX_LAST</stp>
        <stp>4/15/2019</stp>
        <stp>4/15/2019</stp>
        <stp>[Basic Pricing.xlsm]FX_Curve_History!R136C2</stp>
        <tr r="B136" s="50"/>
      </tp>
      <tp t="e">
        <v>#N/A</v>
        <stp/>
        <stp>##V3_BDHV12</stp>
        <stp>JYSW5 Index</stp>
        <stp>PX_LAST</stp>
        <stp>4/15/2019</stp>
        <stp>4/15/2019</stp>
        <stp>[Basic Pricing.xlsm]FX_Curve_History!R59C6</stp>
        <tr r="F59" s="50"/>
      </tp>
      <tp t="e">
        <v>#N/A</v>
        <stp/>
        <stp>##V3_BDHV12</stp>
        <stp>ESU9 Comdty</stp>
        <stp>PX_LAST</stp>
        <stp>4/15/2019</stp>
        <stp>4/15/2019</stp>
        <stp>[Basic Pricing.xlsm]FX_Curve_History!R107C4</stp>
        <tr r="D107" s="50"/>
      </tp>
      <tp t="e">
        <v>#N/A</v>
        <stp/>
        <stp>##V3_BDPV12</stp>
        <stp>YEZ9 Comdty</stp>
        <stp>PX_LAST</stp>
        <stp>[Basic Pricing.xlsm]FX_Curve_Live!R58C4</stp>
        <tr r="D58" s="42"/>
      </tp>
      <tp t="e">
        <v>#N/A</v>
        <stp/>
        <stp>##V3_BDHV12</stp>
        <stp>USSN026 CMPN Curncy</stp>
        <stp>PX_LAST</stp>
        <stp>4/15/2019</stp>
        <stp>4/15/2019</stp>
        <stp>[Basic Pricing.xlsm]Vol_Surface!R49C7</stp>
        <tr r="G49" s="53"/>
      </tp>
      <tp t="e">
        <v>#N/A</v>
        <stp/>
        <stp>##V3_BDHV12</stp>
        <stp>USSN017 CMPN Curncy</stp>
        <stp>PX_LAST</stp>
        <stp>4/15/2019</stp>
        <stp>4/15/2019</stp>
        <stp>[Basic Pricing.xlsm]Vol_Surface!R48C8</stp>
        <tr r="H48" s="53"/>
      </tp>
      <tp t="e">
        <v>#N/A</v>
        <stp/>
        <stp>##V3_BDHV12</stp>
        <stp>USSN0I8 CMPN Curncy</stp>
        <stp>PX_LAST</stp>
        <stp>4/15/2019</stp>
        <stp>4/15/2019</stp>
        <stp>[Basic Pricing.xlsm]Vol_Surface!R47C9</stp>
        <tr r="I47" s="53"/>
      </tp>
      <tp t="e">
        <v>#N/A</v>
        <stp/>
        <stp>##V3_BDPV12</stp>
        <stp>SFSW2 Index</stp>
        <stp>PX_LAST</stp>
        <stp>[Basic Pricing.xlsm]Rate_Live!R106C6</stp>
        <tr r="F106" s="39"/>
      </tp>
      <tp t="e">
        <v>#N/A</v>
        <stp/>
        <stp>##V3_BDPV12</stp>
        <stp>CDSW5 Index</stp>
        <stp>PX_LAST</stp>
        <stp>[Basic Pricing.xlsm]Rate_Live!R134C6</stp>
        <tr r="F134" s="39"/>
      </tp>
      <tp t="e">
        <v>#N/A</v>
        <stp/>
        <stp>##V3_BDPV12</stp>
        <stp>EUSA4 Index</stp>
        <stp>PX_LAST</stp>
        <stp>[Basic Pricing.xlsm]FX_Curve_Live!R33C6</stp>
        <tr r="F33" s="42"/>
      </tp>
      <tp t="e">
        <v>#N/A</v>
        <stp/>
        <stp>##V3_BDHV12</stp>
        <stp>GBP4M BGN Curncy</stp>
        <stp>PX_LAST</stp>
        <stp>4/15/2019</stp>
        <stp>4/15/2019</stp>
        <stp>[Basic Pricing.xlsm]FXFR!R52C4</stp>
        <tr r="D52" s="46"/>
      </tp>
      <tp t="e">
        <v>#N/A</v>
        <stp/>
        <stp>##V3_BDHV12</stp>
        <stp>CAD4M BGN Curncy</stp>
        <stp>PX_LAST</stp>
        <stp>4/15/2019</stp>
        <stp>4/15/2019</stp>
        <stp>[Basic Pricing.xlsm]FXFR!R96C4</stp>
        <tr r="D96" s="46"/>
      </tp>
      <tp t="e">
        <v>#N/A</v>
        <stp/>
        <stp>##V3_BDHV12</stp>
        <stp>EUR4M BGN Curncy</stp>
        <stp>PX_LAST</stp>
        <stp>4/15/2019</stp>
        <stp>4/15/2019</stp>
        <stp>[Basic Pricing.xlsm]FXFR!R30C4</stp>
        <tr r="D30" s="46"/>
      </tp>
      <tp t="e">
        <v>#N/A</v>
        <stp/>
        <stp>##V3_BDPV12</stp>
        <stp>EUR002m Index</stp>
        <stp>PX_LAST</stp>
        <stp>[Basic Pricing.xlsm]FX_Curve_Live!R33C2</stp>
        <tr r="B33" s="42"/>
      </tp>
      <tp t="e">
        <v>#N/A</v>
        <stp/>
        <stp>##V3_BDPV12</stp>
        <stp>CDSW30 Index</stp>
        <stp>PX_LAST</stp>
        <stp>[Basic Pricing.xlsm]FX_Curve_Live!R144C6</stp>
        <tr r="F144" s="42"/>
      </tp>
      <tp t="e">
        <v>#N/A</v>
        <stp/>
        <stp>##V3_BDPV12</stp>
        <stp>SFSW10 Index</stp>
        <stp>PX_LAST</stp>
        <stp>[Basic Pricing.xlsm]FX_Curve_Live!R114C6</stp>
        <tr r="F114" s="42"/>
      </tp>
      <tp t="e">
        <v>#N/A</v>
        <stp/>
        <stp>##V3_BDHV12</stp>
        <stp>CDOR03 Index</stp>
        <stp>PX_LAST</stp>
        <stp>4/15/2019</stp>
        <stp>4/15/2019</stp>
        <stp>[Basic Pricing.xlsm]FX_Curve_History!R134C2</stp>
        <tr r="B134" s="50"/>
      </tp>
      <tp t="e">
        <v>#N/A</v>
        <stp/>
        <stp>##V3_BDPV12</stp>
        <stp>US0006m Index</stp>
        <stp>PX_LAST</stp>
        <stp>[Basic Pricing.xlsm]Rate_Live!R10C2</stp>
        <tr r="B10" s="39"/>
      </tp>
      <tp t="e">
        <v>#N/A</v>
        <stp/>
        <stp>##V3_BDHV12</stp>
        <stp>BAZ9 Comdty</stp>
        <stp>PX_LAST</stp>
        <stp>4/15/2019</stp>
        <stp>4/15/2019</stp>
        <stp>[Basic Pricing.xlsm]FX_Curve_History!R133C4</stp>
        <tr r="D133" s="50"/>
      </tp>
      <tp t="e">
        <v>#N/A</v>
        <stp/>
        <stp>##V3_BDHV12</stp>
        <stp>USSN016 CMPN Curncy</stp>
        <stp>PX_LAST</stp>
        <stp>4/15/2019</stp>
        <stp>4/15/2019</stp>
        <stp>[Basic Pricing.xlsm]Vol_Surface!R48C7</stp>
        <tr r="G48" s="53"/>
      </tp>
      <tp t="e">
        <v>#N/A</v>
        <stp/>
        <stp>##V3_BDHV12</stp>
        <stp>USSN027 CMPN Curncy</stp>
        <stp>PX_LAST</stp>
        <stp>4/15/2019</stp>
        <stp>4/15/2019</stp>
        <stp>[Basic Pricing.xlsm]Vol_Surface!R49C8</stp>
        <tr r="H49" s="53"/>
      </tp>
      <tp t="e">
        <v>#N/A</v>
        <stp/>
        <stp>##V3_BDHV12</stp>
        <stp>USSN0F8 CMPN Curncy</stp>
        <stp>PX_LAST</stp>
        <stp>4/15/2019</stp>
        <stp>4/15/2019</stp>
        <stp>[Basic Pricing.xlsm]Vol_Surface!R46C9</stp>
        <tr r="I46" s="53"/>
      </tp>
      <tp t="e">
        <v>#N/A</v>
        <stp/>
        <stp>##V3_BDPV12</stp>
        <stp>SFSW3 Index</stp>
        <stp>PX_LAST</stp>
        <stp>[Basic Pricing.xlsm]Rate_Live!R107C6</stp>
        <tr r="F107" s="39"/>
      </tp>
      <tp t="e">
        <v>#N/A</v>
        <stp/>
        <stp>##V3_BDPV12</stp>
        <stp>CDSW6 Index</stp>
        <stp>PX_LAST</stp>
        <stp>[Basic Pricing.xlsm]Rate_Live!R135C6</stp>
        <tr r="F135" s="39"/>
      </tp>
      <tp t="e">
        <v>#N/A</v>
        <stp/>
        <stp>##V3_BDPV12</stp>
        <stp>BPSW3 Index</stp>
        <stp>PX_LAST</stp>
        <stp>[Basic Pricing.xlsm]FX_Curve_Live!R82C6</stp>
        <tr r="F82" s="42"/>
      </tp>
      <tp t="e">
        <v>#N/A</v>
        <stp/>
        <stp>##V3_BDPV12</stp>
        <stp>BPSW5 Index</stp>
        <stp>PX_LAST</stp>
        <stp>[Basic Pricing.xlsm]FX_Curve_Live!R84C6</stp>
        <tr r="F84" s="42"/>
      </tp>
      <tp t="e">
        <v>#N/A</v>
        <stp/>
        <stp>##V3_BDPV12</stp>
        <stp>BPSW7 Index</stp>
        <stp>PX_LAST</stp>
        <stp>[Basic Pricing.xlsm]FX_Curve_Live!R86C6</stp>
        <tr r="F86" s="42"/>
      </tp>
      <tp t="e">
        <v>#N/A</v>
        <stp/>
        <stp>##V3_BDPV12</stp>
        <stp>BPSW9 Index</stp>
        <stp>PX_LAST</stp>
        <stp>[Basic Pricing.xlsm]FX_Curve_Live!R88C6</stp>
        <tr r="F88" s="42"/>
      </tp>
      <tp t="e">
        <v>#N/A</v>
        <stp/>
        <stp>##V3_BDHV12</stp>
        <stp>GBP5M BGN Curncy</stp>
        <stp>PX_LAST</stp>
        <stp>4/15/2019</stp>
        <stp>4/15/2019</stp>
        <stp>[Basic Pricing.xlsm]FXFR!R53C4</stp>
        <tr r="D53" s="46"/>
      </tp>
      <tp t="e">
        <v>#N/A</v>
        <stp/>
        <stp>##V3_BDHV12</stp>
        <stp>CAD5M BGN Curncy</stp>
        <stp>PX_LAST</stp>
        <stp>4/15/2019</stp>
        <stp>4/15/2019</stp>
        <stp>[Basic Pricing.xlsm]FXFR!R97C4</stp>
        <tr r="D97" s="46"/>
      </tp>
      <tp t="e">
        <v>#N/A</v>
        <stp/>
        <stp>##V3_BDHV12</stp>
        <stp>EUR5M BGN Curncy</stp>
        <stp>PX_LAST</stp>
        <stp>4/15/2019</stp>
        <stp>4/15/2019</stp>
        <stp>[Basic Pricing.xlsm]FXFR!R31C4</stp>
        <tr r="D31" s="46"/>
      </tp>
      <tp t="e">
        <v>#N/A</v>
        <stp/>
        <stp>##V3_BDPV12</stp>
        <stp>EUR001m Index</stp>
        <stp>PX_LAST</stp>
        <stp>[Basic Pricing.xlsm]FX_Curve_Live!R32C2</stp>
        <tr r="B32" s="42"/>
      </tp>
      <tp t="e">
        <v>#N/A</v>
        <stp/>
        <stp>##V3_BDPV12</stp>
        <stp>CDSW40 Index</stp>
        <stp>PX_LAST</stp>
        <stp>[Basic Pricing.xlsm]FX_Curve_Live!R145C6</stp>
        <tr r="F145" s="42"/>
      </tp>
      <tp t="e">
        <v>#N/A</v>
        <stp/>
        <stp>##V3_BDPV12</stp>
        <stp>SFSW11 Index</stp>
        <stp>PX_LAST</stp>
        <stp>[Basic Pricing.xlsm]FX_Curve_Live!R115C6</stp>
        <tr r="F115" s="42"/>
      </tp>
      <tp t="e">
        <v>#N/A</v>
        <stp/>
        <stp>##V3_BDPV12</stp>
        <stp>USSW20 Index</stp>
        <stp>PX_LAST</stp>
        <stp>[Basic Pricing.xlsm]FX_Curve_Live!R22C6</stp>
        <tr r="F22" s="42"/>
      </tp>
      <tp t="e">
        <v>#N/A</v>
        <stp/>
        <stp>##V3_BDPV12</stp>
        <stp>BPSW11 Index</stp>
        <stp>PX_LAST</stp>
        <stp>[Basic Pricing.xlsm]FX_Curve_Live!R90C6</stp>
        <tr r="F90" s="42"/>
      </tp>
      <tp t="e">
        <v>#N/A</v>
        <stp/>
        <stp>##V3_BDPV12</stp>
        <stp>BPSW13 Index</stp>
        <stp>PX_LAST</stp>
        <stp>[Basic Pricing.xlsm]FX_Curve_Live!R92C6</stp>
        <tr r="F92" s="42"/>
      </tp>
      <tp t="e">
        <v>#N/A</v>
        <stp/>
        <stp>##V3_BDPV12</stp>
        <stp>BPSW15 Index</stp>
        <stp>PX_LAST</stp>
        <stp>[Basic Pricing.xlsm]FX_Curve_Live!R94C6</stp>
        <tr r="F94" s="42"/>
      </tp>
      <tp t="e">
        <v>#N/A</v>
        <stp/>
        <stp>##V3_BDPV12</stp>
        <stp>BPSW17 Index</stp>
        <stp>PX_LAST</stp>
        <stp>[Basic Pricing.xlsm]FX_Curve_Live!R96C6</stp>
        <tr r="F96" s="42"/>
      </tp>
      <tp t="e">
        <v>#N/A</v>
        <stp/>
        <stp>##V3_BDHV12</stp>
        <stp>SFSW10 Index</stp>
        <stp>PX_LAST</stp>
        <stp>4/15/2019</stp>
        <stp>4/15/2019</stp>
        <stp>[Basic Pricing.xlsm]FX_Curve_History!R114C6</stp>
        <tr r="F114" s="50"/>
      </tp>
      <tp t="e">
        <v>#N/A</v>
        <stp/>
        <stp>##V3_BDHV12</stp>
        <stp>SFSW11 Index</stp>
        <stp>PX_LAST</stp>
        <stp>4/15/2019</stp>
        <stp>4/15/2019</stp>
        <stp>[Basic Pricing.xlsm]FX_Curve_History!R115C6</stp>
        <tr r="F115" s="50"/>
      </tp>
      <tp t="e">
        <v>#N/A</v>
        <stp/>
        <stp>##V3_BDHV12</stp>
        <stp>SFSW12 Index</stp>
        <stp>PX_LAST</stp>
        <stp>4/15/2019</stp>
        <stp>4/15/2019</stp>
        <stp>[Basic Pricing.xlsm]FX_Curve_History!R116C6</stp>
        <tr r="F116" s="50"/>
      </tp>
      <tp t="e">
        <v>#N/A</v>
        <stp/>
        <stp>##V3_BDHV12</stp>
        <stp>SFSW13 Index</stp>
        <stp>PX_LAST</stp>
        <stp>4/15/2019</stp>
        <stp>4/15/2019</stp>
        <stp>[Basic Pricing.xlsm]FX_Curve_History!R117C6</stp>
        <tr r="F117" s="50"/>
      </tp>
      <tp t="e">
        <v>#N/A</v>
        <stp/>
        <stp>##V3_BDHV12</stp>
        <stp>SFSW25 Index</stp>
        <stp>PX_LAST</stp>
        <stp>4/15/2019</stp>
        <stp>4/15/2019</stp>
        <stp>[Basic Pricing.xlsm]FX_Curve_History!R121C6</stp>
        <tr r="F121" s="50"/>
      </tp>
      <tp t="e">
        <v>#N/A</v>
        <stp/>
        <stp>##V3_BDHV12</stp>
        <stp>CDSW25 Index</stp>
        <stp>PX_LAST</stp>
        <stp>4/15/2019</stp>
        <stp>4/15/2019</stp>
        <stp>[Basic Pricing.xlsm]FX_Curve_History!R143C6</stp>
        <tr r="F143" s="50"/>
      </tp>
      <tp t="e">
        <v>#N/A</v>
        <stp/>
        <stp>##V3_BDPV12</stp>
        <stp>USDEUR Curncy</stp>
        <stp>PX_LAST</stp>
        <stp>[Basic Pricing.xlsm]FX_Live!R2C5</stp>
        <tr r="E2" s="44"/>
      </tp>
      <tp t="e">
        <v>#N/A</v>
        <stp/>
        <stp>##V3_BDPV12</stp>
        <stp>US0012m Index</stp>
        <stp>PX_LAST</stp>
        <stp>[Basic Pricing.xlsm]Rate_Live!R11C2</stp>
        <tr r="B11" s="39"/>
      </tp>
      <tp t="e">
        <v>#N/A</v>
        <stp/>
        <stp>##V3_BDHV12</stp>
        <stp>BAU9 Comdty</stp>
        <stp>PX_LAST</stp>
        <stp>4/15/2019</stp>
        <stp>4/15/2019</stp>
        <stp>[Basic Pricing.xlsm]FX_Curve_History!R132C4</stp>
        <tr r="D132" s="50"/>
      </tp>
      <tp t="e">
        <v>#N/A</v>
        <stp/>
        <stp>##V3_BDHV12</stp>
        <stp>BCN10Y BGN Curncy</stp>
        <stp>PX_LAST</stp>
        <stp>4/15/2019</stp>
        <stp>4/15/2019</stp>
        <stp>[Basic Pricing.xlsm]FXFR!R21C4</stp>
        <tr r="D21" s="46"/>
      </tp>
      <tp t="e">
        <v>#N/A</v>
        <stp/>
        <stp>##V3_BDHV12</stp>
        <stp>USSN011 CMPN Curncy</stp>
        <stp>PX_LAST</stp>
        <stp>4/15/2019</stp>
        <stp>4/15/2019</stp>
        <stp>[Basic Pricing.xlsm]Vol_Surface!R48C2</stp>
        <tr r="B48" s="53"/>
      </tp>
      <tp t="e">
        <v>#N/A</v>
        <stp/>
        <stp>##V3_BDHV12</stp>
        <stp>USSN048 CMPN Curncy</stp>
        <stp>PX_LAST</stp>
        <stp>4/15/2019</stp>
        <stp>4/15/2019</stp>
        <stp>[Basic Pricing.xlsm]Vol_Surface!R51C9</stp>
        <tr r="I51" s="53"/>
      </tp>
      <tp t="e">
        <v>#N/A</v>
        <stp/>
        <stp>##V3_BDHV12</stp>
        <stp>SFSW2 Index</stp>
        <stp>PX_LAST</stp>
        <stp>4/15/2019</stp>
        <stp>4/15/2019</stp>
        <stp>[Basic Pricing.xlsm]FX_Curve_History!R106C6</stp>
        <tr r="F106" s="50"/>
      </tp>
      <tp t="e">
        <v>#N/A</v>
        <stp/>
        <stp>##V3_BDHV12</stp>
        <stp>SFSW3 Index</stp>
        <stp>PX_LAST</stp>
        <stp>4/15/2019</stp>
        <stp>4/15/2019</stp>
        <stp>[Basic Pricing.xlsm]FX_Curve_History!R107C6</stp>
        <tr r="F107" s="50"/>
      </tp>
      <tp t="e">
        <v>#N/A</v>
        <stp/>
        <stp>##V3_BDPV12</stp>
        <stp>SFSW6 Index</stp>
        <stp>PX_LAST</stp>
        <stp>[Basic Pricing.xlsm]Rate_Live!R110C6</stp>
        <tr r="F110" s="39"/>
      </tp>
      <tp t="e">
        <v>#N/A</v>
        <stp/>
        <stp>##V3_BDPV12</stp>
        <stp>CDSW3 Index</stp>
        <stp>PX_LAST</stp>
        <stp>[Basic Pricing.xlsm]Rate_Live!R132C6</stp>
        <tr r="F132" s="39"/>
      </tp>
      <tp t="e">
        <v>#N/A</v>
        <stp/>
        <stp>##V3_BDPV12</stp>
        <stp>EUSA3 Index</stp>
        <stp>PX_LAST</stp>
        <stp>[Basic Pricing.xlsm]FX_Curve_Live!R32C6</stp>
        <tr r="F32" s="42"/>
      </tp>
      <tp t="e">
        <v>#N/A</v>
        <stp/>
        <stp>##V3_BDPV12</stp>
        <stp>EUSA5 Index</stp>
        <stp>PX_LAST</stp>
        <stp>[Basic Pricing.xlsm]FX_Curve_Live!R34C6</stp>
        <tr r="F34" s="42"/>
      </tp>
      <tp t="e">
        <v>#N/A</v>
        <stp/>
        <stp>##V3_BDPV12</stp>
        <stp>EUSA7 Index</stp>
        <stp>PX_LAST</stp>
        <stp>[Basic Pricing.xlsm]FX_Curve_Live!R36C6</stp>
        <tr r="F36" s="42"/>
      </tp>
      <tp t="e">
        <v>#N/A</v>
        <stp/>
        <stp>##V3_BDPV12</stp>
        <stp>EUSA9 Index</stp>
        <stp>PX_LAST</stp>
        <stp>[Basic Pricing.xlsm]FX_Curve_Live!R38C6</stp>
        <tr r="F38" s="42"/>
      </tp>
      <tp t="e">
        <v>#N/A</v>
        <stp/>
        <stp>##V3_BDHV12</stp>
        <stp>GBP6M BGN Curncy</stp>
        <stp>PX_LAST</stp>
        <stp>4/15/2019</stp>
        <stp>4/15/2019</stp>
        <stp>[Basic Pricing.xlsm]FXFR!R54C4</stp>
        <tr r="D54" s="46"/>
      </tp>
      <tp t="e">
        <v>#N/A</v>
        <stp/>
        <stp>##V3_BDHV12</stp>
        <stp>BCN9M BGN Curncy</stp>
        <stp>PX_LAST</stp>
        <stp>4/15/2019</stp>
        <stp>4/15/2019</stp>
        <stp>[Basic Pricing.xlsm]FXFR!R11C4</stp>
        <tr r="D11" s="46"/>
      </tp>
      <tp t="e">
        <v>#N/A</v>
        <stp/>
        <stp>##V3_BDPV12</stp>
        <stp>EUR006m Index</stp>
        <stp>PX_LAST</stp>
        <stp>[Basic Pricing.xlsm]FX_Curve_Live!R35C2</stp>
        <tr r="B35" s="42"/>
      </tp>
      <tp t="e">
        <v>#N/A</v>
        <stp/>
        <stp>##V3_BDPV12</stp>
        <stp>CDSW20 Index</stp>
        <stp>PX_LAST</stp>
        <stp>[Basic Pricing.xlsm]FX_Curve_Live!R142C6</stp>
        <tr r="F142" s="42"/>
      </tp>
      <tp t="e">
        <v>#N/A</v>
        <stp/>
        <stp>##V3_BDPV12</stp>
        <stp>SFSW30 Index</stp>
        <stp>PX_LAST</stp>
        <stp>[Basic Pricing.xlsm]FX_Curve_Live!R122C6</stp>
        <tr r="F122" s="42"/>
      </tp>
      <tp t="e">
        <v>#N/A</v>
        <stp/>
        <stp>##V3_BDHV12</stp>
        <stp>USSW4 CMPN Curncy</stp>
        <stp>Close</stp>
        <stp>04/15/2019 15:00:00</stp>
        <stp>04/15/2019 15:01:00</stp>
        <stp>[Basic Pricing.xlsm]Rate_History!R8C18</stp>
        <stp>BarType</stp>
        <stp>T</stp>
        <stp>Dir=V</stp>
        <stp>cols=2;rows=1</stp>
        <tr r="R8" s="49"/>
      </tp>
      <tp t="e">
        <v>#N/A</v>
        <stp/>
        <stp>##V3_BDPV12</stp>
        <stp>EUSA12 Index</stp>
        <stp>PX_LAST</stp>
        <stp>[Basic Pricing.xlsm]FX_Curve_Live!R41C6</stp>
        <tr r="F41" s="42"/>
      </tp>
      <tp t="e">
        <v>#N/A</v>
        <stp/>
        <stp>##V3_BDPV12</stp>
        <stp>EUSA16 Index</stp>
        <stp>PX_LAST</stp>
        <stp>[Basic Pricing.xlsm]FX_Curve_Live!R45C6</stp>
        <tr r="F45" s="42"/>
      </tp>
      <tp t="e">
        <v>#N/A</v>
        <stp/>
        <stp>##V3_BDPV12</stp>
        <stp>USSW40 Index</stp>
        <stp>PX_LAST</stp>
        <stp>[Basic Pricing.xlsm]FX_Curve_Live!R25C6</stp>
        <tr r="F25" s="42"/>
      </tp>
      <tp t="e">
        <v>#N/A</v>
        <stp/>
        <stp>##V3_BDHV12</stp>
        <stp>USSW5 CMPN Curncy</stp>
        <stp>Close</stp>
        <stp>04/15/2019 15:00:00</stp>
        <stp>04/15/2019 15:01:00</stp>
        <stp>[Basic Pricing.xlsm]Rate_History!R9C18</stp>
        <stp>BarType</stp>
        <stp>T</stp>
        <stp>Dir=V</stp>
        <stp>cols=2;rows=1</stp>
        <tr r="R9" s="49"/>
      </tp>
      <tp t="e">
        <v>#N/A</v>
        <stp/>
        <stp>##V3_BDHV12</stp>
        <stp>CLSWIB9 CMPN Index</stp>
        <stp>Close</stp>
        <stp>04/15/2019 15:00:00</stp>
        <stp>04/15/2019 15:01:00</stp>
        <stp>[Basic Pricing.xlsm]Rate_History!R188C18</stp>
        <stp>BarType</stp>
        <stp>T</stp>
        <stp>Dir=V</stp>
        <tr r="R188" s="49"/>
      </tp>
      <tp t="e">
        <v>#N/A</v>
        <stp/>
        <stp>##V3_BDHV12</stp>
        <stp>USSW2 CMPN Curncy</stp>
        <stp>Close</stp>
        <stp>04/15/2019 15:00:00</stp>
        <stp>04/15/2019 15:01:00</stp>
        <stp>[Basic Pricing.xlsm]Rate_History!R6C18</stp>
        <stp>BarType</stp>
        <stp>T</stp>
        <stp>Dir=V</stp>
        <stp>cols=2;rows=1</stp>
        <tr r="R6" s="49"/>
      </tp>
      <tp t="e">
        <v>#N/A</v>
        <stp/>
        <stp>##V3_BDHV12</stp>
        <stp>USSW3 CMPN Curncy</stp>
        <stp>Close</stp>
        <stp>04/15/2019 15:00:00</stp>
        <stp>04/15/2019 15:01:00</stp>
        <stp>[Basic Pricing.xlsm]Rate_History!R7C18</stp>
        <stp>BarType</stp>
        <stp>T</stp>
        <stp>Dir=V</stp>
        <stp>cols=2;rows=1</stp>
        <tr r="R7" s="49"/>
      </tp>
      <tp t="e">
        <v>#N/A</v>
        <stp/>
        <stp>##V3_BDHV12</stp>
        <stp>SFSW40 Index</stp>
        <stp>PX_LAST</stp>
        <stp>4/15/2019</stp>
        <stp>4/15/2019</stp>
        <stp>[Basic Pricing.xlsm]FX_Curve_History!R123C6</stp>
        <tr r="F123" s="50"/>
      </tp>
      <tp t="e">
        <v>#N/A</v>
        <stp/>
        <stp>##V3_BDHV12</stp>
        <stp>CDOR02 Index</stp>
        <stp>PX_LAST</stp>
        <stp>4/15/2019</stp>
        <stp>4/15/2019</stp>
        <stp>[Basic Pricing.xlsm]FX_Curve_History!R133C2</stp>
        <tr r="B133" s="50"/>
      </tp>
      <tp t="e">
        <v>#N/A</v>
        <stp/>
        <stp>##V3_BDHV12</stp>
        <stp>ESZ0 Comdty</stp>
        <stp>PX_LAST</stp>
        <stp>4/15/2019</stp>
        <stp>4/15/2019</stp>
        <stp>[Basic Pricing.xlsm]FX_Curve_History!R112C4</stp>
        <tr r="D112" s="50"/>
      </tp>
      <tp t="e">
        <v>#N/A</v>
        <stp/>
        <stp>##V3_BDHV12</stp>
        <stp>EUR12M BGN Curncy</stp>
        <stp>PX_LAST</stp>
        <stp>4/15/2019</stp>
        <stp>4/15/2019</stp>
        <stp>[Basic Pricing.xlsm]FXFR!R34C4</stp>
        <tr r="D34" s="46"/>
      </tp>
      <tp t="e">
        <v>#N/A</v>
        <stp/>
        <stp>##V3_BDHV12</stp>
        <stp>BAM0 Comdty</stp>
        <stp>PX_LAST</stp>
        <stp>4/15/2019</stp>
        <stp>4/15/2019</stp>
        <stp>[Basic Pricing.xlsm]FX_Curve_History!R135C4</stp>
        <tr r="D135" s="50"/>
      </tp>
      <tp t="e">
        <v>#N/A</v>
        <stp/>
        <stp>##V3_BDHV12</stp>
        <stp>USSN021 CMPN Curncy</stp>
        <stp>PX_LAST</stp>
        <stp>4/15/2019</stp>
        <stp>4/15/2019</stp>
        <stp>[Basic Pricing.xlsm]Vol_Surface!R49C2</stp>
        <tr r="B49" s="53"/>
      </tp>
      <tp t="e">
        <v>#N/A</v>
        <stp/>
        <stp>##V3_BDHV12</stp>
        <stp>USSN038 CMPN Curncy</stp>
        <stp>PX_LAST</stp>
        <stp>4/15/2019</stp>
        <stp>4/15/2019</stp>
        <stp>[Basic Pricing.xlsm]Vol_Surface!R50C9</stp>
        <tr r="I50" s="53"/>
      </tp>
      <tp t="e">
        <v>#N/A</v>
        <stp/>
        <stp>##V3_BDPV12</stp>
        <stp>USDSAR Curncy</stp>
        <stp>PX_LAST</stp>
        <stp>[Basic Pricing.xlsm]FX_Live!R13C5</stp>
        <tr r="E13" s="44"/>
      </tp>
      <tp t="e">
        <v>#N/A</v>
        <stp/>
        <stp>##V3_BDPV12</stp>
        <stp>SFSW7 Index</stp>
        <stp>PX_LAST</stp>
        <stp>[Basic Pricing.xlsm]Rate_Live!R111C6</stp>
        <tr r="F111" s="39"/>
      </tp>
      <tp t="e">
        <v>#N/A</v>
        <stp/>
        <stp>##V3_BDPV12</stp>
        <stp>CDSW4 Index</stp>
        <stp>PX_LAST</stp>
        <stp>[Basic Pricing.xlsm]Rate_Live!R133C6</stp>
        <tr r="F133" s="39"/>
      </tp>
      <tp t="e">
        <v>#N/A</v>
        <stp/>
        <stp>##V3_BDPV12</stp>
        <stp>BPSW4 Index</stp>
        <stp>PX_LAST</stp>
        <stp>[Basic Pricing.xlsm]FX_Curve_Live!R83C6</stp>
        <tr r="F83" s="42"/>
      </tp>
      <tp t="e">
        <v>#N/A</v>
        <stp/>
        <stp>##V3_BDPV12</stp>
        <stp>US0001m Index</stp>
        <stp>PX_LAST</stp>
        <stp>[Basic Pricing.xlsm]FX_Curve_Live!R7C2</stp>
        <tr r="B7" s="42"/>
      </tp>
      <tp t="e">
        <v>#N/A</v>
        <stp/>
        <stp>##V3_BDHV12</stp>
        <stp>GBP9M BGN Curncy</stp>
        <stp>PX_LAST</stp>
        <stp>4/15/2019</stp>
        <stp>4/15/2019</stp>
        <stp>[Basic Pricing.xlsm]FXFR!R55C4</stp>
        <tr r="D55" s="46"/>
      </tp>
      <tp t="e">
        <v>#N/A</v>
        <stp/>
        <stp>##V3_BDHV12</stp>
        <stp>BCN6M BGN Curncy</stp>
        <stp>PX_LAST</stp>
        <stp>4/15/2019</stp>
        <stp>4/15/2019</stp>
        <stp>[Basic Pricing.xlsm]FXFR!R10C4</stp>
        <tr r="D10" s="46"/>
      </tp>
      <tp t="e">
        <v>#N/A</v>
        <stp/>
        <stp>##V3_BDHV12</stp>
        <stp>EUR1M BGN Curncy</stp>
        <stp>PX_LAST</stp>
        <stp>4/15/2019</stp>
        <stp>4/15/2019</stp>
        <stp>[Basic Pricing.xlsm]FXFR!R27C4</stp>
        <tr r="D27" s="46"/>
      </tp>
      <tp t="e">
        <v>#N/A</v>
        <stp/>
        <stp>##V3_BDPV12</stp>
        <stp>EUR003m Index</stp>
        <stp>PX_LAST</stp>
        <stp>[Basic Pricing.xlsm]FX_Curve_Live!R34C2</stp>
        <tr r="B34" s="42"/>
      </tp>
      <tp t="e">
        <v>#N/A</v>
        <stp/>
        <stp>##V3_BDPV12</stp>
        <stp>CDSW25 Index</stp>
        <stp>PX_LAST</stp>
        <stp>[Basic Pricing.xlsm]FX_Curve_Live!R143C6</stp>
        <tr r="F143" s="42"/>
      </tp>
      <tp t="e">
        <v>#N/A</v>
        <stp/>
        <stp>##V3_BDPV12</stp>
        <stp>SFSW40 Index</stp>
        <stp>PX_LAST</stp>
        <stp>[Basic Pricing.xlsm]FX_Curve_Live!R123C6</stp>
        <tr r="F123" s="42"/>
      </tp>
      <tp t="e">
        <v>#N/A</v>
        <stp/>
        <stp>##V3_BDPV12</stp>
        <stp>USSW10 Index</stp>
        <stp>PX_LAST</stp>
        <stp>[Basic Pricing.xlsm]FX_Curve_Live!R14C6</stp>
        <tr r="F14" s="42"/>
      </tp>
      <tp t="e">
        <v>#N/A</v>
        <stp/>
        <stp>##V3_BDPV12</stp>
        <stp>USSW11 Index</stp>
        <stp>PX_LAST</stp>
        <stp>[Basic Pricing.xlsm]FX_Curve_Live!R15C6</stp>
        <tr r="F15" s="42"/>
      </tp>
      <tp t="e">
        <v>#N/A</v>
        <stp/>
        <stp>##V3_BDPV12</stp>
        <stp>USSW12 Index</stp>
        <stp>PX_LAST</stp>
        <stp>[Basic Pricing.xlsm]FX_Curve_Live!R16C6</stp>
        <tr r="F16" s="42"/>
      </tp>
      <tp t="e">
        <v>#N/A</v>
        <stp/>
        <stp>##V3_BDPV12</stp>
        <stp>USSW13 Index</stp>
        <stp>PX_LAST</stp>
        <stp>[Basic Pricing.xlsm]FX_Curve_Live!R17C6</stp>
        <tr r="F17" s="42"/>
      </tp>
      <tp t="e">
        <v>#N/A</v>
        <stp/>
        <stp>##V3_BDPV12</stp>
        <stp>USSW30 Index</stp>
        <stp>PX_LAST</stp>
        <stp>[Basic Pricing.xlsm]FX_Curve_Live!R24C6</stp>
        <tr r="F24" s="42"/>
      </tp>
      <tp t="e">
        <v>#N/A</v>
        <stp/>
        <stp>##V3_BDPV12</stp>
        <stp>BPSW14 Index</stp>
        <stp>PX_LAST</stp>
        <stp>[Basic Pricing.xlsm]FX_Curve_Live!R93C6</stp>
        <tr r="F93" s="42"/>
      </tp>
      <tp t="e">
        <v>#N/A</v>
        <stp/>
        <stp>##V3_BDPV12</stp>
        <stp>BPSW20 Index</stp>
        <stp>PX_LAST</stp>
        <stp>[Basic Pricing.xlsm]FX_Curve_Live!R97C6</stp>
        <tr r="F97" s="42"/>
      </tp>
      <tp t="e">
        <v>#N/A</v>
        <stp/>
        <stp>##V3_BDHV12</stp>
        <stp>CLSWIB8 CMPN Index</stp>
        <stp>Close</stp>
        <stp>04/15/2019 15:00:00</stp>
        <stp>04/15/2019 15:01:00</stp>
        <stp>[Basic Pricing.xlsm]Rate_History!R187C18</stp>
        <stp>BarType</stp>
        <stp>T</stp>
        <stp>Dir=V</stp>
        <tr r="R187" s="49"/>
      </tp>
      <tp t="e">
        <v>#N/A</v>
        <stp/>
        <stp>##V3_BDHV12</stp>
        <stp>SFSW30 Index</stp>
        <stp>PX_LAST</stp>
        <stp>4/15/2019</stp>
        <stp>4/15/2019</stp>
        <stp>[Basic Pricing.xlsm]FX_Curve_History!R122C6</stp>
        <tr r="F122" s="50"/>
      </tp>
      <tp t="e">
        <v>#N/A</v>
        <stp/>
        <stp>##V3_BDHV12</stp>
        <stp>ESH1 Comdty</stp>
        <stp>PX_LAST</stp>
        <stp>4/15/2019</stp>
        <stp>4/15/2019</stp>
        <stp>[Basic Pricing.xlsm]FX_Curve_History!R113C4</stp>
        <tr r="D113" s="50"/>
      </tp>
      <tp t="e">
        <v>#N/A</v>
        <stp/>
        <stp>##V3_BDHV12</stp>
        <stp>BAH0 Comdty</stp>
        <stp>PX_LAST</stp>
        <stp>4/15/2019</stp>
        <stp>4/15/2019</stp>
        <stp>[Basic Pricing.xlsm]FX_Curve_History!R134C4</stp>
        <tr r="D134" s="50"/>
      </tp>
      <tp t="e">
        <v>#N/A</v>
        <stp/>
        <stp>##V3_BDHV12</stp>
        <stp>USSN022 CMPN Curncy</stp>
        <stp>PX_LAST</stp>
        <stp>4/15/2019</stp>
        <stp>4/15/2019</stp>
        <stp>[Basic Pricing.xlsm]Vol_Surface!R49C3</stp>
        <tr r="C49" s="53"/>
      </tp>
      <tp t="e">
        <v>#N/A</v>
        <stp/>
        <stp>##V3_BDHV12</stp>
        <stp>USSN013 CMPN Curncy</stp>
        <stp>PX_LAST</stp>
        <stp>4/15/2019</stp>
        <stp>4/15/2019</stp>
        <stp>[Basic Pricing.xlsm]Vol_Surface!R48C4</stp>
        <tr r="D48" s="53"/>
      </tp>
      <tp t="e">
        <v>#N/A</v>
        <stp/>
        <stp>##V3_BDHV12</stp>
        <stp>USSN078 CMPN Curncy</stp>
        <stp>PX_LAST</stp>
        <stp>4/15/2019</stp>
        <stp>4/15/2019</stp>
        <stp>[Basic Pricing.xlsm]Vol_Surface!R53C9</stp>
        <tr r="I53" s="53"/>
      </tp>
      <tp t="e">
        <v>#N/A</v>
        <stp/>
        <stp>##V3_BDHV12</stp>
        <stp>SFSW6 Index</stp>
        <stp>PX_LAST</stp>
        <stp>4/15/2019</stp>
        <stp>4/15/2019</stp>
        <stp>[Basic Pricing.xlsm]FX_Curve_History!R110C6</stp>
        <tr r="F110" s="50"/>
      </tp>
      <tp t="e">
        <v>#N/A</v>
        <stp/>
        <stp>##V3_BDHV12</stp>
        <stp>SFSW7 Index</stp>
        <stp>PX_LAST</stp>
        <stp>4/15/2019</stp>
        <stp>4/15/2019</stp>
        <stp>[Basic Pricing.xlsm]FX_Curve_History!R111C6</stp>
        <tr r="F111" s="50"/>
      </tp>
      <tp t="e">
        <v>#N/A</v>
        <stp/>
        <stp>##V3_BDPV12</stp>
        <stp>SFSW8 Index</stp>
        <stp>PX_LAST</stp>
        <stp>[Basic Pricing.xlsm]Rate_Live!R112C6</stp>
        <tr r="F112" s="39"/>
      </tp>
      <tp t="e">
        <v>#N/A</v>
        <stp/>
        <stp>##V3_BDPV12</stp>
        <stp>JYSW4 Index</stp>
        <stp>PX_LAST</stp>
        <stp>[Basic Pricing.xlsm]FX_Curve_Live!R58C6</stp>
        <tr r="F58" s="42"/>
      </tp>
      <tp t="e">
        <v>#N/A</v>
        <stp/>
        <stp>##V3_BDPV12</stp>
        <stp>JYSW5 Index</stp>
        <stp>PX_LAST</stp>
        <stp>[Basic Pricing.xlsm]FX_Curve_Live!R59C6</stp>
        <tr r="F59" s="42"/>
      </tp>
      <tp t="e">
        <v>#N/A</v>
        <stp/>
        <stp>##V3_BDPV12</stp>
        <stp>EUSA2 Index</stp>
        <stp>PX_LAST</stp>
        <stp>[Basic Pricing.xlsm]FX_Curve_Live!R31C6</stp>
        <tr r="F31" s="42"/>
      </tp>
      <tp t="e">
        <v>#N/A</v>
        <stp/>
        <stp>##V3_BDPV12</stp>
        <stp>EUSA6 Index</stp>
        <stp>PX_LAST</stp>
        <stp>[Basic Pricing.xlsm]FX_Curve_Live!R35C6</stp>
        <tr r="F35" s="42"/>
      </tp>
      <tp t="e">
        <v>#N/A</v>
        <stp/>
        <stp>##V3_BDPV12</stp>
        <stp>CDSW12 Index</stp>
        <stp>PX_LAST</stp>
        <stp>[Basic Pricing.xlsm]FX_Curve_Live!R140C6</stp>
        <tr r="F140" s="42"/>
      </tp>
      <tp t="e">
        <v>#N/A</v>
        <stp/>
        <stp>##V3_BDPV12</stp>
        <stp>BPSW40 Index</stp>
        <stp>PX_LAST</stp>
        <stp>[Basic Pricing.xlsm]FX_Curve_Live!R100C6</stp>
        <tr r="F100" s="42"/>
      </tp>
      <tp t="e">
        <v>#N/A</v>
        <stp/>
        <stp>##V3_BDPV12</stp>
        <stp>SFSW20 Index</stp>
        <stp>PX_LAST</stp>
        <stp>[Basic Pricing.xlsm]FX_Curve_Live!R120C6</stp>
        <tr r="F120" s="42"/>
      </tp>
      <tp t="e">
        <v>#N/A</v>
        <stp/>
        <stp>##V3_BDPV12</stp>
        <stp>EUSA11 Index</stp>
        <stp>PX_LAST</stp>
        <stp>[Basic Pricing.xlsm]FX_Curve_Live!R40C6</stp>
        <tr r="F40" s="42"/>
      </tp>
      <tp t="e">
        <v>#N/A</v>
        <stp/>
        <stp>##V3_BDPV12</stp>
        <stp>EUSA13 Index</stp>
        <stp>PX_LAST</stp>
        <stp>[Basic Pricing.xlsm]FX_Curve_Live!R42C6</stp>
        <tr r="F42" s="42"/>
      </tp>
      <tp t="e">
        <v>#N/A</v>
        <stp/>
        <stp>##V3_BDPV12</stp>
        <stp>EUSA15 Index</stp>
        <stp>PX_LAST</stp>
        <stp>[Basic Pricing.xlsm]FX_Curve_Live!R44C6</stp>
        <tr r="F44" s="42"/>
      </tp>
      <tp t="e">
        <v>#N/A</v>
        <stp/>
        <stp>##V3_BDPV12</stp>
        <stp>EUSA17 Index</stp>
        <stp>PX_LAST</stp>
        <stp>[Basic Pricing.xlsm]FX_Curve_Live!R46C6</stp>
        <tr r="F46" s="42"/>
      </tp>
      <tp t="e">
        <v>#N/A</v>
        <stp/>
        <stp>##V3_BDHV12</stp>
        <stp>CDOR01 Index</stp>
        <stp>PX_LAST</stp>
        <stp>4/15/2019</stp>
        <stp>4/15/2019</stp>
        <stp>[Basic Pricing.xlsm]FX_Curve_History!R132C2</stp>
        <tr r="B132" s="50"/>
      </tp>
      <tp t="e">
        <v>#N/A</v>
        <stp/>
        <stp>##V3_BDHV12</stp>
        <stp>CDOR06 Index</stp>
        <stp>PX_LAST</stp>
        <stp>4/15/2019</stp>
        <stp>4/15/2019</stp>
        <stp>[Basic Pricing.xlsm]FX_Curve_History!R135C2</stp>
        <tr r="B135" s="50"/>
      </tp>
      <tp t="e">
        <v>#N/A</v>
        <stp/>
        <stp>##V3_BDHV12</stp>
        <stp>ESM0 Comdty</stp>
        <stp>PX_LAST</stp>
        <stp>4/15/2019</stp>
        <stp>4/15/2019</stp>
        <stp>[Basic Pricing.xlsm]FX_Curve_History!R110C4</stp>
        <tr r="D110" s="50"/>
      </tp>
      <tp t="e">
        <v>#N/A</v>
        <stp/>
        <stp>##V3_BDHV12</stp>
        <stp>GBP10Y BGN Curncy</stp>
        <stp>PX_LAST</stp>
        <stp>4/15/2019</stp>
        <stp>4/15/2019</stp>
        <stp>[Basic Pricing.xlsm]FXFR!R65C4</stp>
        <tr r="D65" s="46"/>
      </tp>
      <tp t="e">
        <v>#N/A</v>
        <stp/>
        <stp>##V3_BDHV12</stp>
        <stp>BAZ0 Comdty</stp>
        <stp>PX_LAST</stp>
        <stp>4/15/2019</stp>
        <stp>4/15/2019</stp>
        <stp>[Basic Pricing.xlsm]FX_Curve_History!R137C4</stp>
        <tr r="D137" s="50"/>
      </tp>
      <tp t="e">
        <v>#N/A</v>
        <stp/>
        <stp>##V3_BDHV12</stp>
        <stp>USSN012 CMPN Curncy</stp>
        <stp>PX_LAST</stp>
        <stp>4/15/2019</stp>
        <stp>4/15/2019</stp>
        <stp>[Basic Pricing.xlsm]Vol_Surface!R48C3</stp>
        <tr r="C48" s="53"/>
      </tp>
      <tp t="e">
        <v>#N/A</v>
        <stp/>
        <stp>##V3_BDHV12</stp>
        <stp>USSN023 CMPN Curncy</stp>
        <stp>PX_LAST</stp>
        <stp>4/15/2019</stp>
        <stp>4/15/2019</stp>
        <stp>[Basic Pricing.xlsm]Vol_Surface!R49C4</stp>
        <tr r="D49" s="53"/>
      </tp>
      <tp t="e">
        <v>#N/A</v>
        <stp/>
        <stp>##V3_BDHV12</stp>
        <stp>USSN058 CMPN Curncy</stp>
        <stp>PX_LAST</stp>
        <stp>4/15/2019</stp>
        <stp>4/15/2019</stp>
        <stp>[Basic Pricing.xlsm]Vol_Surface!R52C9</stp>
        <tr r="I52" s="53"/>
      </tp>
      <tp t="e">
        <v>#N/A</v>
        <stp/>
        <stp>##V3_BDPV12</stp>
        <stp>SFSW9 Index</stp>
        <stp>PX_LAST</stp>
        <stp>[Basic Pricing.xlsm]Rate_Live!R113C6</stp>
        <tr r="F113" s="39"/>
      </tp>
      <tp t="e">
        <v>#N/A</v>
        <stp/>
        <stp>##V3_BDPV12</stp>
        <stp>CDSW2 Index</stp>
        <stp>PX_LAST</stp>
        <stp>[Basic Pricing.xlsm]Rate_Live!R131C6</stp>
        <tr r="F131" s="39"/>
      </tp>
      <tp t="e">
        <v>#N/A</v>
        <stp/>
        <stp>##V3_BDPV12</stp>
        <stp>USDCAD Curncy</stp>
        <stp>PX_LAST</stp>
        <stp>[Basic Pricing.xlsm]FX_Live!R11C5</stp>
        <tr r="E11" s="44"/>
      </tp>
      <tp t="e">
        <v>#N/A</v>
        <stp/>
        <stp>##V3_BDHV12</stp>
        <stp>CAD1M BGN Curncy</stp>
        <stp>PX_LAST</stp>
        <stp>4/15/2019</stp>
        <stp>4/15/2019</stp>
        <stp>[Basic Pricing.xlsm]FXFR!R93C4</stp>
        <tr r="D93" s="46"/>
      </tp>
      <tp t="e">
        <v>#N/A</v>
        <stp/>
        <stp>##V3_BDPV12</stp>
        <stp>EUR012m Index</stp>
        <stp>PX_LAST</stp>
        <stp>[Basic Pricing.xlsm]FX_Curve_Live!R36C2</stp>
        <tr r="B36" s="42"/>
      </tp>
      <tp t="e">
        <v>#N/A</v>
        <stp/>
        <stp>##V3_BDPV12</stp>
        <stp>CDSW15 Index</stp>
        <stp>PX_LAST</stp>
        <stp>[Basic Pricing.xlsm]FX_Curve_Live!R141C6</stp>
        <tr r="F141" s="42"/>
      </tp>
      <tp t="e">
        <v>#N/A</v>
        <stp/>
        <stp>##V3_BDPV12</stp>
        <stp>SFSW25 Index</stp>
        <stp>PX_LAST</stp>
        <stp>[Basic Pricing.xlsm]FX_Curve_Live!R121C6</stp>
        <tr r="F121" s="42"/>
      </tp>
      <tp t="e">
        <v>#N/A</v>
        <stp/>
        <stp>##V3_BDPV12</stp>
        <stp>EUSA40 Index</stp>
        <stp>PX_LAST</stp>
        <stp>[Basic Pricing.xlsm]FX_Curve_Live!R50C6</stp>
        <tr r="F50" s="42"/>
      </tp>
      <tp t="e">
        <v>#N/A</v>
        <stp/>
        <stp>##V3_BDPV12</stp>
        <stp>USSW16 Index</stp>
        <stp>PX_LAST</stp>
        <stp>[Basic Pricing.xlsm]FX_Curve_Live!R20C6</stp>
        <tr r="F20" s="42"/>
      </tp>
      <tp t="e">
        <v>#N/A</v>
        <stp/>
        <stp>##V3_BDPV12</stp>
        <stp>USSW17 Index</stp>
        <stp>PX_LAST</stp>
        <stp>[Basic Pricing.xlsm]FX_Curve_Live!R21C6</stp>
        <tr r="F21" s="42"/>
      </tp>
      <tp t="e">
        <v>#N/A</v>
        <stp/>
        <stp>##V3_BDPV12</stp>
        <stp>USSW25 Index</stp>
        <stp>PX_LAST</stp>
        <stp>[Basic Pricing.xlsm]FX_Curve_Live!R23C6</stp>
        <tr r="F23" s="42"/>
      </tp>
      <tp t="e">
        <v>#N/A</v>
        <stp/>
        <stp>##V3_BDPV12</stp>
        <stp>JYSW14 Index</stp>
        <stp>PX_LAST</stp>
        <stp>[Basic Pricing.xlsm]FX_Curve_Live!R68C6</stp>
        <tr r="F68" s="42"/>
      </tp>
      <tp t="e">
        <v>#N/A</v>
        <stp/>
        <stp>##V3_BDPV12</stp>
        <stp>JYSW15 Index</stp>
        <stp>PX_LAST</stp>
        <stp>[Basic Pricing.xlsm]FX_Curve_Live!R69C6</stp>
        <tr r="F69" s="42"/>
      </tp>
      <tp t="e">
        <v>#N/A</v>
        <stp/>
        <stp>##V3_BDHV12</stp>
        <stp>SFSW20 Index</stp>
        <stp>PX_LAST</stp>
        <stp>4/15/2019</stp>
        <stp>4/15/2019</stp>
        <stp>[Basic Pricing.xlsm]FX_Curve_History!R120C6</stp>
        <tr r="F120" s="50"/>
      </tp>
      <tp t="e">
        <v>#N/A</v>
        <stp/>
        <stp>##V3_BDHV12</stp>
        <stp>CDSW12 Index</stp>
        <stp>PX_LAST</stp>
        <stp>4/15/2019</stp>
        <stp>4/15/2019</stp>
        <stp>[Basic Pricing.xlsm]FX_Curve_History!R140C6</stp>
        <tr r="F140" s="50"/>
      </tp>
      <tp t="e">
        <v>#N/A</v>
        <stp/>
        <stp>##V3_BDHV12</stp>
        <stp>CDSW20 Index</stp>
        <stp>PX_LAST</stp>
        <stp>4/15/2019</stp>
        <stp>4/15/2019</stp>
        <stp>[Basic Pricing.xlsm]FX_Curve_History!R142C6</stp>
        <tr r="F142" s="50"/>
      </tp>
      <tp t="e">
        <v>#N/A</v>
        <stp/>
        <stp>##V3_BDPV12</stp>
        <stp>USDJPY Curncy</stp>
        <stp>PX_LAST</stp>
        <stp>[Basic Pricing.xlsm]FX_Live!R9C5</stp>
        <tr r="E9" s="44"/>
      </tp>
      <tp t="e">
        <v>#N/A</v>
        <stp/>
        <stp>##V3_BDHV12</stp>
        <stp>ESU0 Comdty</stp>
        <stp>PX_LAST</stp>
        <stp>4/15/2019</stp>
        <stp>4/15/2019</stp>
        <stp>[Basic Pricing.xlsm]FX_Curve_History!R111C4</stp>
        <tr r="D111" s="50"/>
      </tp>
      <tp t="e">
        <v>#N/A</v>
        <stp/>
        <stp>##V3_BDHV12</stp>
        <stp>BAU0 Comdty</stp>
        <stp>PX_LAST</stp>
        <stp>4/15/2019</stp>
        <stp>4/15/2019</stp>
        <stp>[Basic Pricing.xlsm]FX_Curve_History!R136C4</stp>
        <tr r="D136" s="50"/>
      </tp>
      <tp t="e">
        <v>#N/A</v>
        <stp/>
        <stp>##V3_BDHV12</stp>
        <stp>USSN0A1 CMPN Curncy</stp>
        <stp>PX_LAST</stp>
        <stp>4/15/2019</stp>
        <stp>4/15/2019</stp>
        <stp>[Basic Pricing.xlsm]Vol_Surface!R44C2</stp>
        <tr r="B44" s="53"/>
      </tp>
      <tp t="e">
        <v>#N/A</v>
        <stp/>
        <stp>##V3_BDHV12</stp>
        <stp>USSN0I2 CMPN Curncy</stp>
        <stp>PX_LAST</stp>
        <stp>4/15/2019</stp>
        <stp>4/15/2019</stp>
        <stp>[Basic Pricing.xlsm]Vol_Surface!R47C3</stp>
        <tr r="C47" s="53"/>
      </tp>
      <tp t="e">
        <v>#N/A</v>
        <stp/>
        <stp>##V3_BDHV12</stp>
        <stp>USSN101 CMPN Curncy</stp>
        <stp>PX_LAST</stp>
        <stp>4/15/2019</stp>
        <stp>4/15/2019</stp>
        <stp>[Basic Pricing.xlsm]Vol_Surface!R54C2</stp>
        <tr r="B54" s="53"/>
      </tp>
      <tp t="e">
        <v>#N/A</v>
        <stp/>
        <stp>##V3_BDHV12</stp>
        <stp>USSN0F3 CMPN Curncy</stp>
        <stp>PX_LAST</stp>
        <stp>4/15/2019</stp>
        <stp>4/15/2019</stp>
        <stp>[Basic Pricing.xlsm]Vol_Surface!R46C4</stp>
        <tr r="D46" s="53"/>
      </tp>
      <tp t="e">
        <v>#N/A</v>
        <stp/>
        <stp>##V3_BDHV12</stp>
        <stp>USSN044 CMPN Curncy</stp>
        <stp>PX_LAST</stp>
        <stp>4/15/2019</stp>
        <stp>4/15/2019</stp>
        <stp>[Basic Pricing.xlsm]Vol_Surface!R51C5</stp>
        <tr r="E51" s="53"/>
      </tp>
      <tp t="e">
        <v>#N/A</v>
        <stp/>
        <stp>##V3_BDHV12</stp>
        <stp>USSN035 CMPN Curncy</stp>
        <stp>PX_LAST</stp>
        <stp>4/15/2019</stp>
        <stp>4/15/2019</stp>
        <stp>[Basic Pricing.xlsm]Vol_Surface!R50C6</stp>
        <tr r="F50" s="53"/>
      </tp>
      <tp t="e">
        <v>#N/A</v>
        <stp/>
        <stp>##V3_BDHV12</stp>
        <stp>USSN076 CMPN Curncy</stp>
        <stp>PX_LAST</stp>
        <stp>4/15/2019</stp>
        <stp>4/15/2019</stp>
        <stp>[Basic Pricing.xlsm]Vol_Surface!R53C7</stp>
        <tr r="G53" s="53"/>
      </tp>
      <tp t="e">
        <v>#N/A</v>
        <stp/>
        <stp>##V3_BDHV12</stp>
        <stp>USSN057 CMPN Curncy</stp>
        <stp>PX_LAST</stp>
        <stp>4/15/2019</stp>
        <stp>4/15/2019</stp>
        <stp>[Basic Pricing.xlsm]Vol_Surface!R52C8</stp>
        <tr r="H52" s="53"/>
      </tp>
      <tp t="e">
        <v>#N/A</v>
        <stp/>
        <stp>##V3_BDHV12</stp>
        <stp>JPY5M BGN Curncy</stp>
        <stp>PX_LAST</stp>
        <stp>4/15/2019</stp>
        <stp>4/15/2019</stp>
        <stp>[Basic Pricing.xlsm]FXFR!R75C4</stp>
        <tr r="D75" s="46"/>
      </tp>
      <tp t="e">
        <v>#N/A</v>
        <stp/>
        <stp>##V3_BDHV12</stp>
        <stp>USSW6 Index</stp>
        <stp>PX_LAST</stp>
        <stp>4/15/2019</stp>
        <stp>4/15/2019</stp>
        <stp>[Basic Pricing.xlsm]FX_Curve_History!R10C6</stp>
        <tr r="F10" s="50"/>
      </tp>
      <tp t="e">
        <v>#N/A</v>
        <stp/>
        <stp>##V3_BDHV12</stp>
        <stp>CLSWIB5 CMPN Index</stp>
        <stp>Close</stp>
        <stp>04/15/2019 15:00:00</stp>
        <stp>04/15/2019 15:01:00</stp>
        <stp>[Basic Pricing.xlsm]Rate_History!R184C18</stp>
        <stp>BarType</stp>
        <stp>T</stp>
        <stp>Dir=V</stp>
        <tr r="R184" s="49"/>
      </tp>
      <tp t="e">
        <v>#N/A</v>
        <stp/>
        <stp>##V3_BDHV12</stp>
        <stp>JYSW6 Index</stp>
        <stp>PX_LAST</stp>
        <stp>4/15/2019</stp>
        <stp>4/15/2019</stp>
        <stp>[Basic Pricing.xlsm]FX_Curve_History!R60C6</stp>
        <tr r="F60" s="50"/>
      </tp>
      <tp t="e">
        <v>#N/A</v>
        <stp/>
        <stp>##V3_BDPV12</stp>
        <stp>YEU0 Comdty</stp>
        <stp>PX_LAST</stp>
        <stp>[Basic Pricing.xlsm]FX_Curve_Live!R61C4</stp>
        <tr r="D61" s="42"/>
      </tp>
      <tp t="e">
        <v>#N/A</v>
        <stp/>
        <stp>##V3_BDHV12</stp>
        <stp>USSN0C1 CMPN Curncy</stp>
        <stp>PX_LAST</stp>
        <stp>4/15/2019</stp>
        <stp>4/15/2019</stp>
        <stp>[Basic Pricing.xlsm]Vol_Surface!R45C2</stp>
        <tr r="B45" s="53"/>
      </tp>
      <tp t="e">
        <v>#N/A</v>
        <stp/>
        <stp>##V3_BDHV12</stp>
        <stp>USSN0F2 CMPN Curncy</stp>
        <stp>PX_LAST</stp>
        <stp>4/15/2019</stp>
        <stp>4/15/2019</stp>
        <stp>[Basic Pricing.xlsm]Vol_Surface!R46C3</stp>
        <tr r="C46" s="53"/>
      </tp>
      <tp t="e">
        <v>#N/A</v>
        <stp/>
        <stp>##V3_BDHV12</stp>
        <stp>USSN0I3 CMPN Curncy</stp>
        <stp>PX_LAST</stp>
        <stp>4/15/2019</stp>
        <stp>4/15/2019</stp>
        <stp>[Basic Pricing.xlsm]Vol_Surface!R47C4</stp>
        <tr r="D47" s="53"/>
      </tp>
      <tp t="e">
        <v>#N/A</v>
        <stp/>
        <stp>##V3_BDHV12</stp>
        <stp>USSN034 CMPN Curncy</stp>
        <stp>PX_LAST</stp>
        <stp>4/15/2019</stp>
        <stp>4/15/2019</stp>
        <stp>[Basic Pricing.xlsm]Vol_Surface!R50C5</stp>
        <tr r="E50" s="53"/>
      </tp>
      <tp t="e">
        <v>#N/A</v>
        <stp/>
        <stp>##V3_BDHV12</stp>
        <stp>USSN045 CMPN Curncy</stp>
        <stp>PX_LAST</stp>
        <stp>4/15/2019</stp>
        <stp>4/15/2019</stp>
        <stp>[Basic Pricing.xlsm]Vol_Surface!R51C6</stp>
        <tr r="F51" s="53"/>
      </tp>
      <tp t="e">
        <v>#N/A</v>
        <stp/>
        <stp>##V3_BDHV12</stp>
        <stp>USSN056 CMPN Curncy</stp>
        <stp>PX_LAST</stp>
        <stp>4/15/2019</stp>
        <stp>4/15/2019</stp>
        <stp>[Basic Pricing.xlsm]Vol_Surface!R52C7</stp>
        <tr r="G52" s="53"/>
      </tp>
      <tp t="e">
        <v>#N/A</v>
        <stp/>
        <stp>##V3_BDHV12</stp>
        <stp>USSN077 CMPN Curncy</stp>
        <stp>PX_LAST</stp>
        <stp>4/15/2019</stp>
        <stp>4/15/2019</stp>
        <stp>[Basic Pricing.xlsm]Vol_Surface!R53C8</stp>
        <tr r="H53" s="53"/>
      </tp>
      <tp t="e">
        <v>#N/A</v>
        <stp/>
        <stp>##V3_BDPV12</stp>
        <stp>US0002m Index</stp>
        <stp>PX_LAST</stp>
        <stp>[Basic Pricing.xlsm]FX_Curve_Live!R8C2</stp>
        <tr r="B8" s="42"/>
      </tp>
      <tp t="e">
        <v>#N/A</v>
        <stp/>
        <stp>##V3_BDPV12</stp>
        <stp>US0003m Index</stp>
        <stp>PX_LAST</stp>
        <stp>[Basic Pricing.xlsm]FX_Curve_Live!R9C2</stp>
        <tr r="B9" s="42"/>
      </tp>
      <tp t="e">
        <v>#N/A</v>
        <stp/>
        <stp>##V3_BDHV12</stp>
        <stp>GBP1M BGN Curncy</stp>
        <stp>PX_LAST</stp>
        <stp>4/15/2019</stp>
        <stp>4/15/2019</stp>
        <stp>[Basic Pricing.xlsm]FXFR!R49C4</stp>
        <tr r="D49" s="46"/>
      </tp>
      <tp t="e">
        <v>#N/A</v>
        <stp/>
        <stp>##V3_BDHV12</stp>
        <stp>JPY4M BGN Curncy</stp>
        <stp>PX_LAST</stp>
        <stp>4/15/2019</stp>
        <stp>4/15/2019</stp>
        <stp>[Basic Pricing.xlsm]FXFR!R74C4</stp>
        <tr r="D74" s="46"/>
      </tp>
      <tp t="e">
        <v>#N/A</v>
        <stp/>
        <stp>##V3_BDHV12</stp>
        <stp>CDSW12 CMPN Curncy</stp>
        <stp>Close</stp>
        <stp>04/15/2019 15:00:00</stp>
        <stp>04/15/2019 15:01:00</stp>
        <stp>[Basic Pricing.xlsm]Rate_History!R140C18</stp>
        <stp>BarType</stp>
        <stp>T</stp>
        <stp>Dir=V</stp>
        <stp>cols=2;rows=1</stp>
        <tr r="R140" s="49"/>
      </tp>
      <tp t="e">
        <v>#N/A</v>
        <stp/>
        <stp>##V3_BDHV12</stp>
        <stp>CDSW15 CMPN Curncy</stp>
        <stp>Close</stp>
        <stp>04/15/2019 15:00:00</stp>
        <stp>04/15/2019 15:01:00</stp>
        <stp>[Basic Pricing.xlsm]Rate_History!R141C18</stp>
        <stp>BarType</stp>
        <stp>T</stp>
        <stp>Dir=V</stp>
        <stp>cols=2;rows=1</stp>
        <tr r="R141" s="49"/>
      </tp>
      <tp t="e">
        <v>#N/A</v>
        <stp/>
        <stp>##V3_BDHV12</stp>
        <stp>USSW7 Index</stp>
        <stp>PX_LAST</stp>
        <stp>4/15/2019</stp>
        <stp>4/15/2019</stp>
        <stp>[Basic Pricing.xlsm]FX_Curve_History!R11C6</stp>
        <tr r="F11" s="50"/>
      </tp>
      <tp t="e">
        <v>#N/A</v>
        <stp/>
        <stp>##V3_BDPV12</stp>
        <stp>JYSW20 Index</stp>
        <stp>PX_LAST</stp>
        <stp>[Basic Pricing.xlsm]FX_Curve_Live!R72C6</stp>
        <tr r="F72" s="42"/>
      </tp>
      <tp t="e">
        <v>#N/A</v>
        <stp/>
        <stp>##V3_BDHV12</stp>
        <stp>CLSWIB4 CMPN Index</stp>
        <stp>Close</stp>
        <stp>04/15/2019 15:00:00</stp>
        <stp>04/15/2019 15:01:00</stp>
        <stp>[Basic Pricing.xlsm]Rate_History!R183C18</stp>
        <stp>BarType</stp>
        <stp>T</stp>
        <stp>Dir=V</stp>
        <tr r="R183" s="49"/>
      </tp>
      <tp t="e">
        <v>#N/A</v>
        <stp/>
        <stp>##V3_BDHV12</stp>
        <stp>BPSW2 Index</stp>
        <stp>PX_LAST</stp>
        <stp>4/15/2019</stp>
        <stp>4/15/2019</stp>
        <stp>[Basic Pricing.xlsm]FX_Curve_History!R81C6</stp>
        <tr r="F81" s="50"/>
      </tp>
      <tp t="e">
        <v>#N/A</v>
        <stp/>
        <stp>##V3_BDHV12</stp>
        <stp>JYSW7 Index</stp>
        <stp>PX_LAST</stp>
        <stp>4/15/2019</stp>
        <stp>4/15/2019</stp>
        <stp>[Basic Pricing.xlsm]FX_Curve_History!R61C6</stp>
        <tr r="F61" s="50"/>
      </tp>
      <tp t="e">
        <v>#N/A</v>
        <stp/>
        <stp>##V3_BDHV12</stp>
        <stp>BAH1 Comdty</stp>
        <stp>PX_LAST</stp>
        <stp>4/15/2019</stp>
        <stp>4/15/2019</stp>
        <stp>[Basic Pricing.xlsm]FX_Curve_History!R138C4</stp>
        <tr r="D138" s="50"/>
      </tp>
      <tp t="e">
        <v>#N/A</v>
        <stp/>
        <stp>##V3_BDPV12</stp>
        <stp>YEM0 Comdty</stp>
        <stp>PX_LAST</stp>
        <stp>[Basic Pricing.xlsm]FX_Curve_Live!R60C4</stp>
        <tr r="D60" s="42"/>
      </tp>
      <tp t="e">
        <v>#N/A</v>
        <stp/>
        <stp>##V3_BDHV12</stp>
        <stp>USSN202 CMPN Curncy</stp>
        <stp>PX_LAST</stp>
        <stp>4/15/2019</stp>
        <stp>4/15/2019</stp>
        <stp>[Basic Pricing.xlsm]Vol_Surface!R55C3</stp>
        <tr r="C55" s="53"/>
      </tp>
      <tp t="e">
        <v>#N/A</v>
        <stp/>
        <stp>##V3_BDHV12</stp>
        <stp>USSN0F1 CMPN Curncy</stp>
        <stp>PX_LAST</stp>
        <stp>4/15/2019</stp>
        <stp>4/15/2019</stp>
        <stp>[Basic Pricing.xlsm]Vol_Surface!R46C2</stp>
        <tr r="B46" s="53"/>
      </tp>
      <tp t="e">
        <v>#N/A</v>
        <stp/>
        <stp>##V3_BDHV12</stp>
        <stp>USSN0C2 CMPN Curncy</stp>
        <stp>PX_LAST</stp>
        <stp>4/15/2019</stp>
        <stp>4/15/2019</stp>
        <stp>[Basic Pricing.xlsm]Vol_Surface!R45C3</stp>
        <tr r="C45" s="53"/>
      </tp>
      <tp t="e">
        <v>#N/A</v>
        <stp/>
        <stp>##V3_BDHV12</stp>
        <stp>USSN0A3 CMPN Curncy</stp>
        <stp>PX_LAST</stp>
        <stp>4/15/2019</stp>
        <stp>4/15/2019</stp>
        <stp>[Basic Pricing.xlsm]Vol_Surface!R44C4</stp>
        <tr r="D44" s="53"/>
      </tp>
      <tp t="e">
        <v>#N/A</v>
        <stp/>
        <stp>##V3_BDHV12</stp>
        <stp>USSN074 CMPN Curncy</stp>
        <stp>PX_LAST</stp>
        <stp>4/15/2019</stp>
        <stp>4/15/2019</stp>
        <stp>[Basic Pricing.xlsm]Vol_Surface!R53C5</stp>
        <tr r="E53" s="53"/>
      </tp>
      <tp t="e">
        <v>#N/A</v>
        <stp/>
        <stp>##V3_BDHV12</stp>
        <stp>USSN055 CMPN Curncy</stp>
        <stp>PX_LAST</stp>
        <stp>4/15/2019</stp>
        <stp>4/15/2019</stp>
        <stp>[Basic Pricing.xlsm]Vol_Surface!R52C6</stp>
        <tr r="F52" s="53"/>
      </tp>
      <tp t="e">
        <v>#N/A</v>
        <stp/>
        <stp>##V3_BDHV12</stp>
        <stp>USSN046 CMPN Curncy</stp>
        <stp>PX_LAST</stp>
        <stp>4/15/2019</stp>
        <stp>4/15/2019</stp>
        <stp>[Basic Pricing.xlsm]Vol_Surface!R51C7</stp>
        <tr r="G51" s="53"/>
      </tp>
      <tp t="e">
        <v>#N/A</v>
        <stp/>
        <stp>##V3_BDHV12</stp>
        <stp>USSN037 CMPN Curncy</stp>
        <stp>PX_LAST</stp>
        <stp>4/15/2019</stp>
        <stp>4/15/2019</stp>
        <stp>[Basic Pricing.xlsm]Vol_Surface!R50C8</stp>
        <tr r="H50" s="53"/>
      </tp>
      <tp t="e">
        <v>#N/A</v>
        <stp/>
        <stp>##V3_BDHV12</stp>
        <stp>SFSW8 Index</stp>
        <stp>PX_LAST</stp>
        <stp>4/15/2019</stp>
        <stp>4/15/2019</stp>
        <stp>[Basic Pricing.xlsm]FX_Curve_History!R112C6</stp>
        <tr r="F112" s="50"/>
      </tp>
      <tp t="e">
        <v>#N/A</v>
        <stp/>
        <stp>##V3_BDHV12</stp>
        <stp>SFSW9 Index</stp>
        <stp>PX_LAST</stp>
        <stp>4/15/2019</stp>
        <stp>4/15/2019</stp>
        <stp>[Basic Pricing.xlsm]FX_Curve_History!R113C6</stp>
        <tr r="F113" s="50"/>
      </tp>
      <tp t="e">
        <v>#N/A</v>
        <stp/>
        <stp>##V3_BDPV12</stp>
        <stp>EUSA8 Index</stp>
        <stp>PX_LAST</stp>
        <stp>[Basic Pricing.xlsm]FX_Curve_Live!R37C6</stp>
        <tr r="F37" s="42"/>
      </tp>
      <tp t="e">
        <v>#N/A</v>
        <stp/>
        <stp>##V3_BDHV12</stp>
        <stp>EUR2M BGN Curncy</stp>
        <stp>PX_LAST</stp>
        <stp>4/15/2019</stp>
        <stp>4/15/2019</stp>
        <stp>[Basic Pricing.xlsm]FXFR!R28C4</stp>
        <tr r="D28" s="46"/>
      </tp>
      <tp t="e">
        <v>#N/A</v>
        <stp/>
        <stp>##V3_BDHV12</stp>
        <stp>JPY9M BGN Curncy</stp>
        <stp>PX_LAST</stp>
        <stp>4/15/2019</stp>
        <stp>4/15/2019</stp>
        <stp>[Basic Pricing.xlsm]FXFR!R77C4</stp>
        <tr r="D77" s="46"/>
      </tp>
      <tp t="e">
        <v>#N/A</v>
        <stp/>
        <stp>##V3_BDHV12</stp>
        <stp>CDSW20 CMPN Curncy</stp>
        <stp>Close</stp>
        <stp>04/15/2019 15:00:00</stp>
        <stp>04/15/2019 15:01:00</stp>
        <stp>[Basic Pricing.xlsm]Rate_History!R142C18</stp>
        <stp>BarType</stp>
        <stp>T</stp>
        <stp>Dir=V</stp>
        <stp>cols=2;rows=1</stp>
        <tr r="R142" s="49"/>
      </tp>
      <tp t="e">
        <v>#N/A</v>
        <stp/>
        <stp>##V3_BDHV12</stp>
        <stp>CDSW25 CMPN Curncy</stp>
        <stp>Close</stp>
        <stp>04/15/2019 15:00:00</stp>
        <stp>04/15/2019 15:01:00</stp>
        <stp>[Basic Pricing.xlsm]Rate_History!R143C18</stp>
        <stp>BarType</stp>
        <stp>T</stp>
        <stp>Dir=V</stp>
        <stp>cols=2;rows=1</stp>
        <tr r="R143" s="49"/>
      </tp>
      <tp t="e">
        <v>#N/A</v>
        <stp/>
        <stp>##V3_BDPV12</stp>
        <stp>EUSA25 Index</stp>
        <stp>PX_LAST</stp>
        <stp>[Basic Pricing.xlsm]FX_Curve_Live!R48C6</stp>
        <tr r="F48" s="42"/>
      </tp>
      <tp t="e">
        <v>#N/A</v>
        <stp/>
        <stp>##V3_BDHV12</stp>
        <stp>CLSWIB7 CMPN Index</stp>
        <stp>Close</stp>
        <stp>04/15/2019 15:00:00</stp>
        <stp>04/15/2019 15:01:00</stp>
        <stp>[Basic Pricing.xlsm]Rate_History!R186C18</stp>
        <stp>BarType</stp>
        <stp>T</stp>
        <stp>Dir=V</stp>
        <tr r="R186" s="49"/>
      </tp>
      <tp t="e">
        <v>#N/A</v>
        <stp/>
        <stp>##V3_BDHV12</stp>
        <stp>USSW8 Index</stp>
        <stp>PX_LAST</stp>
        <stp>4/15/2019</stp>
        <stp>4/15/2019</stp>
        <stp>[Basic Pricing.xlsm]FX_Curve_History!R12C6</stp>
        <tr r="F12" s="50"/>
      </tp>
      <tp t="e">
        <v>#N/A</v>
        <stp/>
        <stp>##V3_BDHV12</stp>
        <stp>BPSW3 Index</stp>
        <stp>PX_LAST</stp>
        <stp>4/15/2019</stp>
        <stp>4/15/2019</stp>
        <stp>[Basic Pricing.xlsm]FX_Curve_History!R82C6</stp>
        <tr r="F82" s="50"/>
      </tp>
      <tp t="e">
        <v>#N/A</v>
        <stp/>
        <stp>##V3_BDHV12</stp>
        <stp>JYSW8 Index</stp>
        <stp>PX_LAST</stp>
        <stp>4/15/2019</stp>
        <stp>4/15/2019</stp>
        <stp>[Basic Pricing.xlsm]FX_Curve_History!R62C6</stp>
        <tr r="F62" s="50"/>
      </tp>
      <tp t="e">
        <v>#N/A</v>
        <stp/>
        <stp>##V3_BDPV12</stp>
        <stp>YEH1 Comdty</stp>
        <stp>PX_LAST</stp>
        <stp>[Basic Pricing.xlsm]FX_Curve_Live!R63C4</stp>
        <tr r="D63" s="42"/>
      </tp>
      <tp t="e">
        <v>#N/A</v>
        <stp/>
        <stp>##V3_BDHV12</stp>
        <stp>USSN0I1 CMPN Curncy</stp>
        <stp>PX_LAST</stp>
        <stp>4/15/2019</stp>
        <stp>4/15/2019</stp>
        <stp>[Basic Pricing.xlsm]Vol_Surface!R47C2</stp>
        <tr r="B47" s="53"/>
      </tp>
      <tp t="e">
        <v>#N/A</v>
        <stp/>
        <stp>##V3_BDHV12</stp>
        <stp>USSN102 CMPN Curncy</stp>
        <stp>PX_LAST</stp>
        <stp>4/15/2019</stp>
        <stp>4/15/2019</stp>
        <stp>[Basic Pricing.xlsm]Vol_Surface!R54C3</stp>
        <tr r="C54" s="53"/>
      </tp>
      <tp t="e">
        <v>#N/A</v>
        <stp/>
        <stp>##V3_BDHV12</stp>
        <stp>USSN0A2 CMPN Curncy</stp>
        <stp>PX_LAST</stp>
        <stp>4/15/2019</stp>
        <stp>4/15/2019</stp>
        <stp>[Basic Pricing.xlsm]Vol_Surface!R44C3</stp>
        <tr r="C44" s="53"/>
      </tp>
      <tp t="e">
        <v>#N/A</v>
        <stp/>
        <stp>##V3_BDHV12</stp>
        <stp>USSN0C3 CMPN Curncy</stp>
        <stp>PX_LAST</stp>
        <stp>4/15/2019</stp>
        <stp>4/15/2019</stp>
        <stp>[Basic Pricing.xlsm]Vol_Surface!R45C4</stp>
        <tr r="D45" s="53"/>
      </tp>
      <tp t="e">
        <v>#N/A</v>
        <stp/>
        <stp>##V3_BDHV12</stp>
        <stp>USSN054 CMPN Curncy</stp>
        <stp>PX_LAST</stp>
        <stp>4/15/2019</stp>
        <stp>4/15/2019</stp>
        <stp>[Basic Pricing.xlsm]Vol_Surface!R52C5</stp>
        <tr r="E52" s="53"/>
      </tp>
      <tp t="e">
        <v>#N/A</v>
        <stp/>
        <stp>##V3_BDHV12</stp>
        <stp>USSN075 CMPN Curncy</stp>
        <stp>PX_LAST</stp>
        <stp>4/15/2019</stp>
        <stp>4/15/2019</stp>
        <stp>[Basic Pricing.xlsm]Vol_Surface!R53C6</stp>
        <tr r="F53" s="53"/>
      </tp>
      <tp t="e">
        <v>#N/A</v>
        <stp/>
        <stp>##V3_BDHV12</stp>
        <stp>USSN036 CMPN Curncy</stp>
        <stp>PX_LAST</stp>
        <stp>4/15/2019</stp>
        <stp>4/15/2019</stp>
        <stp>[Basic Pricing.xlsm]Vol_Surface!R50C7</stp>
        <tr r="G50" s="53"/>
      </tp>
      <tp t="e">
        <v>#N/A</v>
        <stp/>
        <stp>##V3_BDHV12</stp>
        <stp>USSN047 CMPN Curncy</stp>
        <stp>PX_LAST</stp>
        <stp>4/15/2019</stp>
        <stp>4/15/2019</stp>
        <stp>[Basic Pricing.xlsm]Vol_Surface!R51C8</stp>
        <tr r="H51" s="53"/>
      </tp>
      <tp t="e">
        <v>#N/A</v>
        <stp/>
        <stp>##V3_BDPV12</stp>
        <stp>USDCHF Curncy</stp>
        <stp>PX_LAST</stp>
        <stp>[Basic Pricing.xlsm]FX_Live!R14C5</stp>
        <tr r="E14" s="44"/>
      </tp>
      <tp t="e">
        <v>#N/A</v>
        <stp/>
        <stp>##V3_BDHV12</stp>
        <stp>EUSWEC Curncy</stp>
        <stp>PX_LAST</stp>
        <stp>4/15/2019</stp>
        <stp>4/15/2019</stp>
        <stp>[Basic Pricing.xlsm]FX_Curve_History!R31C2</stp>
        <tr r="B31" s="50"/>
      </tp>
      <tp t="e">
        <v>#N/A</v>
        <stp/>
        <stp>##V3_BDHV12</stp>
        <stp>BPSW40 CMPN Curncy</stp>
        <stp>Close</stp>
        <stp>04/15/2019 11:15:00</stp>
        <stp>04/15/2019 11:16:00</stp>
        <stp>[Basic Pricing.xlsm]Rate_History!R100C18</stp>
        <stp>BarType</stp>
        <stp>T</stp>
        <stp>Dir=V</stp>
        <stp>cols=2;rows=1</stp>
        <tr r="R100" s="49"/>
      </tp>
      <tp t="e">
        <v>#N/A</v>
        <stp/>
        <stp>##V3_BDHV12</stp>
        <stp>EUR3M BGN Curncy</stp>
        <stp>PX_LAST</stp>
        <stp>4/15/2019</stp>
        <stp>4/15/2019</stp>
        <stp>[Basic Pricing.xlsm]FXFR!R29C4</stp>
        <tr r="D29" s="46"/>
      </tp>
      <tp t="e">
        <v>#N/A</v>
        <stp/>
        <stp>##V3_BDHV12</stp>
        <stp>JPY6M BGN Curncy</stp>
        <stp>PX_LAST</stp>
        <stp>4/15/2019</stp>
        <stp>4/15/2019</stp>
        <stp>[Basic Pricing.xlsm]FXFR!R76C4</stp>
        <tr r="D76" s="46"/>
      </tp>
      <tp t="e">
        <v>#N/A</v>
        <stp/>
        <stp>##V3_BDHV12</stp>
        <stp>CDSW30 CMPN Curncy</stp>
        <stp>Close</stp>
        <stp>04/15/2019 15:00:00</stp>
        <stp>04/15/2019 15:01:00</stp>
        <stp>[Basic Pricing.xlsm]Rate_History!R144C18</stp>
        <stp>BarType</stp>
        <stp>T</stp>
        <stp>Dir=V</stp>
        <stp>cols=2;rows=1</stp>
        <tr r="R144" s="49"/>
      </tp>
      <tp t="e">
        <v>#N/A</v>
        <stp/>
        <stp>##V3_BDPV12</stp>
        <stp>BPSW10 Index</stp>
        <stp>PX_LAST</stp>
        <stp>[Basic Pricing.xlsm]FX_Curve_Live!R89C6</stp>
        <tr r="F89" s="42"/>
      </tp>
      <tp t="e">
        <v>#N/A</v>
        <stp/>
        <stp>##V3_BDPV12</stp>
        <stp>BPSW30 Index</stp>
        <stp>PX_LAST</stp>
        <stp>[Basic Pricing.xlsm]FX_Curve_Live!R99C6</stp>
        <tr r="F99" s="42"/>
      </tp>
      <tp t="e">
        <v>#N/A</v>
        <stp/>
        <stp>##V3_BDHV12</stp>
        <stp>CLSWIB6 CMPN Index</stp>
        <stp>Close</stp>
        <stp>04/15/2019 15:00:00</stp>
        <stp>04/15/2019 15:01:00</stp>
        <stp>[Basic Pricing.xlsm]Rate_History!R185C18</stp>
        <stp>BarType</stp>
        <stp>T</stp>
        <stp>Dir=V</stp>
        <tr r="R185" s="49"/>
      </tp>
      <tp t="e">
        <v>#N/A</v>
        <stp/>
        <stp>##V3_BDHV12</stp>
        <stp>USSW9 Index</stp>
        <stp>PX_LAST</stp>
        <stp>4/15/2019</stp>
        <stp>4/15/2019</stp>
        <stp>[Basic Pricing.xlsm]FX_Curve_History!R13C6</stp>
        <tr r="F13" s="50"/>
      </tp>
      <tp t="e">
        <v>#N/A</v>
        <stp/>
        <stp>##V3_BDHV12</stp>
        <stp>SFSW14 Index</stp>
        <stp>PX_LAST</stp>
        <stp>4/15/2019</stp>
        <stp>4/15/2019</stp>
        <stp>[Basic Pricing.xlsm]FX_Curve_History!R118C6</stp>
        <tr r="F118" s="50"/>
      </tp>
      <tp t="e">
        <v>#N/A</v>
        <stp/>
        <stp>##V3_BDHV12</stp>
        <stp>SFSW15 Index</stp>
        <stp>PX_LAST</stp>
        <stp>4/15/2019</stp>
        <stp>4/15/2019</stp>
        <stp>[Basic Pricing.xlsm]FX_Curve_History!R119C6</stp>
        <tr r="F119" s="50"/>
      </tp>
      <tp t="e">
        <v>#N/A</v>
        <stp/>
        <stp>##V3_BDHV12</stp>
        <stp>JYSW9 Index</stp>
        <stp>PX_LAST</stp>
        <stp>4/15/2019</stp>
        <stp>4/15/2019</stp>
        <stp>[Basic Pricing.xlsm]FX_Curve_History!R63C6</stp>
        <tr r="F63" s="50"/>
      </tp>
      <tp t="e">
        <v>#N/A</v>
        <stp/>
        <stp>##V3_BDPV12</stp>
        <stp>CORRRMIN Index</stp>
        <stp>PX_LAST</stp>
        <stp>[Basic Pricing.xlsm]FX_Curve_Live!R181C2</stp>
        <tr r="B181" s="42"/>
      </tp>
      <tp t="e">
        <v>#N/A</v>
        <stp/>
        <stp>##V3_BDHV12</stp>
        <stp>BPSW4 Index</stp>
        <stp>PX_LAST</stp>
        <stp>4/15/2019</stp>
        <stp>4/15/2019</stp>
        <stp>[Basic Pricing.xlsm]FX_Curve_History!R83C6</stp>
        <tr r="F83" s="50"/>
      </tp>
      <tp t="e">
        <v>#N/A</v>
        <stp/>
        <stp>##V3_BDPV12</stp>
        <stp>YEZ0 Comdty</stp>
        <stp>PX_LAST</stp>
        <stp>[Basic Pricing.xlsm]FX_Curve_Live!R62C4</stp>
        <tr r="D62" s="42"/>
      </tp>
      <tp t="e">
        <v>#N/A</v>
        <stp/>
        <stp>##V3_BDHV12</stp>
        <stp>USSN031 CMPN Curncy</stp>
        <stp>PX_LAST</stp>
        <stp>4/15/2019</stp>
        <stp>4/15/2019</stp>
        <stp>[Basic Pricing.xlsm]Vol_Surface!R50C2</stp>
        <tr r="B50" s="53"/>
      </tp>
      <tp t="e">
        <v>#N/A</v>
        <stp/>
        <stp>##V3_BDHV12</stp>
        <stp>USSN053 CMPN Curncy</stp>
        <stp>PX_LAST</stp>
        <stp>4/15/2019</stp>
        <stp>4/15/2019</stp>
        <stp>[Basic Pricing.xlsm]Vol_Surface!R52C4</stp>
        <tr r="D52" s="53"/>
      </tp>
      <tp t="e">
        <v>#N/A</v>
        <stp/>
        <stp>##V3_BDHV12</stp>
        <stp>USSN0C4 CMPN Curncy</stp>
        <stp>PX_LAST</stp>
        <stp>4/15/2019</stp>
        <stp>4/15/2019</stp>
        <stp>[Basic Pricing.xlsm]Vol_Surface!R45C5</stp>
        <tr r="E45" s="53"/>
      </tp>
      <tp t="e">
        <v>#N/A</v>
        <stp/>
        <stp>##V3_BDHV12</stp>
        <stp>USSN0A5 CMPN Curncy</stp>
        <stp>PX_LAST</stp>
        <stp>4/15/2019</stp>
        <stp>4/15/2019</stp>
        <stp>[Basic Pricing.xlsm]Vol_Surface!R44C6</stp>
        <tr r="F44" s="53"/>
      </tp>
      <tp t="e">
        <v>#N/A</v>
        <stp/>
        <stp>##V3_BDHV12</stp>
        <stp>USSN0I6 CMPN Curncy</stp>
        <stp>PX_LAST</stp>
        <stp>4/15/2019</stp>
        <stp>4/15/2019</stp>
        <stp>[Basic Pricing.xlsm]Vol_Surface!R47C7</stp>
        <tr r="G47" s="53"/>
      </tp>
      <tp t="e">
        <v>#N/A</v>
        <stp/>
        <stp>##V3_BDHV12</stp>
        <stp>USSN105 CMPN Curncy</stp>
        <stp>PX_LAST</stp>
        <stp>4/15/2019</stp>
        <stp>4/15/2019</stp>
        <stp>[Basic Pricing.xlsm]Vol_Surface!R54C6</stp>
        <tr r="F54" s="53"/>
      </tp>
      <tp t="e">
        <v>#N/A</v>
        <stp/>
        <stp>##V3_BDHV12</stp>
        <stp>USSN0F7 CMPN Curncy</stp>
        <stp>PX_LAST</stp>
        <stp>4/15/2019</stp>
        <stp>4/15/2019</stp>
        <stp>[Basic Pricing.xlsm]Vol_Surface!R46C8</stp>
        <tr r="H46" s="53"/>
      </tp>
      <tp t="e">
        <v>#N/A</v>
        <stp/>
        <stp>##V3_BDHV12</stp>
        <stp>USSN028 CMPN Curncy</stp>
        <stp>PX_LAST</stp>
        <stp>4/15/2019</stp>
        <stp>4/15/2019</stp>
        <stp>[Basic Pricing.xlsm]Vol_Surface!R49C9</stp>
        <tr r="I49" s="53"/>
      </tp>
      <tp t="e">
        <v>#N/A</v>
        <stp/>
        <stp>##V3_BDHV12</stp>
        <stp>SFSW4 Index</stp>
        <stp>PX_LAST</stp>
        <stp>4/15/2019</stp>
        <stp>4/15/2019</stp>
        <stp>[Basic Pricing.xlsm]FX_Curve_History!R108C6</stp>
        <tr r="F108" s="50"/>
      </tp>
      <tp t="e">
        <v>#N/A</v>
        <stp/>
        <stp>##V3_BDHV12</stp>
        <stp>SFSW5 Index</stp>
        <stp>PX_LAST</stp>
        <stp>4/15/2019</stp>
        <stp>4/15/2019</stp>
        <stp>[Basic Pricing.xlsm]FX_Curve_History!R109C6</stp>
        <tr r="F109" s="50"/>
      </tp>
      <tp t="e">
        <v>#N/A</v>
        <stp/>
        <stp>##V3_BDPV12</stp>
        <stp>SFSW4 Index</stp>
        <stp>PX_LAST</stp>
        <stp>[Basic Pricing.xlsm]Rate_Live!R108C6</stp>
        <tr r="F108" s="39"/>
      </tp>
      <tp t="e">
        <v>#N/A</v>
        <stp/>
        <stp>##V3_BDPV12</stp>
        <stp>JYSW6 Index</stp>
        <stp>PX_LAST</stp>
        <stp>[Basic Pricing.xlsm]FX_Curve_Live!R60C6</stp>
        <tr r="F60" s="42"/>
      </tp>
      <tp t="e">
        <v>#N/A</v>
        <stp/>
        <stp>##V3_BDPV12</stp>
        <stp>JYSW7 Index</stp>
        <stp>PX_LAST</stp>
        <stp>[Basic Pricing.xlsm]FX_Curve_Live!R61C6</stp>
        <tr r="F61" s="42"/>
      </tp>
      <tp t="e">
        <v>#N/A</v>
        <stp/>
        <stp>##V3_BDHV12</stp>
        <stp>CAD6M BGN Curncy</stp>
        <stp>PX_LAST</stp>
        <stp>4/15/2019</stp>
        <stp>4/15/2019</stp>
        <stp>[Basic Pricing.xlsm]FXFR!R98C4</stp>
        <tr r="D98" s="46"/>
      </tp>
      <tp t="e">
        <v>#N/A</v>
        <stp/>
        <stp>##V3_BDHV12</stp>
        <stp>JPY1M BGN Curncy</stp>
        <stp>PX_LAST</stp>
        <stp>4/15/2019</stp>
        <stp>4/15/2019</stp>
        <stp>[Basic Pricing.xlsm]FXFR!R71C4</stp>
        <tr r="D71" s="46"/>
      </tp>
      <tp t="e">
        <v>#N/A</v>
        <stp/>
        <stp>##V3_BDHV12</stp>
        <stp>CDSW40 CMPN Curncy</stp>
        <stp>Close</stp>
        <stp>04/15/2019 15:00:00</stp>
        <stp>04/15/2019 15:01:00</stp>
        <stp>[Basic Pricing.xlsm]Rate_History!R145C18</stp>
        <stp>BarType</stp>
        <stp>T</stp>
        <stp>Dir=V</stp>
        <stp>cols=2;rows=1</stp>
        <tr r="R145" s="49"/>
      </tp>
      <tp t="e">
        <v>#N/A</v>
        <stp/>
        <stp>##V3_BDHV12</stp>
        <stp>CDSW10 Index</stp>
        <stp>PX_LAST</stp>
        <stp>4/15/2019</stp>
        <stp>4/15/2019</stp>
        <stp>[Basic Pricing.xlsm]FX_Curve_History!R139C6</stp>
        <tr r="F139" s="50"/>
      </tp>
      <tp t="e">
        <v>#N/A</v>
        <stp/>
        <stp>##V3_BDHV12</stp>
        <stp>BPSW5 Index</stp>
        <stp>PX_LAST</stp>
        <stp>4/15/2019</stp>
        <stp>4/15/2019</stp>
        <stp>[Basic Pricing.xlsm]FX_Curve_History!R84C6</stp>
        <tr r="F84" s="50"/>
      </tp>
      <tp t="e">
        <v>#N/A</v>
        <stp/>
        <stp>##V3_BDHV12</stp>
        <stp>USSN041 CMPN Curncy</stp>
        <stp>PX_LAST</stp>
        <stp>4/15/2019</stp>
        <stp>4/15/2019</stp>
        <stp>[Basic Pricing.xlsm]Vol_Surface!R51C2</stp>
        <tr r="B51" s="53"/>
      </tp>
      <tp t="e">
        <v>#N/A</v>
        <stp/>
        <stp>##V3_BDHV12</stp>
        <stp>USSN052 CMPN Curncy</stp>
        <stp>PX_LAST</stp>
        <stp>4/15/2019</stp>
        <stp>4/15/2019</stp>
        <stp>[Basic Pricing.xlsm]Vol_Surface!R52C3</stp>
        <tr r="C52" s="53"/>
      </tp>
      <tp t="e">
        <v>#N/A</v>
        <stp/>
        <stp>##V3_BDHV12</stp>
        <stp>USSN205 CMPN Curncy</stp>
        <stp>PX_LAST</stp>
        <stp>4/15/2019</stp>
        <stp>4/15/2019</stp>
        <stp>[Basic Pricing.xlsm]Vol_Surface!R55C6</stp>
        <tr r="F55" s="53"/>
      </tp>
      <tp t="e">
        <v>#N/A</v>
        <stp/>
        <stp>##V3_BDHV12</stp>
        <stp>USSN073 CMPN Curncy</stp>
        <stp>PX_LAST</stp>
        <stp>4/15/2019</stp>
        <stp>4/15/2019</stp>
        <stp>[Basic Pricing.xlsm]Vol_Surface!R53C4</stp>
        <tr r="D53" s="53"/>
      </tp>
      <tp t="e">
        <v>#N/A</v>
        <stp/>
        <stp>##V3_BDHV12</stp>
        <stp>USSN0A4 CMPN Curncy</stp>
        <stp>PX_LAST</stp>
        <stp>4/15/2019</stp>
        <stp>4/15/2019</stp>
        <stp>[Basic Pricing.xlsm]Vol_Surface!R44C5</stp>
        <tr r="E44" s="53"/>
      </tp>
      <tp t="e">
        <v>#N/A</v>
        <stp/>
        <stp>##V3_BDHV12</stp>
        <stp>USSN0C5 CMPN Curncy</stp>
        <stp>PX_LAST</stp>
        <stp>4/15/2019</stp>
        <stp>4/15/2019</stp>
        <stp>[Basic Pricing.xlsm]Vol_Surface!R45C6</stp>
        <tr r="F45" s="53"/>
      </tp>
      <tp t="e">
        <v>#N/A</v>
        <stp/>
        <stp>##V3_BDHV12</stp>
        <stp>USSN0F6 CMPN Curncy</stp>
        <stp>PX_LAST</stp>
        <stp>4/15/2019</stp>
        <stp>4/15/2019</stp>
        <stp>[Basic Pricing.xlsm]Vol_Surface!R46C7</stp>
        <tr r="G46" s="53"/>
      </tp>
      <tp t="e">
        <v>#N/A</v>
        <stp/>
        <stp>##V3_BDHV12</stp>
        <stp>USSN0I7 CMPN Curncy</stp>
        <stp>PX_LAST</stp>
        <stp>4/15/2019</stp>
        <stp>4/15/2019</stp>
        <stp>[Basic Pricing.xlsm]Vol_Surface!R47C8</stp>
        <tr r="H47" s="53"/>
      </tp>
      <tp t="e">
        <v>#N/A</v>
        <stp/>
        <stp>##V3_BDHV12</stp>
        <stp>USSN018 CMPN Curncy</stp>
        <stp>PX_LAST</stp>
        <stp>4/15/2019</stp>
        <stp>4/15/2019</stp>
        <stp>[Basic Pricing.xlsm]Vol_Surface!R48C9</stp>
        <tr r="I48" s="53"/>
      </tp>
      <tp t="e">
        <v>#N/A</v>
        <stp/>
        <stp>##V3_BDPV12</stp>
        <stp>SFSW5 Index</stp>
        <stp>PX_LAST</stp>
        <stp>[Basic Pricing.xlsm]Rate_Live!R109C6</stp>
        <tr r="F109" s="39"/>
      </tp>
      <tp t="e">
        <v>#N/A</v>
        <stp/>
        <stp>##V3_BDPV12</stp>
        <stp>BPSW8 Index</stp>
        <stp>PX_LAST</stp>
        <stp>[Basic Pricing.xlsm]FX_Curve_Live!R87C6</stp>
        <tr r="F87" s="42"/>
      </tp>
      <tp t="e">
        <v>#N/A</v>
        <stp/>
        <stp>##V3_BDHV12</stp>
        <stp>CAD9M BGN Curncy</stp>
        <stp>PX_LAST</stp>
        <stp>4/15/2019</stp>
        <stp>4/15/2019</stp>
        <stp>[Basic Pricing.xlsm]FXFR!R99C4</stp>
        <tr r="D99" s="46"/>
      </tp>
      <tp t="e">
        <v>#N/A</v>
        <stp/>
        <stp>##V3_BDPV12</stp>
        <stp>USSW14 Index</stp>
        <stp>PX_LAST</stp>
        <stp>[Basic Pricing.xlsm]FX_Curve_Live!R18C6</stp>
        <tr r="F18" s="42"/>
      </tp>
      <tp t="e">
        <v>#N/A</v>
        <stp/>
        <stp>##V3_BDPV12</stp>
        <stp>USSW15 Index</stp>
        <stp>PX_LAST</stp>
        <stp>[Basic Pricing.xlsm]FX_Curve_Live!R19C6</stp>
        <tr r="F19" s="42"/>
      </tp>
      <tp t="e">
        <v>#N/A</v>
        <stp/>
        <stp>##V3_BDPV12</stp>
        <stp>JYSW25 Index</stp>
        <stp>PX_LAST</stp>
        <stp>[Basic Pricing.xlsm]FX_Curve_Live!R73C6</stp>
        <tr r="F73" s="42"/>
      </tp>
      <tp t="e">
        <v>#N/A</v>
        <stp/>
        <stp>##V3_BDPV12</stp>
        <stp>JYSW16 Index</stp>
        <stp>PX_LAST</stp>
        <stp>[Basic Pricing.xlsm]FX_Curve_Live!R70C6</stp>
        <tr r="F70" s="42"/>
      </tp>
      <tp t="e">
        <v>#N/A</v>
        <stp/>
        <stp>##V3_BDPV12</stp>
        <stp>JYSW17 Index</stp>
        <stp>PX_LAST</stp>
        <stp>[Basic Pricing.xlsm]FX_Curve_Live!R71C6</stp>
        <tr r="F71" s="42"/>
      </tp>
      <tp t="e">
        <v>#N/A</v>
        <stp/>
        <stp>##V3_BDHV12</stp>
        <stp>BPSW6 Index</stp>
        <stp>PX_LAST</stp>
        <stp>4/15/2019</stp>
        <stp>4/15/2019</stp>
        <stp>[Basic Pricing.xlsm]FX_Curve_History!R85C6</stp>
        <tr r="F85" s="50"/>
      </tp>
      <tp t="e">
        <v>#N/A</v>
        <stp/>
        <stp>##V3_BDHV12</stp>
        <stp>JPY12M BGN Curncy</stp>
        <stp>PX_LAST</stp>
        <stp>4/15/2019</stp>
        <stp>4/15/2019</stp>
        <stp>[Basic Pricing.xlsm]FXFR!R78C4</stp>
        <tr r="D78" s="46"/>
      </tp>
      <tp t="e">
        <v>#N/A</v>
        <stp/>
        <stp>##V3_BDHV12</stp>
        <stp>USSN051 CMPN Curncy</stp>
        <stp>PX_LAST</stp>
        <stp>4/15/2019</stp>
        <stp>4/15/2019</stp>
        <stp>[Basic Pricing.xlsm]Vol_Surface!R52C2</stp>
        <tr r="B52" s="53"/>
      </tp>
      <tp t="e">
        <v>#N/A</v>
        <stp/>
        <stp>##V3_BDHV12</stp>
        <stp>USSN042 CMPN Curncy</stp>
        <stp>PX_LAST</stp>
        <stp>4/15/2019</stp>
        <stp>4/15/2019</stp>
        <stp>[Basic Pricing.xlsm]Vol_Surface!R51C3</stp>
        <tr r="C51" s="53"/>
      </tp>
      <tp t="e">
        <v>#N/A</v>
        <stp/>
        <stp>##V3_BDHV12</stp>
        <stp>USSN033 CMPN Curncy</stp>
        <stp>PX_LAST</stp>
        <stp>4/15/2019</stp>
        <stp>4/15/2019</stp>
        <stp>[Basic Pricing.xlsm]Vol_Surface!R50C4</stp>
        <tr r="D50" s="53"/>
      </tp>
      <tp t="e">
        <v>#N/A</v>
        <stp/>
        <stp>##V3_BDHV12</stp>
        <stp>USSN0I4 CMPN Curncy</stp>
        <stp>PX_LAST</stp>
        <stp>4/15/2019</stp>
        <stp>4/15/2019</stp>
        <stp>[Basic Pricing.xlsm]Vol_Surface!R47C5</stp>
        <tr r="E47" s="53"/>
      </tp>
      <tp t="e">
        <v>#N/A</v>
        <stp/>
        <stp>##V3_BDHV12</stp>
        <stp>USSN0F5 CMPN Curncy</stp>
        <stp>PX_LAST</stp>
        <stp>4/15/2019</stp>
        <stp>4/15/2019</stp>
        <stp>[Basic Pricing.xlsm]Vol_Surface!R46C6</stp>
        <tr r="F46" s="53"/>
      </tp>
      <tp t="e">
        <v>#N/A</v>
        <stp/>
        <stp>##V3_BDHV12</stp>
        <stp>USSN0C6 CMPN Curncy</stp>
        <stp>PX_LAST</stp>
        <stp>4/15/2019</stp>
        <stp>4/15/2019</stp>
        <stp>[Basic Pricing.xlsm]Vol_Surface!R45C7</stp>
        <tr r="G45" s="53"/>
      </tp>
      <tp t="e">
        <v>#N/A</v>
        <stp/>
        <stp>##V3_BDHV12</stp>
        <stp>USSN0A7 CMPN Curncy</stp>
        <stp>PX_LAST</stp>
        <stp>4/15/2019</stp>
        <stp>4/15/2019</stp>
        <stp>[Basic Pricing.xlsm]Vol_Surface!R44C8</stp>
        <tr r="H44" s="53"/>
      </tp>
      <tp t="e">
        <v>#N/A</v>
        <stp/>
        <stp>##V3_BDPV12</stp>
        <stp>CDSW9 Index</stp>
        <stp>PX_LAST</stp>
        <stp>[Basic Pricing.xlsm]Rate_Live!R138C6</stp>
        <tr r="F138" s="39"/>
      </tp>
      <tp t="e">
        <v>#N/A</v>
        <stp/>
        <stp>##V3_BDPV12</stp>
        <stp>USDCOP Curncy</stp>
        <stp>PX_LAST</stp>
        <stp>[Basic Pricing.xlsm]FX_Live!R16C5</stp>
        <tr r="E16" s="44"/>
      </tp>
      <tp t="e">
        <v>#N/A</v>
        <stp/>
        <stp>##V3_BDPV12</stp>
        <stp>JYSW2 Index</stp>
        <stp>PX_LAST</stp>
        <stp>[Basic Pricing.xlsm]FX_Curve_Live!R56C6</stp>
        <tr r="F56" s="42"/>
      </tp>
      <tp t="e">
        <v>#N/A</v>
        <stp/>
        <stp>##V3_BDPV12</stp>
        <stp>JYSW3 Index</stp>
        <stp>PX_LAST</stp>
        <stp>[Basic Pricing.xlsm]FX_Curve_Live!R57C6</stp>
        <tr r="F57" s="42"/>
      </tp>
      <tp t="e">
        <v>#N/A</v>
        <stp/>
        <stp>##V3_BDHV12</stp>
        <stp>CDSW10 CMPN Curncy</stp>
        <stp>Close</stp>
        <stp>04/15/2019 15:00:00</stp>
        <stp>04/15/2019 15:01:00</stp>
        <stp>[Basic Pricing.xlsm]Rate_History!R139C18</stp>
        <stp>BarType</stp>
        <stp>T</stp>
        <stp>Dir=V</stp>
        <stp>cols=2;rows=1</stp>
        <tr r="R139" s="49"/>
      </tp>
      <tp t="e">
        <v>#N/A</v>
        <stp/>
        <stp>##V3_BDHV12</stp>
        <stp>JPY3M BGN Curncy</stp>
        <stp>PX_LAST</stp>
        <stp>4/15/2019</stp>
        <stp>4/15/2019</stp>
        <stp>[Basic Pricing.xlsm]FXFR!R73C4</stp>
        <tr r="D73" s="46"/>
      </tp>
      <tp t="e">
        <v>#N/A</v>
        <stp/>
        <stp>##V3_BDPV12</stp>
        <stp>SFSW14 Index</stp>
        <stp>PX_LAST</stp>
        <stp>[Basic Pricing.xlsm]FX_Curve_Live!R118C6</stp>
        <tr r="F118" s="42"/>
      </tp>
      <tp t="e">
        <v>#N/A</v>
        <stp/>
        <stp>##V3_BDPV12</stp>
        <stp>EUSA30 Index</stp>
        <stp>PX_LAST</stp>
        <stp>[Basic Pricing.xlsm]FX_Curve_Live!R49C6</stp>
        <tr r="F49" s="42"/>
      </tp>
      <tp t="e">
        <v>#N/A</v>
        <stp/>
        <stp>##V3_BDPV12</stp>
        <stp>EUSA10 Index</stp>
        <stp>PX_LAST</stp>
        <stp>[Basic Pricing.xlsm]FX_Curve_Live!R39C6</stp>
        <tr r="F39" s="42"/>
      </tp>
      <tp t="e">
        <v>#N/A</v>
        <stp/>
        <stp>##V3_BDPV12</stp>
        <stp>JYSW40 Index</stp>
        <stp>PX_LAST</stp>
        <stp>[Basic Pricing.xlsm]FX_Curve_Live!R75C6</stp>
        <tr r="F75" s="42"/>
      </tp>
      <tp t="e">
        <v>#N/A</v>
        <stp/>
        <stp>##V3_BDHV12</stp>
        <stp>CLSWIB3 CMPN Index</stp>
        <stp>Close</stp>
        <stp>04/15/2019 15:00:00</stp>
        <stp>04/15/2019 15:01:00</stp>
        <stp>[Basic Pricing.xlsm]Rate_History!R182C18</stp>
        <stp>BarType</stp>
        <stp>T</stp>
        <stp>Dir=V</stp>
        <tr r="R182" s="49"/>
      </tp>
      <tp t="e">
        <v>#N/A</v>
        <stp/>
        <stp>##V3_BDHV12</stp>
        <stp>BPSW7 Index</stp>
        <stp>PX_LAST</stp>
        <stp>4/15/2019</stp>
        <stp>4/15/2019</stp>
        <stp>[Basic Pricing.xlsm]FX_Curve_History!R86C6</stp>
        <tr r="F86" s="50"/>
      </tp>
      <tp t="e">
        <v>#N/A</v>
        <stp/>
        <stp>##V3_BDHV12</stp>
        <stp>HASWDI1Y CMPN Curncy</stp>
        <stp>Close</stp>
        <stp>04/15/2019 11:15:00</stp>
        <stp>04/15/2019 11:16:00</stp>
        <stp>[Basic Pricing.xlsm]Rate_History!R156C18</stp>
        <stp>BarType</stp>
        <stp>T</stp>
        <stp>Dir=V</stp>
        <tr r="R156" s="49"/>
      </tp>
      <tp t="e">
        <v>#N/A</v>
        <stp/>
        <stp>##V3_BDHV12</stp>
        <stp>HASWDI3Y CMPN Curncy</stp>
        <stp>Close</stp>
        <stp>04/15/2019 11:15:00</stp>
        <stp>04/15/2019 11:16:00</stp>
        <stp>[Basic Pricing.xlsm]Rate_History!R158C18</stp>
        <stp>BarType</stp>
        <stp>T</stp>
        <stp>Dir=V</stp>
        <tr r="R158" s="49"/>
      </tp>
      <tp t="e">
        <v>#N/A</v>
        <stp/>
        <stp>##V3_BDHV12</stp>
        <stp>HASWDI2Y CMPN Curncy</stp>
        <stp>Close</stp>
        <stp>04/15/2019 11:15:00</stp>
        <stp>04/15/2019 11:16:00</stp>
        <stp>[Basic Pricing.xlsm]Rate_History!R157C18</stp>
        <stp>BarType</stp>
        <stp>T</stp>
        <stp>Dir=V</stp>
        <tr r="R157" s="49"/>
      </tp>
      <tp t="e">
        <v>#N/A</v>
        <stp/>
        <stp>##V3_BDHV12</stp>
        <stp>HASWDI6Y CMPN Curncy</stp>
        <stp>Close</stp>
        <stp>04/15/2019 11:15:00</stp>
        <stp>04/15/2019 11:16:00</stp>
        <stp>[Basic Pricing.xlsm]Rate_History!R161C18</stp>
        <stp>BarType</stp>
        <stp>T</stp>
        <stp>Dir=V</stp>
        <tr r="R161" s="49"/>
      </tp>
      <tp t="e">
        <v>#N/A</v>
        <stp/>
        <stp>##V3_BDHV12</stp>
        <stp>HASWDI7Y CMPN Curncy</stp>
        <stp>Close</stp>
        <stp>04/15/2019 11:15:00</stp>
        <stp>04/15/2019 11:16:00</stp>
        <stp>[Basic Pricing.xlsm]Rate_History!R162C18</stp>
        <stp>BarType</stp>
        <stp>T</stp>
        <stp>Dir=V</stp>
        <tr r="R162" s="49"/>
      </tp>
      <tp t="e">
        <v>#N/A</v>
        <stp/>
        <stp>##V3_BDHV12</stp>
        <stp>HASWDI4Y CMPN Curncy</stp>
        <stp>Close</stp>
        <stp>04/15/2019 11:15:00</stp>
        <stp>04/15/2019 11:16:00</stp>
        <stp>[Basic Pricing.xlsm]Rate_History!R159C18</stp>
        <stp>BarType</stp>
        <stp>T</stp>
        <stp>Dir=V</stp>
        <tr r="R159" s="49"/>
      </tp>
      <tp t="e">
        <v>#N/A</v>
        <stp/>
        <stp>##V3_BDHV12</stp>
        <stp>HASWDI5Y CMPN Curncy</stp>
        <stp>Close</stp>
        <stp>04/15/2019 11:15:00</stp>
        <stp>04/15/2019 11:16:00</stp>
        <stp>[Basic Pricing.xlsm]Rate_History!R160C18</stp>
        <stp>BarType</stp>
        <stp>T</stp>
        <stp>Dir=V</stp>
        <tr r="R160" s="49"/>
      </tp>
      <tp t="e">
        <v>#N/A</v>
        <stp/>
        <stp>##V3_BDHV12</stp>
        <stp>HASWDI8Y CMPN Curncy</stp>
        <stp>Close</stp>
        <stp>04/15/2019 11:15:00</stp>
        <stp>04/15/2019 11:16:00</stp>
        <stp>[Basic Pricing.xlsm]Rate_History!R163C18</stp>
        <stp>BarType</stp>
        <stp>T</stp>
        <stp>Dir=V</stp>
        <tr r="R163" s="49"/>
      </tp>
      <tp t="e">
        <v>#N/A</v>
        <stp/>
        <stp>##V3_BDHV12</stp>
        <stp>HASWDI9Y CMPN Curncy</stp>
        <stp>Close</stp>
        <stp>04/15/2019 11:15:00</stp>
        <stp>04/15/2019 11:16:00</stp>
        <stp>[Basic Pricing.xlsm]Rate_History!R164C18</stp>
        <stp>BarType</stp>
        <stp>T</stp>
        <stp>Dir=V</stp>
        <tr r="R164" s="49"/>
      </tp>
      <tp t="e">
        <v>#N/A</v>
        <stp/>
        <stp>##V3_BDHV12</stp>
        <stp>JYSW2 Index</stp>
        <stp>PX_LAST</stp>
        <stp>4/15/2019</stp>
        <stp>4/15/2019</stp>
        <stp>[Basic Pricing.xlsm]FX_Curve_History!R56C6</stp>
        <tr r="F56" s="50"/>
      </tp>
      <tp t="e">
        <v>#N/A</v>
        <stp/>
        <stp>##V3_BDHV12</stp>
        <stp>ESZ9 Comdty</stp>
        <stp>PX_LAST</stp>
        <stp>4/15/2019</stp>
        <stp>4/15/2019</stp>
        <stp>[Basic Pricing.xlsm]FX_Curve_History!R108C4</stp>
        <tr r="D108" s="50"/>
      </tp>
      <tp t="e">
        <v>#N/A</v>
        <stp/>
        <stp>##V3_BDPV12</stp>
        <stp>YEU9 Comdty</stp>
        <stp>PX_LAST</stp>
        <stp>[Basic Pricing.xlsm]FX_Curve_Live!R57C4</stp>
        <tr r="D57" s="42"/>
      </tp>
      <tp t="e">
        <v>#N/A</v>
        <stp/>
        <stp>##V3_BDHV12</stp>
        <stp>USSN071 CMPN Curncy</stp>
        <stp>PX_LAST</stp>
        <stp>4/15/2019</stp>
        <stp>4/15/2019</stp>
        <stp>[Basic Pricing.xlsm]Vol_Surface!R53C2</stp>
        <tr r="B53" s="53"/>
      </tp>
      <tp t="e">
        <v>#N/A</v>
        <stp/>
        <stp>##V3_BDHV12</stp>
        <stp>USSN032 CMPN Curncy</stp>
        <stp>PX_LAST</stp>
        <stp>4/15/2019</stp>
        <stp>4/15/2019</stp>
        <stp>[Basic Pricing.xlsm]Vol_Surface!R50C3</stp>
        <tr r="C50" s="53"/>
      </tp>
      <tp t="e">
        <v>#N/A</v>
        <stp/>
        <stp>##V3_BDHV12</stp>
        <stp>USSN043 CMPN Curncy</stp>
        <stp>PX_LAST</stp>
        <stp>4/15/2019</stp>
        <stp>4/15/2019</stp>
        <stp>[Basic Pricing.xlsm]Vol_Surface!R51C4</stp>
        <tr r="D51" s="53"/>
      </tp>
      <tp t="e">
        <v>#N/A</v>
        <stp/>
        <stp>##V3_BDHV12</stp>
        <stp>USSN0F4 CMPN Curncy</stp>
        <stp>PX_LAST</stp>
        <stp>4/15/2019</stp>
        <stp>4/15/2019</stp>
        <stp>[Basic Pricing.xlsm]Vol_Surface!R46C5</stp>
        <tr r="E46" s="53"/>
      </tp>
      <tp t="e">
        <v>#N/A</v>
        <stp/>
        <stp>##V3_BDHV12</stp>
        <stp>USSN0I5 CMPN Curncy</stp>
        <stp>PX_LAST</stp>
        <stp>4/15/2019</stp>
        <stp>4/15/2019</stp>
        <stp>[Basic Pricing.xlsm]Vol_Surface!R47C6</stp>
        <tr r="F47" s="53"/>
      </tp>
      <tp t="e">
        <v>#N/A</v>
        <stp/>
        <stp>##V3_BDHV12</stp>
        <stp>USSN0A6 CMPN Curncy</stp>
        <stp>PX_LAST</stp>
        <stp>4/15/2019</stp>
        <stp>4/15/2019</stp>
        <stp>[Basic Pricing.xlsm]Vol_Surface!R44C7</stp>
        <tr r="G44" s="53"/>
      </tp>
      <tp t="e">
        <v>#N/A</v>
        <stp/>
        <stp>##V3_BDHV12</stp>
        <stp>USSN0C7 CMPN Curncy</stp>
        <stp>PX_LAST</stp>
        <stp>4/15/2019</stp>
        <stp>4/15/2019</stp>
        <stp>[Basic Pricing.xlsm]Vol_Surface!R45C8</stp>
        <tr r="H45" s="53"/>
      </tp>
      <tp t="e">
        <v>#N/A</v>
        <stp/>
        <stp>##V3_BDHV12</stp>
        <stp>USSN207 CMPN Curncy</stp>
        <stp>PX_LAST</stp>
        <stp>4/15/2019</stp>
        <stp>4/15/2019</stp>
        <stp>[Basic Pricing.xlsm]Vol_Surface!R55C8</stp>
        <tr r="H55" s="53"/>
      </tp>
      <tp t="e">
        <v>#N/A</v>
        <stp/>
        <stp>##V3_BDHV12</stp>
        <stp>JPY2M BGN Curncy</stp>
        <stp>PX_LAST</stp>
        <stp>4/15/2019</stp>
        <stp>4/15/2019</stp>
        <stp>[Basic Pricing.xlsm]FXFR!R72C4</stp>
        <tr r="D72" s="46"/>
      </tp>
      <tp t="e">
        <v>#N/A</v>
        <stp/>
        <stp>##V3_BDPV12</stp>
        <stp>CDSW10 Index</stp>
        <stp>PX_LAST</stp>
        <stp>[Basic Pricing.xlsm]FX_Curve_Live!R139C6</stp>
        <tr r="F139" s="42"/>
      </tp>
      <tp t="e">
        <v>#N/A</v>
        <stp/>
        <stp>##V3_BDPV12</stp>
        <stp>SFSW15 Index</stp>
        <stp>PX_LAST</stp>
        <stp>[Basic Pricing.xlsm]FX_Curve_Live!R119C6</stp>
        <tr r="F119" s="42"/>
      </tp>
      <tp t="e">
        <v>#N/A</v>
        <stp/>
        <stp>##V3_BDPV12</stp>
        <stp>BPSW25 Index</stp>
        <stp>PX_LAST</stp>
        <stp>[Basic Pricing.xlsm]FX_Curve_Live!R98C6</stp>
        <tr r="F98" s="42"/>
      </tp>
      <tp t="e">
        <v>#N/A</v>
        <stp/>
        <stp>##V3_BDPV12</stp>
        <stp>JYSW30 Index</stp>
        <stp>PX_LAST</stp>
        <stp>[Basic Pricing.xlsm]FX_Curve_Live!R74C6</stp>
        <tr r="F74" s="42"/>
      </tp>
      <tp t="e">
        <v>#N/A</v>
        <stp/>
        <stp>##V3_BDPV12</stp>
        <stp>JYSW10 Index</stp>
        <stp>PX_LAST</stp>
        <stp>[Basic Pricing.xlsm]FX_Curve_Live!R64C6</stp>
        <tr r="F64" s="42"/>
      </tp>
      <tp t="e">
        <v>#N/A</v>
        <stp/>
        <stp>##V3_BDPV12</stp>
        <stp>JYSW11 Index</stp>
        <stp>PX_LAST</stp>
        <stp>[Basic Pricing.xlsm]FX_Curve_Live!R65C6</stp>
        <tr r="F65" s="42"/>
      </tp>
      <tp t="e">
        <v>#N/A</v>
        <stp/>
        <stp>##V3_BDPV12</stp>
        <stp>JYSW12 Index</stp>
        <stp>PX_LAST</stp>
        <stp>[Basic Pricing.xlsm]FX_Curve_Live!R66C6</stp>
        <tr r="F66" s="42"/>
      </tp>
      <tp t="e">
        <v>#N/A</v>
        <stp/>
        <stp>##V3_BDPV12</stp>
        <stp>JYSW13 Index</stp>
        <stp>PX_LAST</stp>
        <stp>[Basic Pricing.xlsm]FX_Curve_Live!R67C6</stp>
        <tr r="F67" s="42"/>
      </tp>
      <tp t="e">
        <v>#N/A</v>
        <stp/>
        <stp>##V3_BDHV12</stp>
        <stp>CLSWIB2 CMPN Index</stp>
        <stp>Close</stp>
        <stp>04/15/2019 15:00:00</stp>
        <stp>04/15/2019 15:01:00</stp>
        <stp>[Basic Pricing.xlsm]Rate_History!R181C18</stp>
        <stp>BarType</stp>
        <stp>T</stp>
        <stp>Dir=V</stp>
        <tr r="R181" s="49"/>
      </tp>
      <tp t="e">
        <v>#N/A</v>
        <stp/>
        <stp>##V3_BDPV12</stp>
        <stp>USDNOK Curncy</stp>
        <stp>PX_LAST</stp>
        <stp>[Basic Pricing.xlsm]FX_Live!R5C5</stp>
        <tr r="E5" s="44"/>
      </tp>
      <tp t="e">
        <v>#N/A</v>
        <stp/>
        <stp>##V3_BDHV12</stp>
        <stp>JYSW3 Index</stp>
        <stp>PX_LAST</stp>
        <stp>4/15/2019</stp>
        <stp>4/15/2019</stp>
        <stp>[Basic Pricing.xlsm]FX_Curve_History!R57C6</stp>
        <tr r="F57" s="50"/>
      </tp>
      <tp t="e">
        <v>#N/A</v>
        <stp/>
        <stp>##V3_BDHV12</stp>
        <stp>BPSW8 Index</stp>
        <stp>PX_LAST</stp>
        <stp>4/15/2019</stp>
        <stp>4/15/2019</stp>
        <stp>[Basic Pricing.xlsm]FX_Curve_History!R87C6</stp>
        <tr r="F87" s="50"/>
      </tp>
      <tp t="e">
        <v>#N/A</v>
        <stp/>
        <stp>##V3_BDHV12</stp>
        <stp>ESH0 Comdty</stp>
        <stp>PX_LAST</stp>
        <stp>4/15/2019</stp>
        <stp>4/15/2019</stp>
        <stp>[Basic Pricing.xlsm]FX_Curve_History!R109C4</stp>
        <tr r="D109" s="50"/>
      </tp>
      <tp t="e">
        <v>#N/A</v>
        <stp/>
        <stp>##V3_BDPV12</stp>
        <stp>YEM9 Comdty</stp>
        <stp>PX_LAST</stp>
        <stp>[Basic Pricing.xlsm]FX_Curve_Live!R56C4</stp>
        <tr r="D56" s="42"/>
      </tp>
      <tp t="e">
        <v>#N/A</v>
        <stp/>
        <stp>##V3_BDPV12</stp>
        <stp>HASWDI5Y CMPN Curncy</stp>
        <stp>PX_LAST</stp>
        <stp>[Basic Pricing.xlsm]FX_Curve_History!R160C24</stp>
        <tr r="X160" s="50"/>
      </tp>
      <tp t="e">
        <v>#N/A</v>
        <stp/>
        <stp>##V3_BDPV12</stp>
        <stp>HASWDI5Y CMPN Curncy</stp>
        <stp>PX_LAST</stp>
        <stp>[Basic Pricing.xlsm]FX_Curve_History!R160C21</stp>
        <tr r="U160" s="50"/>
      </tp>
      <tp t="e">
        <v>#N/A</v>
        <stp/>
        <stp>##V3_BDHV12</stp>
        <stp>JY00S/N Index</stp>
        <stp>PX_LAST</stp>
        <stp>4/15/2019</stp>
        <stp>4/15/2019</stp>
        <stp>[Basic Pricing.xlsm]FX_Curve_History!R56C2</stp>
        <tr r="B56" s="50"/>
      </tp>
      <tp t="e">
        <v>#N/A</v>
        <stp/>
        <stp>##V3_BDPV12</stp>
        <stp>ERH0 Comdty</stp>
        <stp>PX_LAST</stp>
        <stp>[Basic Pricing.xlsm]Rate_Live!R34C4</stp>
        <tr r="D34" s="39"/>
      </tp>
      <tp t="e">
        <v>#N/A</v>
        <stp/>
        <stp>##V3_BDPV12</stp>
        <stp>SF0002M Index</stp>
        <stp>PX_LAST</stp>
        <stp>[Basic Pricing.xlsm]FX_Curve_Live!R108C2</stp>
        <tr r="B108" s="42"/>
      </tp>
      <tp t="e">
        <v>#N/A</v>
        <stp/>
        <stp>##V3_BDHV12</stp>
        <stp>USSW12 CMPN Curncy</stp>
        <stp>Close</stp>
        <stp>04/15/2019 15:00:00</stp>
        <stp>04/15/2019 15:01:00</stp>
        <stp>[Basic Pricing.xlsm]Rate_History!R16C18</stp>
        <stp>BarType</stp>
        <stp>T</stp>
        <stp>Dir=V</stp>
        <stp>cols=2;rows=1</stp>
        <tr r="R16" s="49"/>
      </tp>
      <tp t="e">
        <v>#N/A</v>
        <stp/>
        <stp>##V3_BDHV12</stp>
        <stp>USSW11 CMPN Curncy</stp>
        <stp>Close</stp>
        <stp>04/15/2019 15:00:00</stp>
        <stp>04/15/2019 15:01:00</stp>
        <stp>[Basic Pricing.xlsm]Rate_History!R15C18</stp>
        <stp>BarType</stp>
        <stp>T</stp>
        <stp>Dir=V</stp>
        <stp>cols=2;rows=1</stp>
        <tr r="R15" s="49"/>
      </tp>
      <tp t="e">
        <v>#N/A</v>
        <stp/>
        <stp>##V3_BDHV12</stp>
        <stp>USSW10 CMPN Curncy</stp>
        <stp>Close</stp>
        <stp>04/15/2019 15:00:00</stp>
        <stp>04/15/2019 15:01:00</stp>
        <stp>[Basic Pricing.xlsm]Rate_History!R14C18</stp>
        <stp>BarType</stp>
        <stp>T</stp>
        <stp>Dir=V</stp>
        <stp>cols=2;rows=1</stp>
        <tr r="R14" s="49"/>
      </tp>
      <tp t="e">
        <v>#N/A</v>
        <stp/>
        <stp>##V3_BDPV12</stp>
        <stp>BAM9 Comdty</stp>
        <stp>PX_LAST</stp>
        <stp>[Basic Pricing.xlsm]Rate_Live!R131C4</stp>
        <tr r="D131" s="39"/>
      </tp>
      <tp t="e">
        <v>#N/A</v>
        <stp/>
        <stp>##V3_BDHV12</stp>
        <stp>USSW15 CMPN Curncy</stp>
        <stp>Close</stp>
        <stp>04/15/2019 15:00:00</stp>
        <stp>04/15/2019 15:01:00</stp>
        <stp>[Basic Pricing.xlsm]Rate_History!R19C18</stp>
        <stp>BarType</stp>
        <stp>T</stp>
        <stp>Dir=V</stp>
        <stp>cols=2;rows=1</stp>
        <tr r="R19" s="49"/>
      </tp>
      <tp t="e">
        <v>#N/A</v>
        <stp/>
        <stp>##V3_BDHV12</stp>
        <stp>USSW14 CMPN Curncy</stp>
        <stp>Close</stp>
        <stp>04/15/2019 15:00:00</stp>
        <stp>04/15/2019 15:01:00</stp>
        <stp>[Basic Pricing.xlsm]Rate_History!R18C18</stp>
        <stp>BarType</stp>
        <stp>T</stp>
        <stp>Dir=V</stp>
        <stp>cols=2;rows=1</stp>
        <tr r="R18" s="49"/>
      </tp>
      <tp t="e">
        <v>#N/A</v>
        <stp/>
        <stp>##V3_BDHV12</stp>
        <stp>JYSW3 CMPN Curncy</stp>
        <stp>Close</stp>
        <stp>04/15/2019 15:00:00</stp>
        <stp>04/15/2019 15:01:00</stp>
        <stp>[Basic Pricing.xlsm]Rate_History!R57C18</stp>
        <stp>BarType</stp>
        <stp>T</stp>
        <stp>Dir=V</stp>
        <tr r="R57" s="49"/>
      </tp>
      <tp t="e">
        <v>#N/A</v>
        <stp/>
        <stp>##V3_BDHV12</stp>
        <stp>HASWDI9Y CMPN Curncy</stp>
        <stp>LAST_PRICE</stp>
        <stp>4/15/2019</stp>
        <stp>4/15/2019</stp>
        <stp>[Basic Pricing.xlsm]FX_Curve_Live!R164C20</stp>
        <tr r="T164" s="42"/>
      </tp>
      <tp t="e">
        <v>#N/A</v>
        <stp/>
        <stp>##V3_BDHV12</stp>
        <stp>USSW30 Index</stp>
        <stp>PX_LAST</stp>
        <stp>4/15/2019</stp>
        <stp>4/15/2019</stp>
        <stp>[Basic Pricing.xlsm]FX_Curve_History!R24C6</stp>
        <tr r="F24" s="50"/>
      </tp>
      <tp t="e">
        <v>#N/A</v>
        <stp/>
        <stp>##V3_BDHV12</stp>
        <stp>USSW12 Index</stp>
        <stp>PX_LAST</stp>
        <stp>4/15/2019</stp>
        <stp>4/15/2019</stp>
        <stp>[Basic Pricing.xlsm]FX_Curve_History!R16C6</stp>
        <tr r="F16" s="50"/>
      </tp>
      <tp t="e">
        <v>#N/A</v>
        <stp/>
        <stp>##V3_BDHV12</stp>
        <stp>JYSW12 CMPN Curncy</stp>
        <stp>Close</stp>
        <stp>04/15/2019 15:00:00</stp>
        <stp>04/15/2019 15:01:00</stp>
        <stp>[Basic Pricing.xlsm]Rate_History!R66C18</stp>
        <stp>BarType</stp>
        <stp>T</stp>
        <stp>Dir=V</stp>
        <tr r="R66" s="49"/>
      </tp>
      <tp t="e">
        <v>#N/A</v>
        <stp/>
        <stp>##V3_BDPV12</stp>
        <stp>HASWDI4Y CMPN Curncy</stp>
        <stp>PX_LAST</stp>
        <stp>[Basic Pricing.xlsm]FX_Curve_History!R159C24</stp>
        <tr r="X159" s="50"/>
      </tp>
      <tp t="e">
        <v>#N/A</v>
        <stp/>
        <stp>##V3_BDPV12</stp>
        <stp>HASWDI4Y CMPN Curncy</stp>
        <stp>PX_LAST</stp>
        <stp>[Basic Pricing.xlsm]FX_Curve_History!R159C21</stp>
        <tr r="U159" s="50"/>
      </tp>
      <tp t="e">
        <v>#N/A</v>
        <stp/>
        <stp>##V3_BDPV12</stp>
        <stp>ERM0 Comdty</stp>
        <stp>PX_LAST</stp>
        <stp>[Basic Pricing.xlsm]Rate_Live!R35C4</stp>
        <tr r="D35" s="39"/>
      </tp>
      <tp t="e">
        <v>#N/A</v>
        <stp/>
        <stp>##V3_BDPV12</stp>
        <stp>SF0003M Index</stp>
        <stp>PX_LAST</stp>
        <stp>[Basic Pricing.xlsm]FX_Curve_Live!R109C2</stp>
        <tr r="B109" s="42"/>
      </tp>
      <tp t="e">
        <v>#N/A</v>
        <stp/>
        <stp>##V3_BDHV12</stp>
        <stp>JYSW2 CMPN Curncy</stp>
        <stp>Close</stp>
        <stp>04/15/2019 15:00:00</stp>
        <stp>04/15/2019 15:01:00</stp>
        <stp>[Basic Pricing.xlsm]Rate_History!R56C18</stp>
        <stp>BarType</stp>
        <stp>T</stp>
        <stp>Dir=V</stp>
        <tr r="R56" s="49"/>
      </tp>
      <tp t="e">
        <v>#N/A</v>
        <stp/>
        <stp>##V3_BDHV12</stp>
        <stp>HASWDI8Y CMPN Curncy</stp>
        <stp>LAST_PRICE</stp>
        <stp>4/15/2019</stp>
        <stp>4/15/2019</stp>
        <stp>[Basic Pricing.xlsm]FX_Curve_Live!R163C20</stp>
        <tr r="T163" s="42"/>
      </tp>
      <tp t="e">
        <v>#N/A</v>
        <stp/>
        <stp>##V3_BDHV12</stp>
        <stp>USSW13 Index</stp>
        <stp>PX_LAST</stp>
        <stp>4/15/2019</stp>
        <stp>4/15/2019</stp>
        <stp>[Basic Pricing.xlsm]FX_Curve_History!R17C6</stp>
        <tr r="F17" s="50"/>
      </tp>
      <tp t="e">
        <v>#N/A</v>
        <stp/>
        <stp>##V3_BDHV12</stp>
        <stp>EDH0 Comdty</stp>
        <stp>PX_LAST</stp>
        <stp>4/15/2019</stp>
        <stp>4/15/2019</stp>
        <stp>[Basic Pricing.xlsm]Rate_History!R9C4</stp>
        <tr r="D9" s="49"/>
      </tp>
      <tp t="e">
        <v>#N/A</v>
        <stp/>
        <stp>##V3_BDHV12</stp>
        <stp>JYSW13 CMPN Curncy</stp>
        <stp>Close</stp>
        <stp>04/15/2019 15:00:00</stp>
        <stp>04/15/2019 15:01:00</stp>
        <stp>[Basic Pricing.xlsm]Rate_History!R67C18</stp>
        <stp>BarType</stp>
        <stp>T</stp>
        <stp>Dir=V</stp>
        <tr r="R67" s="49"/>
      </tp>
      <tp t="e">
        <v>#N/A</v>
        <stp/>
        <stp>##V3_BDPV12</stp>
        <stp>HASWDI7Y CMPN Curncy</stp>
        <stp>PX_LAST</stp>
        <stp>[Basic Pricing.xlsm]FX_Curve_History!R162C24</stp>
        <tr r="X162" s="50"/>
      </tp>
      <tp t="e">
        <v>#N/A</v>
        <stp/>
        <stp>##V3_BDPV12</stp>
        <stp>HASWDI7Y CMPN Curncy</stp>
        <stp>PX_LAST</stp>
        <stp>[Basic Pricing.xlsm]FX_Curve_History!R162C21</stp>
        <tr r="U162" s="50"/>
      </tp>
      <tp t="e">
        <v>#N/A</v>
        <stp/>
        <stp>##V3_BDPV12</stp>
        <stp>ERU0 Comdty</stp>
        <stp>PX_LAST</stp>
        <stp>[Basic Pricing.xlsm]Rate_Live!R36C4</stp>
        <tr r="D36" s="39"/>
      </tp>
      <tp t="e">
        <v>#N/A</v>
        <stp/>
        <stp>##V3_BDPV12</stp>
        <stp>BAZ9 Comdty</stp>
        <stp>PX_LAST</stp>
        <stp>[Basic Pricing.xlsm]Rate_Live!R133C4</stp>
        <tr r="D133" s="39"/>
      </tp>
      <tp t="e">
        <v>#N/A</v>
        <stp/>
        <stp>##V3_BDHV12</stp>
        <stp>USSW10 Index</stp>
        <stp>PX_LAST</stp>
        <stp>4/15/2019</stp>
        <stp>4/15/2019</stp>
        <stp>[Basic Pricing.xlsm]FX_Curve_History!R14C6</stp>
        <tr r="F14" s="50"/>
      </tp>
      <tp t="e">
        <v>#N/A</v>
        <stp/>
        <stp>##V3_BDPV12</stp>
        <stp>USSW6 Index</stp>
        <stp>PX_LAST</stp>
        <stp>[Basic Pricing.xlsm]Rate_Live!R10C6</stp>
        <tr r="F10" s="39"/>
      </tp>
      <tp t="e">
        <v>#N/A</v>
        <stp/>
        <stp>##V3_BDPV12</stp>
        <stp>USSW7 Index</stp>
        <stp>PX_LAST</stp>
        <stp>[Basic Pricing.xlsm]Rate_Live!R11C6</stp>
        <tr r="F11" s="39"/>
      </tp>
      <tp t="e">
        <v>#N/A</v>
        <stp/>
        <stp>##V3_BDHV12</stp>
        <stp>JYSW20 CMPN Curncy</stp>
        <stp>Close</stp>
        <stp>04/15/2019 15:00:00</stp>
        <stp>04/15/2019 15:01:00</stp>
        <stp>[Basic Pricing.xlsm]Rate_History!R72C18</stp>
        <stp>BarType</stp>
        <stp>T</stp>
        <stp>Dir=V</stp>
        <tr r="R72" s="49"/>
      </tp>
      <tp t="e">
        <v>#N/A</v>
        <stp/>
        <stp>##V3_BDHV12</stp>
        <stp>JYSW40 CMPN Curncy</stp>
        <stp>Close</stp>
        <stp>04/15/2019 15:00:00</stp>
        <stp>04/15/2019 15:01:00</stp>
        <stp>[Basic Pricing.xlsm]Rate_History!R75C18</stp>
        <stp>BarType</stp>
        <stp>T</stp>
        <stp>Dir=V</stp>
        <tr r="R75" s="49"/>
      </tp>
      <tp t="e">
        <v>#N/A</v>
        <stp/>
        <stp>##V3_BDHV12</stp>
        <stp>JYSW30 CMPN Curncy</stp>
        <stp>Close</stp>
        <stp>04/15/2019 15:00:00</stp>
        <stp>04/15/2019 15:01:00</stp>
        <stp>[Basic Pricing.xlsm]Rate_History!R74C18</stp>
        <stp>BarType</stp>
        <stp>T</stp>
        <stp>Dir=V</stp>
        <tr r="R74" s="49"/>
      </tp>
      <tp t="e">
        <v>#N/A</v>
        <stp/>
        <stp>##V3_BDHV12</stp>
        <stp>JYSW10 CMPN Curncy</stp>
        <stp>Close</stp>
        <stp>04/15/2019 15:00:00</stp>
        <stp>04/15/2019 15:01:00</stp>
        <stp>[Basic Pricing.xlsm]Rate_History!R64C18</stp>
        <stp>BarType</stp>
        <stp>T</stp>
        <stp>Dir=V</stp>
        <tr r="R64" s="49"/>
      </tp>
      <tp t="e">
        <v>#N/A</v>
        <stp/>
        <stp>##V3_BDPV12</stp>
        <stp>HASWDI6Y CMPN Curncy</stp>
        <stp>PX_LAST</stp>
        <stp>[Basic Pricing.xlsm]FX_Curve_History!R161C24</stp>
        <tr r="X161" s="50"/>
      </tp>
      <tp t="e">
        <v>#N/A</v>
        <stp/>
        <stp>##V3_BDPV12</stp>
        <stp>HASWDI6Y CMPN Curncy</stp>
        <stp>PX_LAST</stp>
        <stp>[Basic Pricing.xlsm]FX_Curve_History!R161C21</stp>
        <tr r="U161" s="50"/>
      </tp>
      <tp t="e">
        <v>#N/A</v>
        <stp/>
        <stp>##V3_BDPV12</stp>
        <stp>ERZ0 Comdty</stp>
        <stp>PX_LAST</stp>
        <stp>[Basic Pricing.xlsm]Rate_Live!R37C4</stp>
        <tr r="D37" s="39"/>
      </tp>
      <tp t="e">
        <v>#N/A</v>
        <stp/>
        <stp>##V3_BDPV12</stp>
        <stp>BAU9 Comdty</stp>
        <stp>PX_LAST</stp>
        <stp>[Basic Pricing.xlsm]Rate_Live!R132C4</stp>
        <tr r="D132" s="39"/>
      </tp>
      <tp t="e">
        <v>#N/A</v>
        <stp/>
        <stp>##V3_BDHV12</stp>
        <stp>USSW30 CMPN Curncy</stp>
        <stp>Close</stp>
        <stp>04/15/2019 15:00:00</stp>
        <stp>04/15/2019 15:01:00</stp>
        <stp>[Basic Pricing.xlsm]Rate_History!R24C18</stp>
        <stp>BarType</stp>
        <stp>T</stp>
        <stp>Dir=V</stp>
        <stp>cols=2;rows=1</stp>
        <tr r="R24" s="49"/>
      </tp>
      <tp t="e">
        <v>#N/A</v>
        <stp/>
        <stp>##V3_BDHV12</stp>
        <stp>USSW20 CMPN Curncy</stp>
        <stp>Close</stp>
        <stp>04/15/2019 15:00:00</stp>
        <stp>04/15/2019 15:01:00</stp>
        <stp>[Basic Pricing.xlsm]Rate_History!R22C18</stp>
        <stp>BarType</stp>
        <stp>T</stp>
        <stp>Dir=V</stp>
        <stp>cols=2;rows=1</stp>
        <tr r="R22" s="49"/>
      </tp>
      <tp t="e">
        <v>#N/A</v>
        <stp/>
        <stp>##V3_BDHV12</stp>
        <stp>USSW17 CMPN Curncy</stp>
        <stp>Close</stp>
        <stp>04/15/2019 15:00:00</stp>
        <stp>04/15/2019 15:01:00</stp>
        <stp>[Basic Pricing.xlsm]Rate_History!R21C18</stp>
        <stp>BarType</stp>
        <stp>T</stp>
        <stp>Dir=V</stp>
        <stp>cols=2;rows=1</stp>
        <tr r="R21" s="49"/>
      </tp>
      <tp t="e">
        <v>#N/A</v>
        <stp/>
        <stp>##V3_BDHV12</stp>
        <stp>USSW40 CMPN Curncy</stp>
        <stp>Close</stp>
        <stp>04/15/2019 15:00:00</stp>
        <stp>04/15/2019 15:01:00</stp>
        <stp>[Basic Pricing.xlsm]Rate_History!R25C18</stp>
        <stp>BarType</stp>
        <stp>T</stp>
        <stp>Dir=V</stp>
        <stp>cols=2;rows=1</stp>
        <tr r="R25" s="49"/>
      </tp>
      <tp t="e">
        <v>#N/A</v>
        <stp/>
        <stp>##V3_BDHV12</stp>
        <stp>USSW25 CMPN Curncy</stp>
        <stp>Close</stp>
        <stp>04/15/2019 15:00:00</stp>
        <stp>04/15/2019 15:01:00</stp>
        <stp>[Basic Pricing.xlsm]Rate_History!R23C18</stp>
        <stp>BarType</stp>
        <stp>T</stp>
        <stp>Dir=V</stp>
        <stp>cols=2;rows=1</stp>
        <tr r="R23" s="49"/>
      </tp>
      <tp t="e">
        <v>#N/A</v>
        <stp/>
        <stp>##V3_BDHV12</stp>
        <stp>USSW16 CMPN Curncy</stp>
        <stp>Close</stp>
        <stp>04/15/2019 15:00:00</stp>
        <stp>04/15/2019 15:01:00</stp>
        <stp>[Basic Pricing.xlsm]Rate_History!R20C18</stp>
        <stp>BarType</stp>
        <stp>T</stp>
        <stp>Dir=V</stp>
        <stp>cols=2;rows=1</stp>
        <tr r="R20" s="49"/>
      </tp>
      <tp t="e">
        <v>#N/A</v>
        <stp/>
        <stp>##V3_BDHV12</stp>
        <stp>USSW11 Index</stp>
        <stp>PX_LAST</stp>
        <stp>4/15/2019</stp>
        <stp>4/15/2019</stp>
        <stp>[Basic Pricing.xlsm]FX_Curve_History!R15C6</stp>
        <tr r="F15" s="50"/>
      </tp>
      <tp t="e">
        <v>#N/A</v>
        <stp/>
        <stp>##V3_BDHV12</stp>
        <stp>JYSW11 CMPN Curncy</stp>
        <stp>Close</stp>
        <stp>04/15/2019 15:00:00</stp>
        <stp>04/15/2019 15:01:00</stp>
        <stp>[Basic Pricing.xlsm]Rate_History!R65C18</stp>
        <stp>BarType</stp>
        <stp>T</stp>
        <stp>Dir=V</stp>
        <tr r="R65" s="49"/>
      </tp>
      <tp t="e">
        <v>#N/A</v>
        <stp/>
        <stp>##V3_BDPV12</stp>
        <stp>HASWDI1Y CMPN Curncy</stp>
        <stp>PX_LAST</stp>
        <stp>[Basic Pricing.xlsm]FX_Curve_History!R156C24</stp>
        <tr r="X156" s="50"/>
      </tp>
      <tp t="e">
        <v>#N/A</v>
        <stp/>
        <stp>##V3_BDPV12</stp>
        <stp>HASWDI1Y CMPN Curncy</stp>
        <stp>PX_LAST</stp>
        <stp>[Basic Pricing.xlsm]FX_Curve_History!R156C21</stp>
        <tr r="U156" s="50"/>
      </tp>
      <tp t="e">
        <v>#N/A</v>
        <stp/>
        <stp>##V3_BDPV12</stp>
        <stp>HASWDI10Y CMPN Curncy</stp>
        <stp>PX_LAST</stp>
        <stp>[Basic Pricing.xlsm]FX_Curve_History!R171C21</stp>
        <tr r="U171" s="50"/>
      </tp>
      <tp t="e">
        <v>#N/A</v>
        <stp/>
        <stp>##V3_BDPV12</stp>
        <stp>HASWDI10Y CMPN Curncy</stp>
        <stp>PX_LAST</stp>
        <stp>[Basic Pricing.xlsm]FX_Curve_History!R170C21</stp>
        <tr r="U170" s="50"/>
      </tp>
      <tp t="e">
        <v>#N/A</v>
        <stp/>
        <stp>##V3_BDPV12</stp>
        <stp>HASWDI10Y CMPN Curncy</stp>
        <stp>PX_LAST</stp>
        <stp>[Basic Pricing.xlsm]FX_Curve_History!R172C21</stp>
        <tr r="U172" s="50"/>
      </tp>
      <tp t="e">
        <v>#N/A</v>
        <stp/>
        <stp>##V3_BDPV12</stp>
        <stp>HASWDI10Y CMPN Curncy</stp>
        <stp>PX_LAST</stp>
        <stp>[Basic Pricing.xlsm]FX_Curve_History!R165C21</stp>
        <tr r="U165" s="50"/>
      </tp>
      <tp t="e">
        <v>#N/A</v>
        <stp/>
        <stp>##V3_BDPV12</stp>
        <stp>HASWDI10Y CMPN Curncy</stp>
        <stp>PX_LAST</stp>
        <stp>[Basic Pricing.xlsm]FX_Curve_History!R167C21</stp>
        <tr r="U167" s="50"/>
      </tp>
      <tp t="e">
        <v>#N/A</v>
        <stp/>
        <stp>##V3_BDPV12</stp>
        <stp>HASWDI10Y CMPN Curncy</stp>
        <stp>PX_LAST</stp>
        <stp>[Basic Pricing.xlsm]FX_Curve_History!R166C21</stp>
        <tr r="U166" s="50"/>
      </tp>
      <tp t="e">
        <v>#N/A</v>
        <stp/>
        <stp>##V3_BDPV12</stp>
        <stp>HASWDI10Y CMPN Curncy</stp>
        <stp>PX_LAST</stp>
        <stp>[Basic Pricing.xlsm]FX_Curve_History!R169C21</stp>
        <tr r="U169" s="50"/>
      </tp>
      <tp t="e">
        <v>#N/A</v>
        <stp/>
        <stp>##V3_BDPV12</stp>
        <stp>HASWDI10Y CMPN Curncy</stp>
        <stp>PX_LAST</stp>
        <stp>[Basic Pricing.xlsm]FX_Curve_History!R168C21</stp>
        <tr r="U168" s="50"/>
      </tp>
      <tp t="e">
        <v>#N/A</v>
        <stp/>
        <stp>##V3_BDPV12</stp>
        <stp>HASWDI10Y CMPN Curncy</stp>
        <stp>PX_LAST</stp>
        <stp>[Basic Pricing.xlsm]FX_Curve_History!R165C24</stp>
        <tr r="X165" s="50"/>
      </tp>
      <tp t="e">
        <v>#N/A</v>
        <stp/>
        <stp>##V3_BDPV12</stp>
        <stp>HASWDI10Y CMPN Curncy</stp>
        <stp>PX_LAST</stp>
        <stp>[Basic Pricing.xlsm]FX_Curve_History!R167C24</stp>
        <tr r="X167" s="50"/>
      </tp>
      <tp t="e">
        <v>#N/A</v>
        <stp/>
        <stp>##V3_BDPV12</stp>
        <stp>HASWDI10Y CMPN Curncy</stp>
        <stp>PX_LAST</stp>
        <stp>[Basic Pricing.xlsm]FX_Curve_History!R166C24</stp>
        <tr r="X166" s="50"/>
      </tp>
      <tp t="e">
        <v>#N/A</v>
        <stp/>
        <stp>##V3_BDPV12</stp>
        <stp>HASWDI10Y CMPN Curncy</stp>
        <stp>PX_LAST</stp>
        <stp>[Basic Pricing.xlsm]FX_Curve_History!R169C24</stp>
        <tr r="X169" s="50"/>
      </tp>
      <tp t="e">
        <v>#N/A</v>
        <stp/>
        <stp>##V3_BDPV12</stp>
        <stp>HASWDI10Y CMPN Curncy</stp>
        <stp>PX_LAST</stp>
        <stp>[Basic Pricing.xlsm]FX_Curve_History!R168C24</stp>
        <tr r="X168" s="50"/>
      </tp>
      <tp t="e">
        <v>#N/A</v>
        <stp/>
        <stp>##V3_BDPV12</stp>
        <stp>HASWDI10Y CMPN Curncy</stp>
        <stp>PX_LAST</stp>
        <stp>[Basic Pricing.xlsm]FX_Curve_History!R171C24</stp>
        <tr r="X171" s="50"/>
      </tp>
      <tp t="e">
        <v>#N/A</v>
        <stp/>
        <stp>##V3_BDPV12</stp>
        <stp>HASWDI10Y CMPN Curncy</stp>
        <stp>PX_LAST</stp>
        <stp>[Basic Pricing.xlsm]FX_Curve_History!R170C24</stp>
        <tr r="X170" s="50"/>
      </tp>
      <tp t="e">
        <v>#N/A</v>
        <stp/>
        <stp>##V3_BDPV12</stp>
        <stp>HASWDI10Y CMPN Curncy</stp>
        <stp>PX_LAST</stp>
        <stp>[Basic Pricing.xlsm]FX_Curve_History!R172C24</stp>
        <tr r="X172" s="50"/>
      </tp>
      <tp t="e">
        <v>#N/A</v>
        <stp/>
        <stp>##V3_BDPV12</stp>
        <stp>EDM0 Comdty</stp>
        <stp>PX_LAST</stp>
        <stp>[Basic Pricing.xlsm]Rate_Live!R10C4</stp>
        <tr r="D10" s="39"/>
      </tp>
      <tp t="e">
        <v>#N/A</v>
        <stp/>
        <stp>##V3_BDPV12</stp>
        <stp>BAM0 Comdty</stp>
        <stp>PX_LAST</stp>
        <stp>[Basic Pricing.xlsm]Rate_Live!R135C4</stp>
        <tr r="D135" s="39"/>
      </tp>
      <tp t="e">
        <v>#N/A</v>
        <stp/>
        <stp>##V3_BDHV12</stp>
        <stp>JYSW7 CMPN Curncy</stp>
        <stp>Close</stp>
        <stp>04/15/2019 15:00:00</stp>
        <stp>04/15/2019 15:01:00</stp>
        <stp>[Basic Pricing.xlsm]Rate_History!R61C18</stp>
        <stp>BarType</stp>
        <stp>T</stp>
        <stp>Dir=V</stp>
        <tr r="R61" s="49"/>
      </tp>
      <tp t="e">
        <v>#N/A</v>
        <stp/>
        <stp>##V3_BDHV12</stp>
        <stp>JYSW16 CMPN Curncy</stp>
        <stp>Close</stp>
        <stp>04/15/2019 15:00:00</stp>
        <stp>04/15/2019 15:01:00</stp>
        <stp>[Basic Pricing.xlsm]Rate_History!R70C18</stp>
        <stp>BarType</stp>
        <stp>T</stp>
        <stp>Dir=V</stp>
        <tr r="R70" s="49"/>
      </tp>
      <tp t="e">
        <v>#N/A</v>
        <stp/>
        <stp>##V3_BDPV12</stp>
        <stp>BPBS40 Index</stp>
        <stp>PX_LAST</stp>
        <stp>[Basic Pricing.xlsm]FX_Curve_Live!R100C13</stp>
        <tr r="M100" s="42"/>
      </tp>
      <tp t="e">
        <v>#N/A</v>
        <stp/>
        <stp>##V3_BDPV12</stp>
        <stp>CDBS20 Index</stp>
        <stp>PX_LAST</stp>
        <stp>[Basic Pricing.xlsm]FX_Curve_Live!R142C13</stp>
        <tr r="M142" s="42"/>
      </tp>
      <tp t="e">
        <v>#N/A</v>
        <stp/>
        <stp>##V3_BDPV12</stp>
        <stp>CDBS12 Index</stp>
        <stp>PX_LAST</stp>
        <stp>[Basic Pricing.xlsm]FX_Curve_Live!R140C13</stp>
        <tr r="M140" s="42"/>
      </tp>
      <tp t="e">
        <v>#N/A</v>
        <stp/>
        <stp>##V3_BDPV12</stp>
        <stp>CDBS15 Index</stp>
        <stp>PX_LAST</stp>
        <stp>[Basic Pricing.xlsm]FX_Curve_Live!R141C13</stp>
        <tr r="M141" s="42"/>
      </tp>
      <tp t="e">
        <v>#N/A</v>
        <stp/>
        <stp>##V3_BDPV12</stp>
        <stp>CDBS10 Index</stp>
        <stp>PX_LAST</stp>
        <stp>[Basic Pricing.xlsm]FX_Curve_Live!R139C13</stp>
        <tr r="M139" s="42"/>
      </tp>
      <tp t="e">
        <v>#N/A</v>
        <stp/>
        <stp>##V3_BDPV12</stp>
        <stp>SFBS20 Index</stp>
        <stp>PX_LAST</stp>
        <stp>[Basic Pricing.xlsm]FX_Curve_Live!R120C13</stp>
        <tr r="M120" s="42"/>
      </tp>
      <tp t="e">
        <v>#N/A</v>
        <stp/>
        <stp>##V3_BDPV12</stp>
        <stp>SFBS30 Index</stp>
        <stp>PX_LAST</stp>
        <stp>[Basic Pricing.xlsm]FX_Curve_Live!R122C13</stp>
        <tr r="M122" s="42"/>
      </tp>
      <tp t="e">
        <v>#N/A</v>
        <stp/>
        <stp>##V3_BDPV12</stp>
        <stp>SFBS15 Index</stp>
        <stp>PX_LAST</stp>
        <stp>[Basic Pricing.xlsm]FX_Curve_Live!R119C13</stp>
        <tr r="M119" s="42"/>
      </tp>
      <tp t="e">
        <v>#N/A</v>
        <stp/>
        <stp>##V3_BDPV12</stp>
        <stp>SFBS12 Index</stp>
        <stp>PX_LAST</stp>
        <stp>[Basic Pricing.xlsm]FX_Curve_Live!R116C13</stp>
        <tr r="M116" s="42"/>
      </tp>
      <tp t="e">
        <v>#N/A</v>
        <stp/>
        <stp>##V3_BDPV12</stp>
        <stp>SFBS10 Index</stp>
        <stp>PX_LAST</stp>
        <stp>[Basic Pricing.xlsm]FX_Curve_Live!R114C13</stp>
        <tr r="M114" s="42"/>
      </tp>
      <tp t="e">
        <v>#N/A</v>
        <stp/>
        <stp>##V3_BDPV12</stp>
        <stp>ERM9 Comdty</stp>
        <stp>PX_LAST</stp>
        <stp>[Basic Pricing.xlsm]Rate_Live!R31C4</stp>
        <tr r="D31" s="39"/>
      </tp>
      <tp t="e">
        <v>#N/A</v>
        <stp/>
        <stp>##V3_BDPV12</stp>
        <stp>EDU0 Comdty</stp>
        <stp>PX_LAST</stp>
        <stp>[Basic Pricing.xlsm]Rate_Live!R11C4</stp>
        <tr r="D11" s="39"/>
      </tp>
      <tp t="e">
        <v>#N/A</v>
        <stp/>
        <stp>##V3_BDPV12</stp>
        <stp>BAH0 Comdty</stp>
        <stp>PX_LAST</stp>
        <stp>[Basic Pricing.xlsm]Rate_Live!R134C4</stp>
        <tr r="D134" s="39"/>
      </tp>
      <tp t="e">
        <v>#N/A</v>
        <stp/>
        <stp>##V3_BDHV12</stp>
        <stp>JYSW6 CMPN Curncy</stp>
        <stp>Close</stp>
        <stp>04/15/2019 15:00:00</stp>
        <stp>04/15/2019 15:01:00</stp>
        <stp>[Basic Pricing.xlsm]Rate_History!R60C18</stp>
        <stp>BarType</stp>
        <stp>T</stp>
        <stp>Dir=V</stp>
        <tr r="R60" s="49"/>
      </tp>
      <tp t="e">
        <v>#N/A</v>
        <stp/>
        <stp>##V3_BDPV12</stp>
        <stp>L H1 Comdty</stp>
        <stp>PX_LAST</stp>
        <stp>[Basic Pricing.xlsm]Rate_Live!R88C4</stp>
        <tr r="D88" s="39"/>
      </tp>
      <tp t="e">
        <v>#N/A</v>
        <stp/>
        <stp>##V3_BDHV12</stp>
        <stp>JYSW17 CMPN Curncy</stp>
        <stp>Close</stp>
        <stp>04/15/2019 15:00:00</stp>
        <stp>04/15/2019 15:01:00</stp>
        <stp>[Basic Pricing.xlsm]Rate_History!R71C18</stp>
        <stp>BarType</stp>
        <stp>T</stp>
        <stp>Dir=V</stp>
        <tr r="R71" s="49"/>
      </tp>
      <tp t="e">
        <v>#N/A</v>
        <stp/>
        <stp>##V3_BDPV12</stp>
        <stp>HASWDI3Y CMPN Curncy</stp>
        <stp>PX_LAST</stp>
        <stp>[Basic Pricing.xlsm]FX_Curve_History!R158C24</stp>
        <tr r="X158" s="50"/>
      </tp>
      <tp t="e">
        <v>#N/A</v>
        <stp/>
        <stp>##V3_BDPV12</stp>
        <stp>HASWDI3Y CMPN Curncy</stp>
        <stp>PX_LAST</stp>
        <stp>[Basic Pricing.xlsm]FX_Curve_History!R158C21</stp>
        <tr r="U158" s="50"/>
      </tp>
      <tp t="e">
        <v>#N/A</v>
        <stp/>
        <stp>##V3_BDPV12</stp>
        <stp>ERU9 Comdty</stp>
        <stp>PX_LAST</stp>
        <stp>[Basic Pricing.xlsm]Rate_Live!R32C4</stp>
        <tr r="D32" s="39"/>
      </tp>
      <tp t="e">
        <v>#N/A</v>
        <stp/>
        <stp>##V3_BDPV12</stp>
        <stp>BAZ0 Comdty</stp>
        <stp>PX_LAST</stp>
        <stp>[Basic Pricing.xlsm]Rate_Live!R137C4</stp>
        <tr r="D137" s="39"/>
      </tp>
      <tp t="e">
        <v>#N/A</v>
        <stp/>
        <stp>##V3_BDPV12</stp>
        <stp>EDZ0 Comdty</stp>
        <stp>PX_LAST</stp>
        <stp>[Basic Pricing.xlsm]Rate_Live!R12C4</stp>
        <tr r="D12" s="39"/>
      </tp>
      <tp t="e">
        <v>#N/A</v>
        <stp/>
        <stp>##V3_BDHV12</stp>
        <stp>JYSW5 CMPN Curncy</stp>
        <stp>Close</stp>
        <stp>04/15/2019 15:00:00</stp>
        <stp>04/15/2019 15:01:00</stp>
        <stp>[Basic Pricing.xlsm]Rate_History!R59C18</stp>
        <stp>BarType</stp>
        <stp>T</stp>
        <stp>Dir=V</stp>
        <tr r="R59" s="49"/>
      </tp>
      <tp t="e">
        <v>#N/A</v>
        <stp/>
        <stp>##V3_BDHV12</stp>
        <stp>USSW40 Index</stp>
        <stp>PX_LAST</stp>
        <stp>4/15/2019</stp>
        <stp>4/15/2019</stp>
        <stp>[Basic Pricing.xlsm]FX_Curve_History!R25C6</stp>
        <tr r="F25" s="50"/>
      </tp>
      <tp t="e">
        <v>#N/A</v>
        <stp/>
        <stp>##V3_BDHV12</stp>
        <stp>USSW25 Index</stp>
        <stp>PX_LAST</stp>
        <stp>4/15/2019</stp>
        <stp>4/15/2019</stp>
        <stp>[Basic Pricing.xlsm]FX_Curve_History!R23C6</stp>
        <tr r="F23" s="50"/>
      </tp>
      <tp t="e">
        <v>#N/A</v>
        <stp/>
        <stp>##V3_BDPV12</stp>
        <stp>USSW2 Index</stp>
        <stp>PX_LAST</stp>
        <stp>[Basic Pricing.xlsm]FX_Curve_Live!R6C6</stp>
        <tr r="F6" s="42"/>
      </tp>
      <tp t="e">
        <v>#N/A</v>
        <stp/>
        <stp>##V3_BDHV12</stp>
        <stp>USSW16 Index</stp>
        <stp>PX_LAST</stp>
        <stp>4/15/2019</stp>
        <stp>4/15/2019</stp>
        <stp>[Basic Pricing.xlsm]FX_Curve_History!R20C6</stp>
        <tr r="F20" s="50"/>
      </tp>
      <tp t="e">
        <v>#N/A</v>
        <stp/>
        <stp>##V3_BDHV12</stp>
        <stp>JYSW14 CMPN Curncy</stp>
        <stp>Close</stp>
        <stp>04/15/2019 15:00:00</stp>
        <stp>04/15/2019 15:01:00</stp>
        <stp>[Basic Pricing.xlsm]Rate_History!R68C18</stp>
        <stp>BarType</stp>
        <stp>T</stp>
        <stp>Dir=V</stp>
        <tr r="R68" s="49"/>
      </tp>
      <tp t="e">
        <v>#N/A</v>
        <stp/>
        <stp>##V3_BDPV12</stp>
        <stp>HASWDI2Y CMPN Curncy</stp>
        <stp>PX_LAST</stp>
        <stp>[Basic Pricing.xlsm]FX_Curve_History!R157C24</stp>
        <tr r="X157" s="50"/>
      </tp>
      <tp t="e">
        <v>#N/A</v>
        <stp/>
        <stp>##V3_BDPV12</stp>
        <stp>HASWDI2Y CMPN Curncy</stp>
        <stp>PX_LAST</stp>
        <stp>[Basic Pricing.xlsm]FX_Curve_History!R157C21</stp>
        <tr r="U157" s="50"/>
      </tp>
      <tp t="e">
        <v>#N/A</v>
        <stp/>
        <stp>##V3_BDPV12</stp>
        <stp>ERZ9 Comdty</stp>
        <stp>PX_LAST</stp>
        <stp>[Basic Pricing.xlsm]Rate_Live!R33C4</stp>
        <tr r="D33" s="39"/>
      </tp>
      <tp t="e">
        <v>#N/A</v>
        <stp/>
        <stp>##V3_BDPV12</stp>
        <stp>BAU0 Comdty</stp>
        <stp>PX_LAST</stp>
        <stp>[Basic Pricing.xlsm]Rate_Live!R136C4</stp>
        <tr r="D136" s="39"/>
      </tp>
      <tp t="e">
        <v>#N/A</v>
        <stp/>
        <stp>##V3_BDPV12</stp>
        <stp>EDH1 Comdty</stp>
        <stp>PX_LAST</stp>
        <stp>[Basic Pricing.xlsm]Rate_Live!R13C4</stp>
        <tr r="D13" s="39"/>
      </tp>
      <tp t="e">
        <v>#N/A</v>
        <stp/>
        <stp>##V3_BDHV12</stp>
        <stp>JYSW4 CMPN Curncy</stp>
        <stp>Close</stp>
        <stp>04/15/2019 15:00:00</stp>
        <stp>04/15/2019 15:01:00</stp>
        <stp>[Basic Pricing.xlsm]Rate_History!R58C18</stp>
        <stp>BarType</stp>
        <stp>T</stp>
        <stp>Dir=V</stp>
        <tr r="R58" s="49"/>
      </tp>
      <tp t="e">
        <v>#N/A</v>
        <stp/>
        <stp>##V3_BDHV12</stp>
        <stp>USSW20 Index</stp>
        <stp>PX_LAST</stp>
        <stp>4/15/2019</stp>
        <stp>4/15/2019</stp>
        <stp>[Basic Pricing.xlsm]FX_Curve_History!R22C6</stp>
        <tr r="F22" s="50"/>
      </tp>
      <tp t="e">
        <v>#N/A</v>
        <stp/>
        <stp>##V3_BDPV12</stp>
        <stp>USSW3 Index</stp>
        <stp>PX_LAST</stp>
        <stp>[Basic Pricing.xlsm]FX_Curve_Live!R7C6</stp>
        <tr r="F7" s="42"/>
      </tp>
      <tp t="e">
        <v>#N/A</v>
        <stp/>
        <stp>##V3_BDHV12</stp>
        <stp>USSW17 Index</stp>
        <stp>PX_LAST</stp>
        <stp>4/15/2019</stp>
        <stp>4/15/2019</stp>
        <stp>[Basic Pricing.xlsm]FX_Curve_History!R21C6</stp>
        <tr r="F21" s="50"/>
      </tp>
      <tp t="e">
        <v>#N/A</v>
        <stp/>
        <stp>##V3_BDHV12</stp>
        <stp>JYSW25 CMPN Curncy</stp>
        <stp>Close</stp>
        <stp>04/15/2019 15:00:00</stp>
        <stp>04/15/2019 15:01:00</stp>
        <stp>[Basic Pricing.xlsm]Rate_History!R73C18</stp>
        <stp>BarType</stp>
        <stp>T</stp>
        <stp>Dir=V</stp>
        <tr r="R73" s="49"/>
      </tp>
      <tp t="e">
        <v>#N/A</v>
        <stp/>
        <stp>##V3_BDHV12</stp>
        <stp>JYSW15 CMPN Curncy</stp>
        <stp>Close</stp>
        <stp>04/15/2019 15:00:00</stp>
        <stp>04/15/2019 15:01:00</stp>
        <stp>[Basic Pricing.xlsm]Rate_History!R69C18</stp>
        <stp>BarType</stp>
        <stp>T</stp>
        <stp>Dir=V</stp>
        <tr r="R69" s="49"/>
      </tp>
      <tp t="e">
        <v>#N/A</v>
        <stp/>
        <stp>##V3_BDHV12</stp>
        <stp>BPSW13 CMPN Curncy</stp>
        <stp>Close</stp>
        <stp>04/15/2019 11:15:00</stp>
        <stp>04/15/2019 11:16:00</stp>
        <stp>[Basic Pricing.xlsm]Rate_History!R92C18</stp>
        <stp>BarType</stp>
        <stp>T</stp>
        <stp>Dir=V</stp>
        <stp>cols=2;rows=1</stp>
        <tr r="R92" s="49"/>
      </tp>
      <tp t="e">
        <v>#N/A</v>
        <stp/>
        <stp>##V3_BDHV12</stp>
        <stp>BPSW14 CMPN Curncy</stp>
        <stp>Close</stp>
        <stp>04/15/2019 11:15:00</stp>
        <stp>04/15/2019 11:16:00</stp>
        <stp>[Basic Pricing.xlsm]Rate_History!R93C18</stp>
        <stp>BarType</stp>
        <stp>T</stp>
        <stp>Dir=V</stp>
        <stp>cols=2;rows=1</stp>
        <tr r="R93" s="49"/>
      </tp>
      <tp t="e">
        <v>#N/A</v>
        <stp/>
        <stp>##V3_BDHV12</stp>
        <stp>BPSW11 CMPN Curncy</stp>
        <stp>Close</stp>
        <stp>04/15/2019 11:15:00</stp>
        <stp>04/15/2019 11:16:00</stp>
        <stp>[Basic Pricing.xlsm]Rate_History!R90C18</stp>
        <stp>BarType</stp>
        <stp>T</stp>
        <stp>Dir=V</stp>
        <stp>cols=2;rows=1</stp>
        <tr r="R90" s="49"/>
      </tp>
      <tp t="e">
        <v>#N/A</v>
        <stp/>
        <stp>##V3_BDHV12</stp>
        <stp>BPSW12 CMPN Curncy</stp>
        <stp>Close</stp>
        <stp>04/15/2019 11:15:00</stp>
        <stp>04/15/2019 11:16:00</stp>
        <stp>[Basic Pricing.xlsm]Rate_History!R91C18</stp>
        <stp>BarType</stp>
        <stp>T</stp>
        <stp>Dir=V</stp>
        <stp>cols=2;rows=1</stp>
        <tr r="R91" s="49"/>
      </tp>
      <tp t="e">
        <v>#N/A</v>
        <stp/>
        <stp>##V3_BDHV12</stp>
        <stp>BPSW17 CMPN Curncy</stp>
        <stp>Close</stp>
        <stp>04/15/2019 11:15:00</stp>
        <stp>04/15/2019 11:16:00</stp>
        <stp>[Basic Pricing.xlsm]Rate_History!R96C18</stp>
        <stp>BarType</stp>
        <stp>T</stp>
        <stp>Dir=V</stp>
        <stp>cols=2;rows=1</stp>
        <tr r="R96" s="49"/>
      </tp>
      <tp t="e">
        <v>#N/A</v>
        <stp/>
        <stp>##V3_BDHV12</stp>
        <stp>BPSW20 CMPN Curncy</stp>
        <stp>Close</stp>
        <stp>04/15/2019 11:15:00</stp>
        <stp>04/15/2019 11:16:00</stp>
        <stp>[Basic Pricing.xlsm]Rate_History!R97C18</stp>
        <stp>BarType</stp>
        <stp>T</stp>
        <stp>Dir=V</stp>
        <stp>cols=2;rows=1</stp>
        <tr r="R97" s="49"/>
      </tp>
      <tp t="e">
        <v>#N/A</v>
        <stp/>
        <stp>##V3_BDHV12</stp>
        <stp>BPSW15 CMPN Curncy</stp>
        <stp>Close</stp>
        <stp>04/15/2019 11:15:00</stp>
        <stp>04/15/2019 11:16:00</stp>
        <stp>[Basic Pricing.xlsm]Rate_History!R94C18</stp>
        <stp>BarType</stp>
        <stp>T</stp>
        <stp>Dir=V</stp>
        <stp>cols=2;rows=1</stp>
        <tr r="R94" s="49"/>
      </tp>
      <tp t="e">
        <v>#N/A</v>
        <stp/>
        <stp>##V3_BDPV12</stp>
        <stp>SF0006M Index</stp>
        <stp>PX_LAST</stp>
        <stp>[Basic Pricing.xlsm]FX_Curve_Live!R110C2</stp>
        <tr r="B110" s="42"/>
      </tp>
      <tp t="e">
        <v>#N/A</v>
        <stp/>
        <stp>##V3_BDHV12</stp>
        <stp>BPSW16 CMPN Curncy</stp>
        <stp>Close</stp>
        <stp>04/15/2019 11:15:00</stp>
        <stp>04/15/2019 11:16:00</stp>
        <stp>[Basic Pricing.xlsm]Rate_History!R95C18</stp>
        <stp>BarType</stp>
        <stp>T</stp>
        <stp>Dir=V</stp>
        <stp>cols=2;rows=1</stp>
        <tr r="R95" s="49"/>
      </tp>
      <tp t="e">
        <v>#N/A</v>
        <stp/>
        <stp>##V3_BDHV12</stp>
        <stp>BPSW30 CMPN Curncy</stp>
        <stp>Close</stp>
        <stp>04/15/2019 11:15:00</stp>
        <stp>04/15/2019 11:16:00</stp>
        <stp>[Basic Pricing.xlsm]Rate_History!R99C18</stp>
        <stp>BarType</stp>
        <stp>T</stp>
        <stp>Dir=V</stp>
        <stp>cols=2;rows=1</stp>
        <tr r="R99" s="49"/>
      </tp>
      <tp t="e">
        <v>#N/A</v>
        <stp/>
        <stp>##V3_BDHV12</stp>
        <stp>BPSW25 CMPN Curncy</stp>
        <stp>Close</stp>
        <stp>04/15/2019 11:15:00</stp>
        <stp>04/15/2019 11:16:00</stp>
        <stp>[Basic Pricing.xlsm]Rate_History!R98C18</stp>
        <stp>BarType</stp>
        <stp>T</stp>
        <stp>Dir=V</stp>
        <stp>cols=2;rows=1</stp>
        <tr r="R98" s="49"/>
      </tp>
      <tp t="e">
        <v>#N/A</v>
        <stp/>
        <stp>##V3_BDHV12</stp>
        <stp>HASWDI1Y CMPN Curncy</stp>
        <stp>LAST_PRICE</stp>
        <stp>4/15/2019</stp>
        <stp>4/15/2019</stp>
        <stp>[Basic Pricing.xlsm]FX_Curve_Live!R156C20</stp>
        <tr r="T156" s="42"/>
      </tp>
      <tp t="e">
        <v>#N/A</v>
        <stp/>
        <stp>##V3_BDPV12</stp>
        <stp>USSW4 Index</stp>
        <stp>PX_LAST</stp>
        <stp>[Basic Pricing.xlsm]FX_Curve_Live!R8C6</stp>
        <tr r="F8" s="42"/>
      </tp>
      <tp t="e">
        <v>#N/A</v>
        <stp/>
        <stp>##V3_BDPV12</stp>
        <stp>L M0 Comdty</stp>
        <stp>PX_LAST</stp>
        <stp>[Basic Pricing.xlsm]Rate_Live!R85C4</stp>
        <tr r="D85" s="39"/>
      </tp>
      <tp t="e">
        <v>#N/A</v>
        <stp/>
        <stp>##V3_BDPV12</stp>
        <stp>CDBS2 Index</stp>
        <stp>PX_LAST</stp>
        <stp>[Basic Pricing.xlsm]FX_Curve_Live!R131C13</stp>
        <tr r="M131" s="42"/>
      </tp>
      <tp t="e">
        <v>#N/A</v>
        <stp/>
        <stp>##V3_BDPV12</stp>
        <stp>CDBS7 Index</stp>
        <stp>PX_LAST</stp>
        <stp>[Basic Pricing.xlsm]FX_Curve_Live!R136C13</stp>
        <tr r="M136" s="42"/>
      </tp>
      <tp t="e">
        <v>#N/A</v>
        <stp/>
        <stp>##V3_BDPV12</stp>
        <stp>CDBS6 Index</stp>
        <stp>PX_LAST</stp>
        <stp>[Basic Pricing.xlsm]FX_Curve_Live!R135C13</stp>
        <tr r="M135" s="42"/>
      </tp>
      <tp t="e">
        <v>#N/A</v>
        <stp/>
        <stp>##V3_BDPV12</stp>
        <stp>CDBS5 Index</stp>
        <stp>PX_LAST</stp>
        <stp>[Basic Pricing.xlsm]FX_Curve_Live!R134C13</stp>
        <tr r="M134" s="42"/>
      </tp>
      <tp t="e">
        <v>#N/A</v>
        <stp/>
        <stp>##V3_BDPV12</stp>
        <stp>CDBS1 Index</stp>
        <stp>PX_LAST</stp>
        <stp>[Basic Pricing.xlsm]FX_Curve_Live!R131C16</stp>
        <tr r="P131" s="42"/>
      </tp>
      <tp t="e">
        <v>#N/A</v>
        <stp/>
        <stp>##V3_BDPV12</stp>
        <stp>CDBS4 Index</stp>
        <stp>PX_LAST</stp>
        <stp>[Basic Pricing.xlsm]FX_Curve_Live!R133C13</stp>
        <tr r="M133" s="42"/>
      </tp>
      <tp t="e">
        <v>#N/A</v>
        <stp/>
        <stp>##V3_BDPV12</stp>
        <stp>CDBS9 Index</stp>
        <stp>PX_LAST</stp>
        <stp>[Basic Pricing.xlsm]FX_Curve_Live!R138C13</stp>
        <tr r="M138" s="42"/>
      </tp>
      <tp t="e">
        <v>#N/A</v>
        <stp/>
        <stp>##V3_BDPV12</stp>
        <stp>CDBS8 Index</stp>
        <stp>PX_LAST</stp>
        <stp>[Basic Pricing.xlsm]FX_Curve_Live!R137C13</stp>
        <tr r="M137" s="42"/>
      </tp>
      <tp t="e">
        <v>#N/A</v>
        <stp/>
        <stp>##V3_BDPV12</stp>
        <stp>SFBS2 Index</stp>
        <stp>PX_LAST</stp>
        <stp>[Basic Pricing.xlsm]FX_Curve_Live!R106C13</stp>
        <tr r="M106" s="42"/>
      </tp>
      <tp t="e">
        <v>#N/A</v>
        <stp/>
        <stp>##V3_BDPV12</stp>
        <stp>SFBS4 Index</stp>
        <stp>PX_LAST</stp>
        <stp>[Basic Pricing.xlsm]FX_Curve_Live!R108C13</stp>
        <tr r="M108" s="42"/>
      </tp>
      <tp t="e">
        <v>#N/A</v>
        <stp/>
        <stp>##V3_BDPV12</stp>
        <stp>SFBS1 Index</stp>
        <stp>PX_LAST</stp>
        <stp>[Basic Pricing.xlsm]FX_Curve_Live!R106C16</stp>
        <tr r="P106" s="42"/>
      </tp>
      <tp t="e">
        <v>#N/A</v>
        <stp/>
        <stp>##V3_BDPV12</stp>
        <stp>SFBS5 Index</stp>
        <stp>PX_LAST</stp>
        <stp>[Basic Pricing.xlsm]FX_Curve_Live!R109C13</stp>
        <tr r="M109" s="42"/>
      </tp>
      <tp t="e">
        <v>#N/A</v>
        <stp/>
        <stp>##V3_BDPV12</stp>
        <stp>SFBS7 Index</stp>
        <stp>PX_LAST</stp>
        <stp>[Basic Pricing.xlsm]FX_Curve_Live!R111C13</stp>
        <tr r="M111" s="42"/>
      </tp>
      <tp t="e">
        <v>#N/A</v>
        <stp/>
        <stp>##V3_BDPV12</stp>
        <stp>SFBS6 Index</stp>
        <stp>PX_LAST</stp>
        <stp>[Basic Pricing.xlsm]FX_Curve_Live!R110C13</stp>
        <tr r="M110" s="42"/>
      </tp>
      <tp t="e">
        <v>#N/A</v>
        <stp/>
        <stp>##V3_BDPV12</stp>
        <stp>SFBS9 Index</stp>
        <stp>PX_LAST</stp>
        <stp>[Basic Pricing.xlsm]FX_Curve_Live!R113C13</stp>
        <tr r="M113" s="42"/>
      </tp>
      <tp t="e">
        <v>#N/A</v>
        <stp/>
        <stp>##V3_BDPV12</stp>
        <stp>SFBS8 Index</stp>
        <stp>PX_LAST</stp>
        <stp>[Basic Pricing.xlsm]FX_Curve_Live!R112C13</stp>
        <tr r="M112" s="42"/>
      </tp>
      <tp t="e">
        <v>#N/A</v>
        <stp/>
        <stp>##V3_BDPV12</stp>
        <stp>SF0012M Index</stp>
        <stp>PX_LAST</stp>
        <stp>[Basic Pricing.xlsm]FX_Curve_Live!R111C2</stp>
        <tr r="B111" s="42"/>
      </tp>
      <tp t="e">
        <v>#N/A</v>
        <stp/>
        <stp>##V3_BDHV12</stp>
        <stp>BPSW10 CMPN Curncy</stp>
        <stp>Close</stp>
        <stp>04/15/2019 11:15:00</stp>
        <stp>04/15/2019 11:16:00</stp>
        <stp>[Basic Pricing.xlsm]Rate_History!R89C18</stp>
        <stp>BarType</stp>
        <stp>T</stp>
        <stp>Dir=V</stp>
        <stp>cols=2;rows=1</stp>
        <tr r="R89" s="49"/>
      </tp>
      <tp t="e">
        <v>#N/A</v>
        <stp/>
        <stp>##V3_BDPV12</stp>
        <stp>BAH1 Comdty</stp>
        <stp>PX_LAST</stp>
        <stp>[Basic Pricing.xlsm]Rate_Live!R138C4</stp>
        <tr r="D138" s="39"/>
      </tp>
      <tp t="e">
        <v>#N/A</v>
        <stp/>
        <stp>##V3_BDPV12</stp>
        <stp>L H0 Comdty</stp>
        <stp>PX_LAST</stp>
        <stp>[Basic Pricing.xlsm]Rate_Live!R84C4</stp>
        <tr r="D84" s="39"/>
      </tp>
      <tp t="e">
        <v>#N/A</v>
        <stp/>
        <stp>##V3_BDPV12</stp>
        <stp>USSW5 Index</stp>
        <stp>PX_LAST</stp>
        <stp>[Basic Pricing.xlsm]FX_Curve_Live!R9C6</stp>
        <tr r="F9" s="42"/>
      </tp>
      <tp t="e">
        <v>#N/A</v>
        <stp/>
        <stp>##V3_BDHV12</stp>
        <stp>JYSW9 CMPN Curncy</stp>
        <stp>Close</stp>
        <stp>04/15/2019 15:00:00</stp>
        <stp>04/15/2019 15:01:00</stp>
        <stp>[Basic Pricing.xlsm]Rate_History!R63C18</stp>
        <stp>BarType</stp>
        <stp>T</stp>
        <stp>Dir=V</stp>
        <tr r="R63" s="49"/>
      </tp>
      <tp t="e">
        <v>#N/A</v>
        <stp/>
        <stp>##V3_BDHV12</stp>
        <stp>HASWDI3Y CMPN Curncy</stp>
        <stp>LAST_PRICE</stp>
        <stp>4/15/2019</stp>
        <stp>4/15/2019</stp>
        <stp>[Basic Pricing.xlsm]FX_Curve_Live!R158C20</stp>
        <tr r="T158" s="42"/>
      </tp>
      <tp t="e">
        <v>#N/A</v>
        <stp/>
        <stp>##V3_BDPV12</stp>
        <stp>L Z0 Comdty</stp>
        <stp>PX_LAST</stp>
        <stp>[Basic Pricing.xlsm]Rate_Live!R87C4</stp>
        <tr r="D87" s="39"/>
      </tp>
      <tp t="e">
        <v>#N/A</v>
        <stp/>
        <stp>##V3_BDHV12</stp>
        <stp>JYSW8 CMPN Curncy</stp>
        <stp>Close</stp>
        <stp>04/15/2019 15:00:00</stp>
        <stp>04/15/2019 15:01:00</stp>
        <stp>[Basic Pricing.xlsm]Rate_History!R62C18</stp>
        <stp>BarType</stp>
        <stp>T</stp>
        <stp>Dir=V</stp>
        <tr r="R62" s="49"/>
      </tp>
      <tp t="e">
        <v>#N/A</v>
        <stp/>
        <stp>##V3_BDHV12</stp>
        <stp>HASWDI2Y CMPN Curncy</stp>
        <stp>LAST_PRICE</stp>
        <stp>4/15/2019</stp>
        <stp>4/15/2019</stp>
        <stp>[Basic Pricing.xlsm]FX_Curve_Live!R157C20</stp>
        <tr r="T157" s="42"/>
      </tp>
      <tp t="e">
        <v>#N/A</v>
        <stp/>
        <stp>##V3_BDPV12</stp>
        <stp>L U0 Comdty</stp>
        <stp>PX_LAST</stp>
        <stp>[Basic Pricing.xlsm]Rate_Live!R86C4</stp>
        <tr r="D86" s="39"/>
      </tp>
      <tp t="e">
        <v>#N/A</v>
        <stp/>
        <stp>##V3_BDHV12</stp>
        <stp>USSW13 CMPN Curncy</stp>
        <stp>Close</stp>
        <stp>04/15/2019 15:00:00</stp>
        <stp>04/15/2019 15:01:00</stp>
        <stp>[Basic Pricing.xlsm]Rate_History!R17C18</stp>
        <stp>BarType</stp>
        <stp>T</stp>
        <stp>Dir=V</stp>
        <tr r="R17" s="49"/>
      </tp>
      <tp t="e">
        <v>#N/A</v>
        <stp/>
        <stp>##V3_BDHV12</stp>
        <stp>EDM9 Comdty</stp>
        <stp>PX_LAST</stp>
        <stp>4/15/2019</stp>
        <stp>4/15/2019</stp>
        <stp>[Basic Pricing.xlsm]Rate_History!R6C4</stp>
        <tr r="D6" s="49"/>
      </tp>
      <tp t="e">
        <v>#N/A</v>
        <stp/>
        <stp>##V3_BDPV12</stp>
        <stp>HASWDI9Y CMPN Curncy</stp>
        <stp>PX_LAST</stp>
        <stp>[Basic Pricing.xlsm]FX_Curve_History!R164C24</stp>
        <tr r="X164" s="50"/>
      </tp>
      <tp t="e">
        <v>#N/A</v>
        <stp/>
        <stp>##V3_BDPV12</stp>
        <stp>HASWDI9Y CMPN Curncy</stp>
        <stp>PX_LAST</stp>
        <stp>[Basic Pricing.xlsm]FX_Curve_History!R164C21</stp>
        <tr r="U164" s="50"/>
      </tp>
      <tp t="e">
        <v>#N/A</v>
        <stp/>
        <stp>##V3_BDPV12</stp>
        <stp>ERH1 Comdty</stp>
        <stp>PX_LAST</stp>
        <stp>[Basic Pricing.xlsm]Rate_Live!R38C4</stp>
        <tr r="D38" s="39"/>
      </tp>
      <tp t="e">
        <v>#N/A</v>
        <stp/>
        <stp>##V3_BDHV12</stp>
        <stp>CDSW8 CMPN Curncy</stp>
        <stp>Close</stp>
        <stp>04/15/2019 15:00:00</stp>
        <stp>04/15/2019 15:01:00</stp>
        <stp>[Basic Pricing.xlsm]Rate_History!R137C18</stp>
        <stp>BarType</stp>
        <stp>T</stp>
        <stp>Dir=V</stp>
        <stp>cols=2;rows=1</stp>
        <tr r="R137" s="49"/>
      </tp>
      <tp t="e">
        <v>#N/A</v>
        <stp/>
        <stp>##V3_BDPV12</stp>
        <stp>SFBS10 Index</stp>
        <stp>PX_LAST</stp>
        <stp>[Basic Pricing.xlsm]FX_Curve_History!R114C13</stp>
        <tr r="M114" s="50"/>
      </tp>
      <tp t="e">
        <v>#N/A</v>
        <stp/>
        <stp>##V3_BDPV12</stp>
        <stp>SFBS12 Index</stp>
        <stp>PX_LAST</stp>
        <stp>[Basic Pricing.xlsm]FX_Curve_History!R116C13</stp>
        <tr r="M116" s="50"/>
      </tp>
      <tp t="e">
        <v>#N/A</v>
        <stp/>
        <stp>##V3_BDPV12</stp>
        <stp>SFBS20 Index</stp>
        <stp>PX_LAST</stp>
        <stp>[Basic Pricing.xlsm]FX_Curve_History!R120C13</stp>
        <tr r="M120" s="50"/>
      </tp>
      <tp t="e">
        <v>#N/A</v>
        <stp/>
        <stp>##V3_BDPV12</stp>
        <stp>SFBS15 Index</stp>
        <stp>PX_LAST</stp>
        <stp>[Basic Pricing.xlsm]FX_Curve_History!R119C13</stp>
        <tr r="M119" s="50"/>
      </tp>
      <tp t="e">
        <v>#N/A</v>
        <stp/>
        <stp>##V3_BDPV12</stp>
        <stp>SFBS30 Index</stp>
        <stp>PX_LAST</stp>
        <stp>[Basic Pricing.xlsm]FX_Curve_History!R122C13</stp>
        <tr r="M122" s="50"/>
      </tp>
      <tp t="e">
        <v>#N/A</v>
        <stp/>
        <stp>##V3_BDPV12</stp>
        <stp>BPBS40 Index</stp>
        <stp>PX_LAST</stp>
        <stp>[Basic Pricing.xlsm]FX_Curve_History!R100C13</stp>
        <tr r="M100" s="50"/>
      </tp>
      <tp t="e">
        <v>#N/A</v>
        <stp/>
        <stp>##V3_BDPV12</stp>
        <stp>CDBS15 Index</stp>
        <stp>PX_LAST</stp>
        <stp>[Basic Pricing.xlsm]FX_Curve_History!R141C13</stp>
        <tr r="M141" s="50"/>
      </tp>
      <tp t="e">
        <v>#N/A</v>
        <stp/>
        <stp>##V3_BDPV12</stp>
        <stp>CDBS12 Index</stp>
        <stp>PX_LAST</stp>
        <stp>[Basic Pricing.xlsm]FX_Curve_History!R140C13</stp>
        <tr r="M140" s="50"/>
      </tp>
      <tp t="e">
        <v>#N/A</v>
        <stp/>
        <stp>##V3_BDPV12</stp>
        <stp>CDBS20 Index</stp>
        <stp>PX_LAST</stp>
        <stp>[Basic Pricing.xlsm]FX_Curve_History!R142C13</stp>
        <tr r="M142" s="50"/>
      </tp>
      <tp t="e">
        <v>#N/A</v>
        <stp/>
        <stp>##V3_BDPV12</stp>
        <stp>CDBS10 Index</stp>
        <stp>PX_LAST</stp>
        <stp>[Basic Pricing.xlsm]FX_Curve_History!R139C13</stp>
        <tr r="M139" s="50"/>
      </tp>
      <tp t="e">
        <v>#N/A</v>
        <stp/>
        <stp>##V3_BDHV12</stp>
        <stp>CDSW4 CMPN Curncy</stp>
        <stp>Close</stp>
        <stp>04/15/2019 15:00:00</stp>
        <stp>04/15/2019 15:01:00</stp>
        <stp>[Basic Pricing.xlsm]Rate_History!R133C18</stp>
        <stp>BarType</stp>
        <stp>T</stp>
        <stp>Dir=V</stp>
        <stp>cols=2;rows=1</stp>
        <tr r="R133" s="49"/>
      </tp>
      <tp t="e">
        <v>#N/A</v>
        <stp/>
        <stp>##V3_BDHV12</stp>
        <stp>CDSW2 CMPN Curncy</stp>
        <stp>Close</stp>
        <stp>04/15/2019 15:00:00</stp>
        <stp>04/15/2019 15:01:00</stp>
        <stp>[Basic Pricing.xlsm]Rate_History!R131C18</stp>
        <stp>BarType</stp>
        <stp>T</stp>
        <stp>Dir=V</stp>
        <stp>cols=2;rows=1</stp>
        <tr r="R131" s="49"/>
      </tp>
      <tp t="e">
        <v>#N/A</v>
        <stp/>
        <stp>##V3_BDHV12</stp>
        <stp>CDSW6 CMPN Curncy</stp>
        <stp>Close</stp>
        <stp>04/15/2019 15:00:00</stp>
        <stp>04/15/2019 15:01:00</stp>
        <stp>[Basic Pricing.xlsm]Rate_History!R135C18</stp>
        <stp>BarType</stp>
        <stp>T</stp>
        <stp>Dir=V</stp>
        <stp>cols=2;rows=1</stp>
        <tr r="R135" s="49"/>
      </tp>
      <tp t="e">
        <v>#N/A</v>
        <stp/>
        <stp>##V3_BDHV12</stp>
        <stp>CDSW3 CMPN Curncy</stp>
        <stp>Close</stp>
        <stp>04/15/2019 15:00:00</stp>
        <stp>04/15/2019 15:01:00</stp>
        <stp>[Basic Pricing.xlsm]Rate_History!R132C18</stp>
        <stp>BarType</stp>
        <stp>T</stp>
        <stp>Dir=V</stp>
        <stp>cols=2;rows=1</stp>
        <tr r="R132" s="49"/>
      </tp>
      <tp t="e">
        <v>#N/A</v>
        <stp/>
        <stp>##V3_BDHV12</stp>
        <stp>CDSW5 CMPN Curncy</stp>
        <stp>Close</stp>
        <stp>04/15/2019 15:00:00</stp>
        <stp>04/15/2019 15:01:00</stp>
        <stp>[Basic Pricing.xlsm]Rate_History!R134C18</stp>
        <stp>BarType</stp>
        <stp>T</stp>
        <stp>Dir=V</stp>
        <stp>cols=2;rows=1</stp>
        <tr r="R134" s="49"/>
      </tp>
      <tp t="e">
        <v>#N/A</v>
        <stp/>
        <stp>##V3_BDHV12</stp>
        <stp>CDSW7 CMPN Curncy</stp>
        <stp>Close</stp>
        <stp>04/15/2019 15:00:00</stp>
        <stp>04/15/2019 15:01:00</stp>
        <stp>[Basic Pricing.xlsm]Rate_History!R136C18</stp>
        <stp>BarType</stp>
        <stp>T</stp>
        <stp>Dir=V</stp>
        <stp>cols=2;rows=1</stp>
        <tr r="R136" s="49"/>
      </tp>
      <tp t="e">
        <v>#N/A</v>
        <stp/>
        <stp>##V3_BDHV12</stp>
        <stp>CDSW9 CMPN Curncy</stp>
        <stp>Close</stp>
        <stp>04/15/2019 15:00:00</stp>
        <stp>04/15/2019 15:01:00</stp>
        <stp>[Basic Pricing.xlsm]Rate_History!R138C18</stp>
        <stp>BarType</stp>
        <stp>T</stp>
        <stp>Dir=V</stp>
        <stp>cols=2;rows=1</stp>
        <tr r="R138" s="49"/>
      </tp>
      <tp t="e">
        <v>#N/A</v>
        <stp/>
        <stp>##V3_BDPV12</stp>
        <stp>HASWDI9M Index</stp>
        <stp>PX_LAST</stp>
        <stp>[Basic Pricing.xlsm]FX_Curve_History!R161C16</stp>
        <tr r="P161" s="50"/>
      </tp>
      <tp t="e">
        <v>#N/A</v>
        <stp/>
        <stp>##V3_BDPV12</stp>
        <stp>HASWDI3M Index</stp>
        <stp>PX_LAST</stp>
        <stp>[Basic Pricing.xlsm]FX_Curve_History!R159C16</stp>
        <tr r="P159" s="50"/>
      </tp>
      <tp t="e">
        <v>#N/A</v>
        <stp/>
        <stp>##V3_BDPV12</stp>
        <stp>HASWDI1M Index</stp>
        <stp>PX_LAST</stp>
        <stp>[Basic Pricing.xlsm]FX_Curve_History!R157C16</stp>
        <tr r="P157" s="50"/>
      </tp>
      <tp t="e">
        <v>#N/A</v>
        <stp/>
        <stp>##V3_BDPV12</stp>
        <stp>HASWDI6M Index</stp>
        <stp>PX_LAST</stp>
        <stp>[Basic Pricing.xlsm]FX_Curve_History!R160C16</stp>
        <tr r="P160" s="50"/>
      </tp>
      <tp t="e">
        <v>#N/A</v>
        <stp/>
        <stp>##V3_BDPV12</stp>
        <stp>HASWDI9M Index</stp>
        <stp>PX_LAST</stp>
        <stp>[Basic Pricing.xlsm]FX_Curve_History!R161C22</stp>
        <tr r="V161" s="50"/>
      </tp>
      <tp t="e">
        <v>#N/A</v>
        <stp/>
        <stp>##V3_BDPV12</stp>
        <stp>HASWDI9M Index</stp>
        <stp>PX_LAST</stp>
        <stp>[Basic Pricing.xlsm]FX_Curve_History!R161C23</stp>
        <tr r="W161" s="50"/>
      </tp>
      <tp t="e">
        <v>#N/A</v>
        <stp/>
        <stp>##V3_BDPV12</stp>
        <stp>HASWDI6M Index</stp>
        <stp>PX_LAST</stp>
        <stp>[Basic Pricing.xlsm]FX_Curve_History!R160C23</stp>
        <tr r="W160" s="50"/>
      </tp>
      <tp t="e">
        <v>#N/A</v>
        <stp/>
        <stp>##V3_BDPV12</stp>
        <stp>HASWDI6M Index</stp>
        <stp>PX_LAST</stp>
        <stp>[Basic Pricing.xlsm]FX_Curve_History!R160C22</stp>
        <tr r="V160" s="50"/>
      </tp>
      <tp t="e">
        <v>#N/A</v>
        <stp/>
        <stp>##V3_BDPV12</stp>
        <stp>HASWDI3M Index</stp>
        <stp>PX_LAST</stp>
        <stp>[Basic Pricing.xlsm]FX_Curve_History!R159C23</stp>
        <tr r="W159" s="50"/>
      </tp>
      <tp t="e">
        <v>#N/A</v>
        <stp/>
        <stp>##V3_BDPV12</stp>
        <stp>HASWDI3M Index</stp>
        <stp>PX_LAST</stp>
        <stp>[Basic Pricing.xlsm]FX_Curve_History!R159C22</stp>
        <tr r="V159" s="50"/>
      </tp>
      <tp t="e">
        <v>#N/A</v>
        <stp/>
        <stp>##V3_BDPV12</stp>
        <stp>HASWDI1M Index</stp>
        <stp>PX_LAST</stp>
        <stp>[Basic Pricing.xlsm]FX_Curve_History!R157C23</stp>
        <tr r="W157" s="50"/>
      </tp>
      <tp t="e">
        <v>#N/A</v>
        <stp/>
        <stp>##V3_BDPV12</stp>
        <stp>HASWDI1M Index</stp>
        <stp>PX_LAST</stp>
        <stp>[Basic Pricing.xlsm]FX_Curve_History!R157C22</stp>
        <tr r="V157" s="50"/>
      </tp>
      <tp t="e">
        <v>#N/A</v>
        <stp/>
        <stp>##V3_BDHV12</stp>
        <stp>HASWDI5Y CMPN Curncy</stp>
        <stp>LAST_PRICE</stp>
        <stp>4/15/2019</stp>
        <stp>4/15/2019</stp>
        <stp>[Basic Pricing.xlsm]FX_Curve_Live!R160C20</stp>
        <tr r="T160" s="42"/>
      </tp>
      <tp t="e">
        <v>#N/A</v>
        <stp/>
        <stp>##V3_BDPV12</stp>
        <stp>L M9 Comdty</stp>
        <stp>PX_LAST</stp>
        <stp>[Basic Pricing.xlsm]Rate_Live!R81C4</stp>
        <tr r="D81" s="39"/>
      </tp>
      <tp t="e">
        <v>#N/A</v>
        <stp/>
        <stp>##V3_BDPV12</stp>
        <stp>HASWDI8Y CMPN Curncy</stp>
        <stp>PX_LAST</stp>
        <stp>[Basic Pricing.xlsm]FX_Curve_History!R163C24</stp>
        <tr r="X163" s="50"/>
      </tp>
      <tp t="e">
        <v>#N/A</v>
        <stp/>
        <stp>##V3_BDPV12</stp>
        <stp>HASWDI8Y CMPN Curncy</stp>
        <stp>PX_LAST</stp>
        <stp>[Basic Pricing.xlsm]FX_Curve_History!R163C21</stp>
        <tr r="U163" s="50"/>
      </tp>
      <tp t="e">
        <v>#N/A</v>
        <stp/>
        <stp>##V3_BDHV12</stp>
        <stp>HASWDI4Y CMPN Curncy</stp>
        <stp>LAST_PRICE</stp>
        <stp>4/15/2019</stp>
        <stp>4/15/2019</stp>
        <stp>[Basic Pricing.xlsm]FX_Curve_Live!R159C20</stp>
        <tr r="T159" s="42"/>
      </tp>
      <tp t="e">
        <v>#N/A</v>
        <stp/>
        <stp>##V3_BDPV12</stp>
        <stp>JYSSTL2 index</stp>
        <stp>PX_LAST</stp>
        <stp>[Basic Pricing.xlsm]Rate_History!R58C14</stp>
        <tr r="N58" s="49"/>
      </tp>
      <tp t="e">
        <v>#N/A</v>
        <stp/>
        <stp>##V3_BDHV12</stp>
        <stp>BP00O/N Index</stp>
        <stp>PX_LAST</stp>
        <stp>4/15/2019</stp>
        <stp>4/15/2019</stp>
        <stp>[Basic Pricing.xlsm]FX_Curve_History!R81C2</stp>
        <tr r="B81" s="50"/>
      </tp>
      <tp t="e">
        <v>#N/A</v>
        <stp/>
        <stp>##V3_BDPV12</stp>
        <stp>SF00S/N Index</stp>
        <stp>PX_LAST</stp>
        <stp>[Basic Pricing.xlsm]FX_Curve_Live!R106C2</stp>
        <tr r="B106" s="42"/>
      </tp>
      <tp t="e">
        <v>#N/A</v>
        <stp/>
        <stp>##V3_BDHV12</stp>
        <stp>HASWDI7Y CMPN Curncy</stp>
        <stp>LAST_PRICE</stp>
        <stp>4/15/2019</stp>
        <stp>4/15/2019</stp>
        <stp>[Basic Pricing.xlsm]FX_Curve_Live!R162C20</stp>
        <tr r="T162" s="42"/>
      </tp>
      <tp t="e">
        <v>#N/A</v>
        <stp/>
        <stp>##V3_BDPV12</stp>
        <stp>USSW8 Index</stp>
        <stp>PX_LAST</stp>
        <stp>[Basic Pricing.xlsm]Rate_Live!R12C6</stp>
        <tr r="F12" s="39"/>
      </tp>
      <tp t="e">
        <v>#N/A</v>
        <stp/>
        <stp>##V3_BDPV12</stp>
        <stp>USSW9 Index</stp>
        <stp>PX_LAST</stp>
        <stp>[Basic Pricing.xlsm]Rate_Live!R13C6</stp>
        <tr r="F13" s="39"/>
      </tp>
      <tp t="e">
        <v>#N/A</v>
        <stp/>
        <stp>##V3_BDPV12</stp>
        <stp>L Z9 Comdty</stp>
        <stp>PX_LAST</stp>
        <stp>[Basic Pricing.xlsm]Rate_Live!R83C4</stp>
        <tr r="D83" s="39"/>
      </tp>
      <tp t="e">
        <v>#N/A</v>
        <stp/>
        <stp>##V3_BDHV12</stp>
        <stp>USSW14 Index</stp>
        <stp>PX_LAST</stp>
        <stp>4/15/2019</stp>
        <stp>4/15/2019</stp>
        <stp>[Basic Pricing.xlsm]FX_Curve_History!R18C6</stp>
        <tr r="F18" s="50"/>
      </tp>
      <tp t="e">
        <v>#N/A</v>
        <stp/>
        <stp>##V3_BDPV12</stp>
        <stp>JYSSTL1 index</stp>
        <stp>PX_LAST</stp>
        <stp>[Basic Pricing.xlsm]Rate_History!R57C14</stp>
        <tr r="N57" s="49"/>
      </tp>
      <tp t="e">
        <v>#N/A</v>
        <stp/>
        <stp>##V3_BDPV12</stp>
        <stp>SF0001M Index</stp>
        <stp>PX_LAST</stp>
        <stp>[Basic Pricing.xlsm]FX_Curve_Live!R107C2</stp>
        <tr r="B107" s="42"/>
      </tp>
      <tp t="e">
        <v>#N/A</v>
        <stp/>
        <stp>##V3_BDHV12</stp>
        <stp>HASWDI6Y CMPN Curncy</stp>
        <stp>LAST_PRICE</stp>
        <stp>4/15/2019</stp>
        <stp>4/15/2019</stp>
        <stp>[Basic Pricing.xlsm]FX_Curve_Live!R161C20</stp>
        <tr r="T161" s="42"/>
      </tp>
      <tp t="e">
        <v>#N/A</v>
        <stp/>
        <stp>##V3_BDPV12</stp>
        <stp>L U9 Comdty</stp>
        <stp>PX_LAST</stp>
        <stp>[Basic Pricing.xlsm]Rate_Live!R82C4</stp>
        <tr r="D82" s="39"/>
      </tp>
      <tp t="e">
        <v>#N/A</v>
        <stp/>
        <stp>##V3_BDHV12</stp>
        <stp>USSW15 Index</stp>
        <stp>PX_LAST</stp>
        <stp>4/15/2019</stp>
        <stp>4/15/2019</stp>
        <stp>[Basic Pricing.xlsm]FX_Curve_History!R19C6</stp>
        <tr r="F19" s="50"/>
      </tp>
      <tp t="e">
        <v>#N/A</v>
        <stp/>
        <stp>##V3_BDPV12</stp>
        <stp>BPSW12 Index</stp>
        <stp>PX_LAST</stp>
        <stp>[Basic Pricing.xlsm]Rate_Live!R91C6</stp>
        <tr r="F91" s="39"/>
      </tp>
      <tp t="e">
        <v>#N/A</v>
        <stp/>
        <stp>##V3_BDPV12</stp>
        <stp>BPSW16 Index</stp>
        <stp>PX_LAST</stp>
        <stp>[Basic Pricing.xlsm]Rate_Live!R95C6</stp>
        <tr r="F95" s="39"/>
      </tp>
      <tp t="e">
        <v>#N/A</v>
        <stp/>
        <stp>##V3_BDHV12</stp>
        <stp>CDOR12 Index</stp>
        <stp>PX_LAST</stp>
        <stp>4/15/2019</stp>
        <stp>4/15/2019</stp>
        <stp>[Basic Pricing.xlsm]Rate_History!R136C2</stp>
        <tr r="B136" s="49"/>
      </tp>
      <tp t="e">
        <v>#N/A</v>
        <stp/>
        <stp>##V3_BDHV12</stp>
        <stp>ESU9 Comdty</stp>
        <stp>PX_LAST</stp>
        <stp>4/15/2019</stp>
        <stp>4/15/2019</stp>
        <stp>[Basic Pricing.xlsm]Rate_History!R107C4</stp>
        <tr r="D107" s="49"/>
      </tp>
      <tp t="e">
        <v>#N/A</v>
        <stp/>
        <stp>##V3_BDHV12</stp>
        <stp>CAD5Y BGN Curncy</stp>
        <stp>PX_LAST</stp>
        <stp>4/15/2019</stp>
        <stp>4/15/2019</stp>
        <stp>[Basic Pricing.xlsm]FXFR!R104C4</stp>
        <tr r="D104" s="46"/>
      </tp>
      <tp t="e">
        <v>#N/A</v>
        <stp/>
        <stp>##V3_BDHV12</stp>
        <stp>US0012m Index</stp>
        <stp>PX_LAST</stp>
        <stp>4/15/2019</stp>
        <stp>4/15/2019</stp>
        <stp>[Basic Pricing.xlsm]FX_Curve_History!R11C2</stp>
        <tr r="B11" s="50"/>
      </tp>
      <tp t="e">
        <v>#N/A</v>
        <stp/>
        <stp>##V3_BDPV12</stp>
        <stp>YEZ9 Comdty</stp>
        <stp>PX_LAST</stp>
        <stp>[Basic Pricing.xlsm]Rate_Live!R58C4</stp>
        <tr r="D58" s="39"/>
      </tp>
      <tp t="e">
        <v>#N/A</v>
        <stp/>
        <stp>##V3_BDPV12</stp>
        <stp>ESH1 Comdty</stp>
        <stp>PX_LAST</stp>
        <stp>[Basic Pricing.xlsm]Rate_Live!R113C4</stp>
        <tr r="D113" s="39"/>
      </tp>
      <tp t="e">
        <v>#N/A</v>
        <stp/>
        <stp>##V3_BDHV12</stp>
        <stp>HASWDI10Y CMPN Curncy</stp>
        <stp>LAST_PRICE</stp>
        <stp>4/15/2019</stp>
        <stp>4/15/2019</stp>
        <stp>[Basic Pricing.xlsm]FX_Curve_Live!R170C20</stp>
        <tr r="T170" s="42"/>
      </tp>
      <tp t="e">
        <v>#N/A</v>
        <stp/>
        <stp>##V3_BDHV12</stp>
        <stp>HASWDI10Y CMPN Curncy</stp>
        <stp>LAST_PRICE</stp>
        <stp>4/15/2019</stp>
        <stp>4/15/2019</stp>
        <stp>[Basic Pricing.xlsm]FX_Curve_Live!R171C20</stp>
        <tr r="T171" s="42"/>
      </tp>
      <tp t="e">
        <v>#N/A</v>
        <stp/>
        <stp>##V3_BDHV12</stp>
        <stp>HASWDI10Y CMPN Curncy</stp>
        <stp>LAST_PRICE</stp>
        <stp>4/15/2019</stp>
        <stp>4/15/2019</stp>
        <stp>[Basic Pricing.xlsm]FX_Curve_Live!R172C20</stp>
        <tr r="T172" s="42"/>
      </tp>
      <tp t="e">
        <v>#N/A</v>
        <stp/>
        <stp>##V3_BDHV12</stp>
        <stp>HASWDI10Y CMPN Curncy</stp>
        <stp>LAST_PRICE</stp>
        <stp>4/15/2019</stp>
        <stp>4/15/2019</stp>
        <stp>[Basic Pricing.xlsm]FX_Curve_Live!R165C20</stp>
        <tr r="T165" s="42"/>
      </tp>
      <tp t="e">
        <v>#N/A</v>
        <stp/>
        <stp>##V3_BDHV12</stp>
        <stp>HASWDI10Y CMPN Curncy</stp>
        <stp>LAST_PRICE</stp>
        <stp>4/15/2019</stp>
        <stp>4/15/2019</stp>
        <stp>[Basic Pricing.xlsm]FX_Curve_Live!R166C20</stp>
        <tr r="T166" s="42"/>
      </tp>
      <tp t="e">
        <v>#N/A</v>
        <stp/>
        <stp>##V3_BDHV12</stp>
        <stp>HASWDI10Y CMPN Curncy</stp>
        <stp>LAST_PRICE</stp>
        <stp>4/15/2019</stp>
        <stp>4/15/2019</stp>
        <stp>[Basic Pricing.xlsm]FX_Curve_Live!R167C20</stp>
        <tr r="T167" s="42"/>
      </tp>
      <tp t="e">
        <v>#N/A</v>
        <stp/>
        <stp>##V3_BDHV12</stp>
        <stp>HASWDI10Y CMPN Curncy</stp>
        <stp>LAST_PRICE</stp>
        <stp>4/15/2019</stp>
        <stp>4/15/2019</stp>
        <stp>[Basic Pricing.xlsm]FX_Curve_Live!R168C20</stp>
        <tr r="T168" s="42"/>
      </tp>
      <tp t="e">
        <v>#N/A</v>
        <stp/>
        <stp>##V3_BDHV12</stp>
        <stp>HASWDI10Y CMPN Curncy</stp>
        <stp>LAST_PRICE</stp>
        <stp>4/15/2019</stp>
        <stp>4/15/2019</stp>
        <stp>[Basic Pricing.xlsm]FX_Curve_Live!R169C20</stp>
        <tr r="T169" s="42"/>
      </tp>
      <tp t="e">
        <v>#N/A</v>
        <stp/>
        <stp>##V3_BDHV12</stp>
        <stp>BCN4M BGN Curncy</stp>
        <stp>PX_LAST</stp>
        <stp>4/15/2019</stp>
        <stp>4/15/2019</stp>
        <stp>[Basic Pricing.xlsm]FXFR!R8C4</stp>
        <tr r="D8" s="46"/>
      </tp>
      <tp t="e">
        <v>#N/A</v>
        <stp/>
        <stp>##V3_BDHV12</stp>
        <stp>BCN5M BGN Curncy</stp>
        <stp>PX_LAST</stp>
        <stp>4/15/2019</stp>
        <stp>4/15/2019</stp>
        <stp>[Basic Pricing.xlsm]FXFR!R9C4</stp>
        <tr r="D9" s="46"/>
      </tp>
      <tp t="e">
        <v>#N/A</v>
        <stp/>
        <stp>##V3_BDHV12</stp>
        <stp>BPSW12 Index</stp>
        <stp>PX_LAST</stp>
        <stp>4/15/2019</stp>
        <stp>4/15/2019</stp>
        <stp>[Basic Pricing.xlsm]FX_Curve_History!R91C6</stp>
        <tr r="F91" s="50"/>
      </tp>
      <tp t="e">
        <v>#N/A</v>
        <stp/>
        <stp>##V3_BDHV12</stp>
        <stp>EUSA17 Index</stp>
        <stp>PX_LAST</stp>
        <stp>4/15/2019</stp>
        <stp>4/15/2019</stp>
        <stp>[Basic Pricing.xlsm]FX_Curve_History!R46C6</stp>
        <tr r="F46" s="50"/>
      </tp>
      <tp t="e">
        <v>#N/A</v>
        <stp/>
        <stp>##V3_BDPV12</stp>
        <stp>BPSW2 Index</stp>
        <stp>PX_LAST</stp>
        <stp>[Basic Pricing.xlsm]Rate_Live!R81C6</stp>
        <tr r="F81" s="39"/>
      </tp>
      <tp t="e">
        <v>#N/A</v>
        <stp/>
        <stp>##V3_BDPV12</stp>
        <stp>BPSW6 Index</stp>
        <stp>PX_LAST</stp>
        <stp>[Basic Pricing.xlsm]Rate_Live!R85C6</stp>
        <tr r="F85" s="39"/>
      </tp>
      <tp t="e">
        <v>#N/A</v>
        <stp/>
        <stp>##V3_BDHV12</stp>
        <stp>JYSW15 Index</stp>
        <stp>PX_LAST</stp>
        <stp>4/15/2019</stp>
        <stp>4/15/2019</stp>
        <stp>[Basic Pricing.xlsm]FX_Curve_History!R69C6</stp>
        <tr r="F69" s="50"/>
      </tp>
      <tp t="e">
        <v>#N/A</v>
        <stp/>
        <stp>##V3_BDHV12</stp>
        <stp>USONJ02 ICPL curncy</stp>
        <stp>PX_LAST</stp>
        <stp>4/15/2019</stp>
        <stp>4/15/2019</stp>
        <stp>[Basic Pricing.xlsm]Vol_Surface!R5C12</stp>
        <tr r="L5" s="53"/>
      </tp>
      <tp t="e">
        <v>#N/A</v>
        <stp/>
        <stp>##V3_BDHV12</stp>
        <stp>USONK02 ICPL curncy</stp>
        <stp>PX_LAST</stp>
        <stp>4/15/2019</stp>
        <stp>4/15/2019</stp>
        <stp>[Basic Pricing.xlsm]Vol_Surface!R5C13</stp>
        <tr r="M5" s="53"/>
      </tp>
      <tp t="e">
        <v>#N/A</v>
        <stp/>
        <stp>##V3_BDPV12</stp>
        <stp>EUSA14 Index</stp>
        <stp>PX_LAST</stp>
        <stp>[Basic Pricing.xlsm]Rate_Live!R43C6</stp>
        <tr r="F43" s="39"/>
      </tp>
      <tp t="e">
        <v>#N/A</v>
        <stp/>
        <stp>##V3_BDPV12</stp>
        <stp>EUSA20 Index</stp>
        <stp>PX_LAST</stp>
        <stp>[Basic Pricing.xlsm]Rate_Live!R47C6</stp>
        <tr r="F47" s="39"/>
      </tp>
      <tp t="e">
        <v>#N/A</v>
        <stp/>
        <stp>##V3_BDHV12</stp>
        <stp>BP0002M Index</stp>
        <stp>PX_LAST</stp>
        <stp>4/15/2019</stp>
        <stp>4/15/2019</stp>
        <stp>[Basic Pricing.xlsm]FX_Curve_History!R83C2</stp>
        <tr r="B83" s="50"/>
      </tp>
      <tp t="e">
        <v>#N/A</v>
        <stp/>
        <stp>##V3_BDHV12</stp>
        <stp>CAD6Y BGN Curncy</stp>
        <stp>PX_LAST</stp>
        <stp>4/15/2019</stp>
        <stp>4/15/2019</stp>
        <stp>[Basic Pricing.xlsm]FXFR!R105C4</stp>
        <tr r="D105" s="46"/>
      </tp>
      <tp t="e">
        <v>#N/A</v>
        <stp/>
        <stp>##V3_BDHV12</stp>
        <stp>ESM9 Comdty</stp>
        <stp>PX_LAST</stp>
        <stp>4/15/2019</stp>
        <stp>4/15/2019</stp>
        <stp>[Basic Pricing.xlsm]Rate_History!R106C4</stp>
        <tr r="D106" s="49"/>
      </tp>
      <tp t="e">
        <v>#N/A</v>
        <stp/>
        <stp>##V3_BDPV12</stp>
        <stp>ESZ0 Comdty</stp>
        <stp>PX_LAST</stp>
        <stp>[Basic Pricing.xlsm]Rate_Live!R112C4</stp>
        <tr r="D112" s="39"/>
      </tp>
      <tp t="e">
        <v>#N/A</v>
        <stp/>
        <stp>##V3_BDPV12</stp>
        <stp>YEH0 Comdty</stp>
        <stp>PX_LAST</stp>
        <stp>[Basic Pricing.xlsm]Rate_Live!R59C4</stp>
        <tr r="D59" s="39"/>
      </tp>
      <tp t="e">
        <v>#N/A</v>
        <stp/>
        <stp>##V3_BDHV12</stp>
        <stp>BAM9 Comdty</stp>
        <stp>PX_LAST</stp>
        <stp>4/15/2019</stp>
        <stp>4/15/2019</stp>
        <stp>[Basic Pricing.xlsm]Rate_History!R131C4</stp>
        <tr r="D131" s="49"/>
      </tp>
      <tp t="e">
        <v>#N/A</v>
        <stp/>
        <stp>##V3_BDHV12</stp>
        <stp>EUR012m Index</stp>
        <stp>PX_LAST</stp>
        <stp>4/15/2019</stp>
        <stp>4/15/2019</stp>
        <stp>[Basic Pricing.xlsm]FX_Curve_History!R36C2</stp>
        <tr r="B36" s="50"/>
      </tp>
      <tp t="e">
        <v>#N/A</v>
        <stp/>
        <stp>##V3_BDHV12</stp>
        <stp>BPSW11 Index</stp>
        <stp>PX_LAST</stp>
        <stp>4/15/2019</stp>
        <stp>4/15/2019</stp>
        <stp>[Basic Pricing.xlsm]FX_Curve_History!R90C6</stp>
        <tr r="F90" s="50"/>
      </tp>
      <tp t="e">
        <v>#N/A</v>
        <stp/>
        <stp>##V3_BDPV12</stp>
        <stp>JYSW8 Index</stp>
        <stp>PX_LAST</stp>
        <stp>[Basic Pricing.xlsm]Rate_Live!R62C6</stp>
        <tr r="F62" s="39"/>
      </tp>
      <tp t="e">
        <v>#N/A</v>
        <stp/>
        <stp>##V3_BDPV12</stp>
        <stp>JYSW9 Index</stp>
        <stp>PX_LAST</stp>
        <stp>[Basic Pricing.xlsm]Rate_Live!R63C6</stp>
        <tr r="F63" s="39"/>
      </tp>
      <tp t="e">
        <v>#N/A</v>
        <stp/>
        <stp>##V3_BDHV12</stp>
        <stp>JYSW14 Index</stp>
        <stp>PX_LAST</stp>
        <stp>4/15/2019</stp>
        <stp>4/15/2019</stp>
        <stp>[Basic Pricing.xlsm]FX_Curve_History!R68C6</stp>
        <tr r="F68" s="50"/>
      </tp>
      <tp t="e">
        <v>#N/A</v>
        <stp/>
        <stp>##V3_BDHV12</stp>
        <stp>USONJ03 ICPL curncy</stp>
        <stp>PX_LAST</stp>
        <stp>4/15/2019</stp>
        <stp>4/15/2019</stp>
        <stp>[Basic Pricing.xlsm]Vol_Surface!R6C12</stp>
        <tr r="L6" s="53"/>
      </tp>
      <tp t="e">
        <v>#N/A</v>
        <stp/>
        <stp>##V3_BDHV12</stp>
        <stp>USONK03 ICPL curncy</stp>
        <stp>PX_LAST</stp>
        <stp>4/15/2019</stp>
        <stp>4/15/2019</stp>
        <stp>[Basic Pricing.xlsm]Vol_Surface!R6C13</stp>
        <tr r="M6" s="53"/>
      </tp>
      <tp t="e">
        <v>#N/A</v>
        <stp/>
        <stp>##V3_BDPV12</stp>
        <stp>USSW20 Index</stp>
        <stp>PX_LAST</stp>
        <stp>[Basic Pricing.xlsm]Rate_Live!R22C6</stp>
        <tr r="F22" s="39"/>
      </tp>
      <tp t="e">
        <v>#N/A</v>
        <stp/>
        <stp>##V3_BDPV12</stp>
        <stp>BPSW11 Index</stp>
        <stp>PX_LAST</stp>
        <stp>[Basic Pricing.xlsm]Rate_Live!R90C6</stp>
        <tr r="F90" s="39"/>
      </tp>
      <tp t="e">
        <v>#N/A</v>
        <stp/>
        <stp>##V3_BDPV12</stp>
        <stp>BPSW13 Index</stp>
        <stp>PX_LAST</stp>
        <stp>[Basic Pricing.xlsm]Rate_Live!R92C6</stp>
        <tr r="F92" s="39"/>
      </tp>
      <tp t="e">
        <v>#N/A</v>
        <stp/>
        <stp>##V3_BDPV12</stp>
        <stp>BPSW15 Index</stp>
        <stp>PX_LAST</stp>
        <stp>[Basic Pricing.xlsm]Rate_Live!R94C6</stp>
        <tr r="F94" s="39"/>
      </tp>
      <tp t="e">
        <v>#N/A</v>
        <stp/>
        <stp>##V3_BDPV12</stp>
        <stp>BPSW17 Index</stp>
        <stp>PX_LAST</stp>
        <stp>[Basic Pricing.xlsm]Rate_Live!R96C6</stp>
        <tr r="F96" s="39"/>
      </tp>
      <tp t="e">
        <v>#N/A</v>
        <stp/>
        <stp>##V3_BDHV12</stp>
        <stp>EUSA40 CMPN Curncy</stp>
        <stp>Close</stp>
        <stp>04/15/2019 11:15:00</stp>
        <stp>04/15/2019 11:16:00</stp>
        <stp>[Basic Pricing.xlsm]Rate_History!R50C18</stp>
        <stp>BarType</stp>
        <stp>T</stp>
        <stp>Dir=V</stp>
        <stp>cols=2;rows=1</stp>
        <tr r="R50" s="49"/>
      </tp>
      <tp t="e">
        <v>#N/A</v>
        <stp/>
        <stp>##V3_BDPV12</stp>
        <stp>ESU0 Comdty</stp>
        <stp>PX_LAST</stp>
        <stp>[Basic Pricing.xlsm]Rate_Live!R111C4</stp>
        <tr r="D111" s="39"/>
      </tp>
      <tp t="e">
        <v>#N/A</v>
        <stp/>
        <stp>##V3_BDHV12</stp>
        <stp>CAD7Y BGN Curncy</stp>
        <stp>PX_LAST</stp>
        <stp>4/15/2019</stp>
        <stp>4/15/2019</stp>
        <stp>[Basic Pricing.xlsm]FXFR!R106C4</stp>
        <tr r="D106" s="46"/>
      </tp>
      <tp t="e">
        <v>#N/A</v>
        <stp/>
        <stp>##V3_BDHV12</stp>
        <stp>BAU9 Comdty</stp>
        <stp>PX_LAST</stp>
        <stp>4/15/2019</stp>
        <stp>4/15/2019</stp>
        <stp>[Basic Pricing.xlsm]Rate_History!R132C4</stp>
        <tr r="D132" s="49"/>
      </tp>
      <tp t="e">
        <v>#N/A</v>
        <stp/>
        <stp>##V3_BDPV12</stp>
        <stp>US0012m Index</stp>
        <stp>PX_LAST</stp>
        <stp>[Basic Pricing.xlsm]FX_Curve_Live!R11C2</stp>
        <tr r="B11" s="42"/>
      </tp>
      <tp t="e">
        <v>#N/A</v>
        <stp/>
        <stp>##V3_BDHV12</stp>
        <stp>EUR003m Index</stp>
        <stp>PX_LAST</stp>
        <stp>4/15/2019</stp>
        <stp>4/15/2019</stp>
        <stp>[Basic Pricing.xlsm]FX_Curve_History!R34C2</stp>
        <tr r="B34" s="50"/>
      </tp>
      <tp t="e">
        <v>#N/A</v>
        <stp/>
        <stp>##V3_BDPV12</stp>
        <stp>BPSW3 Index</stp>
        <stp>PX_LAST</stp>
        <stp>[Basic Pricing.xlsm]Rate_Live!R82C6</stp>
        <tr r="F82" s="39"/>
      </tp>
      <tp t="e">
        <v>#N/A</v>
        <stp/>
        <stp>##V3_BDPV12</stp>
        <stp>BPSW5 Index</stp>
        <stp>PX_LAST</stp>
        <stp>[Basic Pricing.xlsm]Rate_Live!R84C6</stp>
        <tr r="F84" s="39"/>
      </tp>
      <tp t="e">
        <v>#N/A</v>
        <stp/>
        <stp>##V3_BDPV12</stp>
        <stp>BPSW7 Index</stp>
        <stp>PX_LAST</stp>
        <stp>[Basic Pricing.xlsm]Rate_Live!R86C6</stp>
        <tr r="F86" s="39"/>
      </tp>
      <tp t="e">
        <v>#N/A</v>
        <stp/>
        <stp>##V3_BDPV12</stp>
        <stp>BPSW9 Index</stp>
        <stp>PX_LAST</stp>
        <stp>[Basic Pricing.xlsm]Rate_Live!R88C6</stp>
        <tr r="F88" s="39"/>
      </tp>
      <tp t="e">
        <v>#N/A</v>
        <stp/>
        <stp>##V3_BDHV12</stp>
        <stp>EUSA15 Index</stp>
        <stp>PX_LAST</stp>
        <stp>4/15/2019</stp>
        <stp>4/15/2019</stp>
        <stp>[Basic Pricing.xlsm]FX_Curve_History!R44C6</stp>
        <tr r="F44" s="50"/>
      </tp>
      <tp t="e">
        <v>#N/A</v>
        <stp/>
        <stp>##V3_BDHV12</stp>
        <stp>BPSW14 Index</stp>
        <stp>PX_LAST</stp>
        <stp>4/15/2019</stp>
        <stp>4/15/2019</stp>
        <stp>[Basic Pricing.xlsm]FX_Curve_History!R93C6</stp>
        <tr r="F93" s="50"/>
      </tp>
      <tp t="e">
        <v>#N/A</v>
        <stp/>
        <stp>##V3_BDHV12</stp>
        <stp>EUSA20 Index</stp>
        <stp>PX_LAST</stp>
        <stp>4/15/2019</stp>
        <stp>4/15/2019</stp>
        <stp>[Basic Pricing.xlsm]FX_Curve_History!R47C6</stp>
        <tr r="F47" s="50"/>
      </tp>
      <tp t="e">
        <v>#N/A</v>
        <stp/>
        <stp>##V3_BDHV12</stp>
        <stp>YEU9 Comdty</stp>
        <stp>PX_LAST</stp>
        <stp>4/15/2019</stp>
        <stp>4/15/2019</stp>
        <stp>[Basic Pricing.xlsm]FX_Curve_History!R57C4</stp>
        <tr r="D57" s="50"/>
      </tp>
      <tp t="e">
        <v>#N/A</v>
        <stp/>
        <stp>##V3_BDHV12</stp>
        <stp>EDU9 Comdty</stp>
        <stp>PX_LAST</stp>
        <stp>4/15/2019</stp>
        <stp>4/15/2019</stp>
        <stp>[Basic Pricing.xlsm]Rate_History!R7C4</stp>
        <tr r="D7" s="49"/>
      </tp>
      <tp t="e">
        <v>#N/A</v>
        <stp/>
        <stp>##V3_BDHV12</stp>
        <stp>EDZ9 Comdty</stp>
        <stp>PX_LAST</stp>
        <stp>4/15/2019</stp>
        <stp>4/15/2019</stp>
        <stp>[Basic Pricing.xlsm]Rate_History!R8C4</stp>
        <tr r="D8" s="49"/>
      </tp>
      <tp t="e">
        <v>#N/A</v>
        <stp/>
        <stp>##V3_BDPV12</stp>
        <stp>EUR001m Index</stp>
        <stp>PX_LAST</stp>
        <stp>[Basic Pricing.xlsm]Rate_Live!R32C2</stp>
        <tr r="B32" s="39"/>
      </tp>
      <tp t="e">
        <v>#N/A</v>
        <stp/>
        <stp>##V3_BDHV12</stp>
        <stp>JY0002M Index</stp>
        <stp>PX_LAST</stp>
        <stp>4/15/2019</stp>
        <stp>4/15/2019</stp>
        <stp>[Basic Pricing.xlsm]FX_Curve_History!R58C2</stp>
        <tr r="B58" s="50"/>
      </tp>
      <tp t="e">
        <v>#N/A</v>
        <stp/>
        <stp>##V3_BDHV12</stp>
        <stp>JY0003M Index</stp>
        <stp>PX_LAST</stp>
        <stp>4/15/2019</stp>
        <stp>4/15/2019</stp>
        <stp>[Basic Pricing.xlsm]FX_Curve_History!R59C2</stp>
        <tr r="B59" s="50"/>
      </tp>
      <tp t="e">
        <v>#N/A</v>
        <stp/>
        <stp>##V3_BDHV12</stp>
        <stp>BP0001M Index</stp>
        <stp>PX_LAST</stp>
        <stp>4/15/2019</stp>
        <stp>4/15/2019</stp>
        <stp>[Basic Pricing.xlsm]FX_Curve_History!R82C2</stp>
        <tr r="B82" s="50"/>
      </tp>
      <tp t="e">
        <v>#N/A</v>
        <stp/>
        <stp>##V3_BDHV12</stp>
        <stp>BP0006M Index</stp>
        <stp>PX_LAST</stp>
        <stp>4/15/2019</stp>
        <stp>4/15/2019</stp>
        <stp>[Basic Pricing.xlsm]FX_Curve_History!R85C2</stp>
        <tr r="B85" s="50"/>
      </tp>
      <tp t="e">
        <v>#N/A</v>
        <stp/>
        <stp>##V3_BDHV12</stp>
        <stp>CDOR03 Index</stp>
        <stp>PX_LAST</stp>
        <stp>4/15/2019</stp>
        <stp>4/15/2019</stp>
        <stp>[Basic Pricing.xlsm]Rate_History!R134C2</stp>
        <tr r="B134" s="49"/>
      </tp>
      <tp t="e">
        <v>#N/A</v>
        <stp/>
        <stp>##V3_BDHV12</stp>
        <stp>EUSA16 CMPN Curncy</stp>
        <stp>Close</stp>
        <stp>04/15/2019 11:15:00</stp>
        <stp>04/15/2019 11:16:00</stp>
        <stp>[Basic Pricing.xlsm]Rate_History!R45C18</stp>
        <stp>BarType</stp>
        <stp>T</stp>
        <stp>Dir=V</stp>
        <stp>cols=2;rows=1</stp>
        <tr r="R45" s="49"/>
      </tp>
      <tp t="e">
        <v>#N/A</v>
        <stp/>
        <stp>##V3_BDHV12</stp>
        <stp>EUSA15 CMPN Curncy</stp>
        <stp>Close</stp>
        <stp>04/15/2019 11:15:00</stp>
        <stp>04/15/2019 11:16:00</stp>
        <stp>[Basic Pricing.xlsm]Rate_History!R44C18</stp>
        <stp>BarType</stp>
        <stp>T</stp>
        <stp>Dir=V</stp>
        <stp>cols=2;rows=1</stp>
        <tr r="R44" s="49"/>
      </tp>
      <tp t="e">
        <v>#N/A</v>
        <stp/>
        <stp>##V3_BDHV12</stp>
        <stp>EUSA20 CMPN Curncy</stp>
        <stp>Close</stp>
        <stp>04/15/2019 11:15:00</stp>
        <stp>04/15/2019 11:16:00</stp>
        <stp>[Basic Pricing.xlsm]Rate_History!R47C18</stp>
        <stp>BarType</stp>
        <stp>T</stp>
        <stp>Dir=V</stp>
        <stp>cols=2;rows=1</stp>
        <tr r="R47" s="49"/>
      </tp>
      <tp t="e">
        <v>#N/A</v>
        <stp/>
        <stp>##V3_BDHV12</stp>
        <stp>EUSA17 CMPN Curncy</stp>
        <stp>Close</stp>
        <stp>04/15/2019 11:15:00</stp>
        <stp>04/15/2019 11:16:00</stp>
        <stp>[Basic Pricing.xlsm]Rate_History!R46C18</stp>
        <stp>BarType</stp>
        <stp>T</stp>
        <stp>Dir=V</stp>
        <stp>cols=2;rows=1</stp>
        <tr r="R46" s="49"/>
      </tp>
      <tp t="e">
        <v>#N/A</v>
        <stp/>
        <stp>##V3_BDHV12</stp>
        <stp>EUSA12 CMPN Curncy</stp>
        <stp>Close</stp>
        <stp>04/15/2019 11:15:00</stp>
        <stp>04/15/2019 11:16:00</stp>
        <stp>[Basic Pricing.xlsm]Rate_History!R41C18</stp>
        <stp>BarType</stp>
        <stp>T</stp>
        <stp>Dir=V</stp>
        <stp>cols=2;rows=1</stp>
        <tr r="R41" s="49"/>
      </tp>
      <tp t="e">
        <v>#N/A</v>
        <stp/>
        <stp>##V3_BDHV12</stp>
        <stp>EUSA11 CMPN Curncy</stp>
        <stp>Close</stp>
        <stp>04/15/2019 11:15:00</stp>
        <stp>04/15/2019 11:16:00</stp>
        <stp>[Basic Pricing.xlsm]Rate_History!R40C18</stp>
        <stp>BarType</stp>
        <stp>T</stp>
        <stp>Dir=V</stp>
        <stp>cols=2;rows=1</stp>
        <tr r="R40" s="49"/>
      </tp>
      <tp t="e">
        <v>#N/A</v>
        <stp/>
        <stp>##V3_BDHV12</stp>
        <stp>EUSA14 CMPN Curncy</stp>
        <stp>Close</stp>
        <stp>04/15/2019 11:15:00</stp>
        <stp>04/15/2019 11:16:00</stp>
        <stp>[Basic Pricing.xlsm]Rate_History!R43C18</stp>
        <stp>BarType</stp>
        <stp>T</stp>
        <stp>Dir=V</stp>
        <stp>cols=2;rows=1</stp>
        <tr r="R43" s="49"/>
      </tp>
      <tp t="e">
        <v>#N/A</v>
        <stp/>
        <stp>##V3_BDHV12</stp>
        <stp>EUSA13 CMPN Curncy</stp>
        <stp>Close</stp>
        <stp>04/15/2019 11:15:00</stp>
        <stp>04/15/2019 11:16:00</stp>
        <stp>[Basic Pricing.xlsm]Rate_History!R42C18</stp>
        <stp>BarType</stp>
        <stp>T</stp>
        <stp>Dir=V</stp>
        <stp>cols=2;rows=1</stp>
        <tr r="R42" s="49"/>
      </tp>
      <tp t="e">
        <v>#N/A</v>
        <stp/>
        <stp>##V3_BDHV12</stp>
        <stp>CAD8Y BGN Curncy</stp>
        <stp>PX_LAST</stp>
        <stp>4/15/2019</stp>
        <stp>4/15/2019</stp>
        <stp>[Basic Pricing.xlsm]FXFR!R107C4</stp>
        <tr r="D107" s="46"/>
      </tp>
      <tp t="e">
        <v>#N/A</v>
        <stp/>
        <stp>##V3_BDHV12</stp>
        <stp>EUSA25 CMPN Curncy</stp>
        <stp>Close</stp>
        <stp>04/15/2019 11:15:00</stp>
        <stp>04/15/2019 11:16:00</stp>
        <stp>[Basic Pricing.xlsm]Rate_History!R48C18</stp>
        <stp>BarType</stp>
        <stp>T</stp>
        <stp>Dir=V</stp>
        <stp>cols=2;rows=1</stp>
        <tr r="R48" s="49"/>
      </tp>
      <tp t="e">
        <v>#N/A</v>
        <stp/>
        <stp>##V3_BDHV12</stp>
        <stp>EUSA30 CMPN Curncy</stp>
        <stp>Close</stp>
        <stp>04/15/2019 11:15:00</stp>
        <stp>04/15/2019 11:16:00</stp>
        <stp>[Basic Pricing.xlsm]Rate_History!R49C18</stp>
        <stp>BarType</stp>
        <stp>T</stp>
        <stp>Dir=V</stp>
        <stp>cols=2;rows=1</stp>
        <tr r="R49" s="49"/>
      </tp>
      <tp t="e">
        <v>#N/A</v>
        <stp/>
        <stp>##V3_BDHV12</stp>
        <stp>BAZ9 Comdty</stp>
        <stp>PX_LAST</stp>
        <stp>4/15/2019</stp>
        <stp>4/15/2019</stp>
        <stp>[Basic Pricing.xlsm]Rate_History!R133C4</stp>
        <tr r="D133" s="49"/>
      </tp>
      <tp t="e">
        <v>#N/A</v>
        <stp/>
        <stp>##V3_BDPV12</stp>
        <stp>US0006m Index</stp>
        <stp>PX_LAST</stp>
        <stp>[Basic Pricing.xlsm]FX_Curve_Live!R10C2</stp>
        <tr r="B10" s="42"/>
      </tp>
      <tp t="e">
        <v>#N/A</v>
        <stp/>
        <stp>##V3_BDPV12</stp>
        <stp>ESM0 Comdty</stp>
        <stp>PX_LAST</stp>
        <stp>[Basic Pricing.xlsm]Rate_Live!R110C4</stp>
        <tr r="D110" s="39"/>
      </tp>
      <tp t="e">
        <v>#N/A</v>
        <stp/>
        <stp>##V3_BDHV12</stp>
        <stp>BPSW13 Index</stp>
        <stp>PX_LAST</stp>
        <stp>4/15/2019</stp>
        <stp>4/15/2019</stp>
        <stp>[Basic Pricing.xlsm]FX_Curve_History!R92C6</stp>
        <tr r="F92" s="50"/>
      </tp>
      <tp t="e">
        <v>#N/A</v>
        <stp/>
        <stp>##V3_BDHV12</stp>
        <stp>EUSA16 Index</stp>
        <stp>PX_LAST</stp>
        <stp>4/15/2019</stp>
        <stp>4/15/2019</stp>
        <stp>[Basic Pricing.xlsm]FX_Curve_History!R45C6</stp>
        <tr r="F45" s="50"/>
      </tp>
      <tp t="e">
        <v>#N/A</v>
        <stp/>
        <stp>##V3_BDPV12</stp>
        <stp>EUSA4 Index</stp>
        <stp>PX_LAST</stp>
        <stp>[Basic Pricing.xlsm]Rate_Live!R33C6</stp>
        <tr r="F33" s="39"/>
      </tp>
      <tp t="e">
        <v>#N/A</v>
        <stp/>
        <stp>##V3_BDHV12</stp>
        <stp>EUSA40 Index</stp>
        <stp>PX_LAST</stp>
        <stp>4/15/2019</stp>
        <stp>4/15/2019</stp>
        <stp>[Basic Pricing.xlsm]FX_Curve_History!R50C6</stp>
        <tr r="F50" s="50"/>
      </tp>
      <tp t="e">
        <v>#N/A</v>
        <stp/>
        <stp>##V3_BDHV12</stp>
        <stp>YEM9 Comdty</stp>
        <stp>PX_LAST</stp>
        <stp>4/15/2019</stp>
        <stp>4/15/2019</stp>
        <stp>[Basic Pricing.xlsm]FX_Curve_History!R56C4</stp>
        <tr r="D56" s="50"/>
      </tp>
      <tp t="e">
        <v>#N/A</v>
        <stp/>
        <stp>##V3_BDPV12</stp>
        <stp>EUR002m Index</stp>
        <stp>PX_LAST</stp>
        <stp>[Basic Pricing.xlsm]Rate_Live!R33C2</stp>
        <tr r="B33" s="39"/>
        <tr r="B33" s="39"/>
      </tp>
      <tp t="e">
        <v>#N/A</v>
        <stp/>
        <stp>##V3_BDHV12</stp>
        <stp>USONJ01 ICPL curncy</stp>
        <stp>PX_LAST</stp>
        <stp>4/15/2019</stp>
        <stp>4/15/2019</stp>
        <stp>[Basic Pricing.xlsm]Vol_Surface!R4C12</stp>
        <tr r="L4" s="53"/>
      </tp>
      <tp t="e">
        <v>#N/A</v>
        <stp/>
        <stp>##V3_BDHV12</stp>
        <stp>USONK01 ICPL curncy</stp>
        <stp>PX_LAST</stp>
        <stp>4/15/2019</stp>
        <stp>4/15/2019</stp>
        <stp>[Basic Pricing.xlsm]Vol_Surface!R4C13</stp>
        <tr r="M4" s="53"/>
      </tp>
      <tp t="e">
        <v>#N/A</v>
        <stp/>
        <stp>##V3_BDPV12</stp>
        <stp>USSW30 Index</stp>
        <stp>PX_LAST</stp>
        <stp>[Basic Pricing.xlsm]Rate_Live!R24C6</stp>
        <tr r="F24" s="39"/>
      </tp>
      <tp t="e">
        <v>#N/A</v>
        <stp/>
        <stp>##V3_BDPV12</stp>
        <stp>USSW10 Index</stp>
        <stp>PX_LAST</stp>
        <stp>[Basic Pricing.xlsm]Rate_Live!R14C6</stp>
        <tr r="F14" s="39"/>
      </tp>
      <tp t="e">
        <v>#N/A</v>
        <stp/>
        <stp>##V3_BDPV12</stp>
        <stp>USSW11 Index</stp>
        <stp>PX_LAST</stp>
        <stp>[Basic Pricing.xlsm]Rate_Live!R15C6</stp>
        <tr r="F15" s="39"/>
      </tp>
      <tp t="e">
        <v>#N/A</v>
        <stp/>
        <stp>##V3_BDPV12</stp>
        <stp>USSW12 Index</stp>
        <stp>PX_LAST</stp>
        <stp>[Basic Pricing.xlsm]Rate_Live!R16C6</stp>
        <tr r="F16" s="39"/>
      </tp>
      <tp t="e">
        <v>#N/A</v>
        <stp/>
        <stp>##V3_BDPV12</stp>
        <stp>USSW13 Index</stp>
        <stp>PX_LAST</stp>
        <stp>[Basic Pricing.xlsm]Rate_Live!R17C6</stp>
        <tr r="F17" s="39"/>
      </tp>
      <tp t="e">
        <v>#N/A</v>
        <stp/>
        <stp>##V3_BDPV12</stp>
        <stp>BPSW20 Index</stp>
        <stp>PX_LAST</stp>
        <stp>[Basic Pricing.xlsm]Rate_Live!R97C6</stp>
        <tr r="F97" s="39"/>
      </tp>
      <tp t="e">
        <v>#N/A</v>
        <stp/>
        <stp>##V3_BDPV12</stp>
        <stp>BPSW14 Index</stp>
        <stp>PX_LAST</stp>
        <stp>[Basic Pricing.xlsm]Rate_Live!R93C6</stp>
        <tr r="F93" s="39"/>
      </tp>
      <tp t="e">
        <v>#N/A</v>
        <stp/>
        <stp>##V3_BDHV12</stp>
        <stp>BP0012M Index</stp>
        <stp>PX_LAST</stp>
        <stp>4/15/2019</stp>
        <stp>4/15/2019</stp>
        <stp>[Basic Pricing.xlsm]FX_Curve_History!R86C2</stp>
        <tr r="B86" s="50"/>
      </tp>
      <tp t="e">
        <v>#N/A</v>
        <stp/>
        <stp>##V3_BDPV12</stp>
        <stp>ESU9 Comdty</stp>
        <stp>PX_LAST</stp>
        <stp>[Basic Pricing.xlsm]Rate_Live!R107C4</stp>
        <tr r="D107" s="39"/>
      </tp>
      <tp t="e">
        <v>#N/A</v>
        <stp/>
        <stp>##V3_BDHV12</stp>
        <stp>ESH1 Comdty</stp>
        <stp>PX_LAST</stp>
        <stp>4/15/2019</stp>
        <stp>4/15/2019</stp>
        <stp>[Basic Pricing.xlsm]Rate_History!R113C4</stp>
        <tr r="D113" s="49"/>
      </tp>
      <tp t="e">
        <v>#N/A</v>
        <stp/>
        <stp>##V3_BDHV12</stp>
        <stp>CHF8Y BGN Curncy</stp>
        <stp>PX_LAST</stp>
        <stp>4/15/2019</stp>
        <stp>4/15/2019</stp>
        <stp>[Basic Pricing.xlsm]FXFR!R129C4</stp>
        <tr r="D129" s="46"/>
      </tp>
      <tp t="e">
        <v>#N/A</v>
        <stp/>
        <stp>##V3_BDHV12</stp>
        <stp>CHF5M BGN Curncy</stp>
        <stp>PX_LAST</stp>
        <stp>4/15/2019</stp>
        <stp>4/15/2019</stp>
        <stp>[Basic Pricing.xlsm]FXFR!R119C4</stp>
        <tr r="D119" s="46"/>
      </tp>
      <tp t="e">
        <v>#N/A</v>
        <stp/>
        <stp>##V3_BDHV12</stp>
        <stp>EUSA10 CMPN Curncy</stp>
        <stp>Close</stp>
        <stp>04/15/2019 11:15:00</stp>
        <stp>04/15/2019 11:16:00</stp>
        <stp>[Basic Pricing.xlsm]Rate_History!R39C18</stp>
        <stp>BarType</stp>
        <stp>T</stp>
        <stp>Dir=V</stp>
        <stp>cols=2;rows=1</stp>
        <tr r="R39" s="49"/>
      </tp>
      <tp t="e">
        <v>#N/A</v>
        <stp/>
        <stp>##V3_BDPV12</stp>
        <stp>JYBS20 Index</stp>
        <stp>PX_LAST</stp>
        <stp>[Basic Pricing.xlsm]FX_Curve_Live!R72C13</stp>
        <tr r="M72" s="42"/>
      </tp>
      <tp t="e">
        <v>#N/A</v>
        <stp/>
        <stp>##V3_BDPV12</stp>
        <stp>JYBS25 Index</stp>
        <stp>PX_LAST</stp>
        <stp>[Basic Pricing.xlsm]FX_Curve_Live!R73C13</stp>
        <tr r="M73" s="42"/>
      </tp>
      <tp t="e">
        <v>#N/A</v>
        <stp/>
        <stp>##V3_BDPV12</stp>
        <stp>JYBS30 Index</stp>
        <stp>PX_LAST</stp>
        <stp>[Basic Pricing.xlsm]FX_Curve_Live!R74C13</stp>
        <tr r="M74" s="42"/>
      </tp>
      <tp t="e">
        <v>#N/A</v>
        <stp/>
        <stp>##V3_BDPV12</stp>
        <stp>JYBS15 Index</stp>
        <stp>PX_LAST</stp>
        <stp>[Basic Pricing.xlsm]FX_Curve_Live!R69C13</stp>
        <tr r="M69" s="42"/>
      </tp>
      <tp t="e">
        <v>#N/A</v>
        <stp/>
        <stp>##V3_BDPV12</stp>
        <stp>JYBS10 Index</stp>
        <stp>PX_LAST</stp>
        <stp>[Basic Pricing.xlsm]FX_Curve_Live!R64C13</stp>
        <tr r="M64" s="42"/>
      </tp>
      <tp t="e">
        <v>#N/A</v>
        <stp/>
        <stp>##V3_BDPV12</stp>
        <stp>JYBS11 Index</stp>
        <stp>PX_LAST</stp>
        <stp>[Basic Pricing.xlsm]FX_Curve_Live!R65C13</stp>
        <tr r="M65" s="42"/>
      </tp>
      <tp t="e">
        <v>#N/A</v>
        <stp/>
        <stp>##V3_BDPV12</stp>
        <stp>JYBS12 Index</stp>
        <stp>PX_LAST</stp>
        <stp>[Basic Pricing.xlsm]FX_Curve_Live!R66C13</stp>
        <tr r="M66" s="42"/>
      </tp>
      <tp t="e">
        <v>#N/A</v>
        <stp/>
        <stp>##V3_BDPV12</stp>
        <stp>BPBS10 Index</stp>
        <stp>PX_LAST</stp>
        <stp>[Basic Pricing.xlsm]FX_Curve_Live!R89C13</stp>
        <tr r="M89" s="42"/>
      </tp>
      <tp t="e">
        <v>#N/A</v>
        <stp/>
        <stp>##V3_BDPV12</stp>
        <stp>BPBS12 Index</stp>
        <stp>PX_LAST</stp>
        <stp>[Basic Pricing.xlsm]FX_Curve_Live!R91C13</stp>
        <tr r="M91" s="42"/>
      </tp>
      <tp t="e">
        <v>#N/A</v>
        <stp/>
        <stp>##V3_BDPV12</stp>
        <stp>BPBS11 Index</stp>
        <stp>PX_LAST</stp>
        <stp>[Basic Pricing.xlsm]FX_Curve_Live!R90C13</stp>
        <tr r="M90" s="42"/>
      </tp>
      <tp t="e">
        <v>#N/A</v>
        <stp/>
        <stp>##V3_BDPV12</stp>
        <stp>BPBS15 Index</stp>
        <stp>PX_LAST</stp>
        <stp>[Basic Pricing.xlsm]FX_Curve_Live!R94C13</stp>
        <tr r="M94" s="42"/>
      </tp>
      <tp t="e">
        <v>#N/A</v>
        <stp/>
        <stp>##V3_BDPV12</stp>
        <stp>BPBS20 Index</stp>
        <stp>PX_LAST</stp>
        <stp>[Basic Pricing.xlsm]FX_Curve_Live!R97C13</stp>
        <tr r="M97" s="42"/>
      </tp>
      <tp t="e">
        <v>#N/A</v>
        <stp/>
        <stp>##V3_BDPV12</stp>
        <stp>JYBS40 Index</stp>
        <stp>PX_LAST</stp>
        <stp>[Basic Pricing.xlsm]FX_Curve_Live!R75C13</stp>
        <tr r="M75" s="42"/>
      </tp>
      <tp t="e">
        <v>#N/A</v>
        <stp/>
        <stp>##V3_BDPV12</stp>
        <stp>BPBS25 Index</stp>
        <stp>PX_LAST</stp>
        <stp>[Basic Pricing.xlsm]FX_Curve_Live!R98C13</stp>
        <tr r="M98" s="42"/>
      </tp>
      <tp t="e">
        <v>#N/A</v>
        <stp/>
        <stp>##V3_BDPV12</stp>
        <stp>EUBS10 Index</stp>
        <stp>PX_LAST</stp>
        <stp>[Basic Pricing.xlsm]FX_Curve_Live!R39C13</stp>
        <tr r="M39" s="42"/>
      </tp>
      <tp t="e">
        <v>#N/A</v>
        <stp/>
        <stp>##V3_BDPV12</stp>
        <stp>EUBS40 Index</stp>
        <stp>PX_LAST</stp>
        <stp>[Basic Pricing.xlsm]FX_Curve_Live!R50C13</stp>
        <tr r="M50" s="42"/>
      </tp>
      <tp t="e">
        <v>#N/A</v>
        <stp/>
        <stp>##V3_BDPV12</stp>
        <stp>EUBS20 Index</stp>
        <stp>PX_LAST</stp>
        <stp>[Basic Pricing.xlsm]FX_Curve_Live!R47C13</stp>
        <tr r="M47" s="42"/>
      </tp>
      <tp t="e">
        <v>#N/A</v>
        <stp/>
        <stp>##V3_BDPV12</stp>
        <stp>EUBS25 Index</stp>
        <stp>PX_LAST</stp>
        <stp>[Basic Pricing.xlsm]FX_Curve_Live!R48C13</stp>
        <tr r="M48" s="42"/>
      </tp>
      <tp t="e">
        <v>#N/A</v>
        <stp/>
        <stp>##V3_BDPV12</stp>
        <stp>EUBS30 Index</stp>
        <stp>PX_LAST</stp>
        <stp>[Basic Pricing.xlsm]FX_Curve_Live!R49C13</stp>
        <tr r="M49" s="42"/>
      </tp>
      <tp t="e">
        <v>#N/A</v>
        <stp/>
        <stp>##V3_BDPV12</stp>
        <stp>EUBS12 Index</stp>
        <stp>PX_LAST</stp>
        <stp>[Basic Pricing.xlsm]FX_Curve_Live!R41C13</stp>
        <tr r="M41" s="42"/>
      </tp>
      <tp t="e">
        <v>#N/A</v>
        <stp/>
        <stp>##V3_BDPV12</stp>
        <stp>EUBS11 Index</stp>
        <stp>PX_LAST</stp>
        <stp>[Basic Pricing.xlsm]FX_Curve_Live!R40C13</stp>
        <tr r="M40" s="42"/>
      </tp>
      <tp t="e">
        <v>#N/A</v>
        <stp/>
        <stp>##V3_BDPV12</stp>
        <stp>EUBS15 Index</stp>
        <stp>PX_LAST</stp>
        <stp>[Basic Pricing.xlsm]FX_Curve_Live!R44C13</stp>
        <tr r="M44" s="42"/>
      </tp>
      <tp t="e">
        <v>#N/A</v>
        <stp/>
        <stp>##V3_BDHV12</stp>
        <stp>BAH0 Comdty</stp>
        <stp>PX_LAST</stp>
        <stp>4/15/2019</stp>
        <stp>4/15/2019</stp>
        <stp>[Basic Pricing.xlsm]Rate_History!R134C4</stp>
        <tr r="D134" s="49"/>
      </tp>
      <tp t="e">
        <v>#N/A</v>
        <stp/>
        <stp>##V3_BDHV12</stp>
        <stp>ERM9 Comdty</stp>
        <stp>PX_LAST</stp>
        <stp>4/15/2019</stp>
        <stp>4/15/2019</stp>
        <stp>[Basic Pricing.xlsm]FX_Curve_History!R31C4</stp>
        <tr r="D31" s="50"/>
      </tp>
      <tp t="e">
        <v>#N/A</v>
        <stp/>
        <stp>##V3_BDHV12</stp>
        <stp>L M9 Comdty</stp>
        <stp>PX_LAST</stp>
        <stp>4/15/2019</stp>
        <stp>4/15/2019</stp>
        <stp>[Basic Pricing.xlsm]FX_Curve_History!R81C4</stp>
        <tr r="D81" s="50"/>
      </tp>
      <tp t="e">
        <v>#N/A</v>
        <stp/>
        <stp>##V3_BDHV12</stp>
        <stp>EUR002m Index</stp>
        <stp>PX_LAST</stp>
        <stp>4/15/2019</stp>
        <stp>4/15/2019</stp>
        <stp>[Basic Pricing.xlsm]FX_Curve_History!R33C2</stp>
        <tr r="B33" s="50"/>
      </tp>
      <tp t="e">
        <v>#N/A</v>
        <stp/>
        <stp>##V3_BDPV12</stp>
        <stp>BPSW4 Index</stp>
        <stp>PX_LAST</stp>
        <stp>[Basic Pricing.xlsm]Rate_Live!R83C6</stp>
        <tr r="F83" s="39"/>
      </tp>
      <tp t="e">
        <v>#N/A</v>
        <stp/>
        <stp>##V3_BDHV12</stp>
        <stp>BPSW16 Index</stp>
        <stp>PX_LAST</stp>
        <stp>4/15/2019</stp>
        <stp>4/15/2019</stp>
        <stp>[Basic Pricing.xlsm]FX_Curve_History!R95C6</stp>
        <tr r="F95" s="50"/>
      </tp>
      <tp t="e">
        <v>#N/A</v>
        <stp/>
        <stp>##V3_BDHV12</stp>
        <stp>EUSA13 Index</stp>
        <stp>PX_LAST</stp>
        <stp>4/15/2019</stp>
        <stp>4/15/2019</stp>
        <stp>[Basic Pricing.xlsm]FX_Curve_History!R42C6</stp>
        <tr r="F42" s="50"/>
      </tp>
      <tp t="e">
        <v>#N/A</v>
        <stp/>
        <stp>##V3_BDPV12</stp>
        <stp>EUR003m Index</stp>
        <stp>PX_LAST</stp>
        <stp>[Basic Pricing.xlsm]Rate_Live!R34C2</stp>
        <tr r="B34" s="39"/>
      </tp>
      <tp t="e">
        <v>#N/A</v>
        <stp/>
        <stp>##V3_BDPV12</stp>
        <stp>USSW40 Index</stp>
        <stp>PX_LAST</stp>
        <stp>[Basic Pricing.xlsm]Rate_Live!R25C6</stp>
        <tr r="F25" s="39"/>
      </tp>
      <tp t="e">
        <v>#N/A</v>
        <stp/>
        <stp>##V3_BDPV12</stp>
        <stp>EUSA12 Index</stp>
        <stp>PX_LAST</stp>
        <stp>[Basic Pricing.xlsm]Rate_Live!R41C6</stp>
        <tr r="F41" s="39"/>
      </tp>
      <tp t="e">
        <v>#N/A</v>
        <stp/>
        <stp>##V3_BDPV12</stp>
        <stp>EUSA16 Index</stp>
        <stp>PX_LAST</stp>
        <stp>[Basic Pricing.xlsm]Rate_Live!R45C6</stp>
        <tr r="F45" s="39"/>
      </tp>
      <tp t="e">
        <v>#N/A</v>
        <stp/>
        <stp>##V3_BDHV12</stp>
        <stp>CDOR02 Index</stp>
        <stp>PX_LAST</stp>
        <stp>4/15/2019</stp>
        <stp>4/15/2019</stp>
        <stp>[Basic Pricing.xlsm]Rate_History!R133C2</stp>
        <tr r="B133" s="49"/>
      </tp>
      <tp t="e">
        <v>#N/A</v>
        <stp/>
        <stp>##V3_BDHV12</stp>
        <stp>CAD2Y BGN Curncy</stp>
        <stp>PX_LAST</stp>
        <stp>4/15/2019</stp>
        <stp>4/15/2019</stp>
        <stp>[Basic Pricing.xlsm]FXFR!R101C4</stp>
        <tr r="D101" s="46"/>
      </tp>
      <tp t="e">
        <v>#N/A</v>
        <stp/>
        <stp>##V3_BDHV12</stp>
        <stp>ESZ0 Comdty</stp>
        <stp>PX_LAST</stp>
        <stp>4/15/2019</stp>
        <stp>4/15/2019</stp>
        <stp>[Basic Pricing.xlsm]Rate_History!R112C4</stp>
        <tr r="D112" s="49"/>
      </tp>
      <tp t="e">
        <v>#N/A</v>
        <stp/>
        <stp>##V3_BDHV12</stp>
        <stp>CHF4M BGN Curncy</stp>
        <stp>PX_LAST</stp>
        <stp>4/15/2019</stp>
        <stp>4/15/2019</stp>
        <stp>[Basic Pricing.xlsm]FXFR!R118C4</stp>
        <tr r="D118" s="46"/>
      </tp>
      <tp t="e">
        <v>#N/A</v>
        <stp/>
        <stp>##V3_BDHV12</stp>
        <stp>CHF7Y BGN Curncy</stp>
        <stp>PX_LAST</stp>
        <stp>4/15/2019</stp>
        <stp>4/15/2019</stp>
        <stp>[Basic Pricing.xlsm]FXFR!R128C4</stp>
        <tr r="D128" s="46"/>
      </tp>
      <tp t="e">
        <v>#N/A</v>
        <stp/>
        <stp>##V3_BDHV12</stp>
        <stp>US0006m Index</stp>
        <stp>PX_LAST</stp>
        <stp>4/15/2019</stp>
        <stp>4/15/2019</stp>
        <stp>[Basic Pricing.xlsm]FX_Curve_History!R10C2</stp>
        <tr r="B10" s="50"/>
      </tp>
      <tp t="e">
        <v>#N/A</v>
        <stp/>
        <stp>##V3_BDHV12</stp>
        <stp>BAM0 Comdty</stp>
        <stp>PX_LAST</stp>
        <stp>4/15/2019</stp>
        <stp>4/15/2019</stp>
        <stp>[Basic Pricing.xlsm]Rate_History!R135C4</stp>
        <tr r="D135" s="49"/>
      </tp>
      <tp t="e">
        <v>#N/A</v>
        <stp/>
        <stp>##V3_BDPV12</stp>
        <stp>ESM9 Comdty</stp>
        <stp>PX_LAST</stp>
        <stp>[Basic Pricing.xlsm]Rate_Live!R106C4</stp>
        <tr r="D106" s="39"/>
      </tp>
      <tp t="e">
        <v>#N/A</v>
        <stp/>
        <stp>##V3_BDHV12</stp>
        <stp>ERH1 Comdty</stp>
        <stp>PX_LAST</stp>
        <stp>4/15/2019</stp>
        <stp>4/15/2019</stp>
        <stp>[Basic Pricing.xlsm]FX_Curve_History!R38C4</stp>
        <tr r="D38" s="50"/>
      </tp>
      <tp t="e">
        <v>#N/A</v>
        <stp/>
        <stp>##V3_BDHV12</stp>
        <stp>L H1 Comdty</stp>
        <stp>PX_LAST</stp>
        <stp>4/15/2019</stp>
        <stp>4/15/2019</stp>
        <stp>[Basic Pricing.xlsm]FX_Curve_History!R88C4</stp>
        <tr r="D88" s="50"/>
      </tp>
      <tp t="e">
        <v>#N/A</v>
        <stp/>
        <stp>##V3_BDHV12</stp>
        <stp>BPSW20 Index</stp>
        <stp>PX_LAST</stp>
        <stp>4/15/2019</stp>
        <stp>4/15/2019</stp>
        <stp>[Basic Pricing.xlsm]FX_Curve_History!R97C6</stp>
        <tr r="F97" s="50"/>
      </tp>
      <tp t="e">
        <v>#N/A</v>
        <stp/>
        <stp>##V3_BDHV12</stp>
        <stp>EUSA14 Index</stp>
        <stp>PX_LAST</stp>
        <stp>4/15/2019</stp>
        <stp>4/15/2019</stp>
        <stp>[Basic Pricing.xlsm]FX_Curve_History!R43C6</stp>
        <tr r="F43" s="50"/>
      </tp>
      <tp t="e">
        <v>#N/A</v>
        <stp/>
        <stp>##V3_BDPV12</stp>
        <stp>EUSA3 Index</stp>
        <stp>PX_LAST</stp>
        <stp>[Basic Pricing.xlsm]Rate_Live!R32C6</stp>
        <tr r="F32" s="39"/>
      </tp>
      <tp t="e">
        <v>#N/A</v>
        <stp/>
        <stp>##V3_BDPV12</stp>
        <stp>EUSA5 Index</stp>
        <stp>PX_LAST</stp>
        <stp>[Basic Pricing.xlsm]Rate_Live!R34C6</stp>
        <tr r="F34" s="39"/>
      </tp>
      <tp t="e">
        <v>#N/A</v>
        <stp/>
        <stp>##V3_BDPV12</stp>
        <stp>EUSA7 Index</stp>
        <stp>PX_LAST</stp>
        <stp>[Basic Pricing.xlsm]Rate_Live!R36C6</stp>
        <tr r="F36" s="39"/>
      </tp>
      <tp t="e">
        <v>#N/A</v>
        <stp/>
        <stp>##V3_BDPV12</stp>
        <stp>EUSA9 Index</stp>
        <stp>PX_LAST</stp>
        <stp>[Basic Pricing.xlsm]Rate_Live!R38C6</stp>
        <tr r="F38" s="39"/>
      </tp>
      <tp t="e">
        <v>#N/A</v>
        <stp/>
        <stp>##V3_BDHV12</stp>
        <stp>BPSW15 Index</stp>
        <stp>PX_LAST</stp>
        <stp>4/15/2019</stp>
        <stp>4/15/2019</stp>
        <stp>[Basic Pricing.xlsm]FX_Curve_History!R94C6</stp>
        <tr r="F94" s="50"/>
      </tp>
      <tp t="e">
        <v>#N/A</v>
        <stp/>
        <stp>##V3_BDHV12</stp>
        <stp>YEH0 Comdty</stp>
        <stp>PX_LAST</stp>
        <stp>4/15/2019</stp>
        <stp>4/15/2019</stp>
        <stp>[Basic Pricing.xlsm]FX_Curve_History!R59C4</stp>
        <tr r="D59" s="50"/>
      </tp>
      <tp t="e">
        <v>#N/A</v>
        <stp/>
        <stp>##V3_BDPV12</stp>
        <stp>EUR006m Index</stp>
        <stp>PX_LAST</stp>
        <stp>[Basic Pricing.xlsm]Rate_Live!R35C2</stp>
        <tr r="B35" s="39"/>
      </tp>
      <tp t="e">
        <v>#N/A</v>
        <stp/>
        <stp>##V3_BDHV12</stp>
        <stp>US00o/n Index</stp>
        <stp>PX_LAST</stp>
        <stp>4/15/2019</stp>
        <stp>4/15/2019</stp>
        <stp>[Basic Pricing.xlsm]Rate_History!R6C2</stp>
        <tr r="B6" s="49"/>
        <tr r="B6" s="49"/>
      </tp>
      <tp t="e">
        <v>#N/A</v>
        <stp/>
        <stp>##V3_BDHV12</stp>
        <stp>USONJ07 ICPL curncy</stp>
        <stp>PX_LAST</stp>
        <stp>4/15/2019</stp>
        <stp>4/15/2019</stp>
        <stp>[Basic Pricing.xlsm]Vol_Surface!R9C12</stp>
        <tr r="L9" s="53"/>
      </tp>
      <tp t="e">
        <v>#N/A</v>
        <stp/>
        <stp>##V3_BDHV12</stp>
        <stp>USONK07 ICPL curncy</stp>
        <stp>PX_LAST</stp>
        <stp>4/15/2019</stp>
        <stp>4/15/2019</stp>
        <stp>[Basic Pricing.xlsm]Vol_Surface!R9C13</stp>
        <tr r="M9" s="53"/>
      </tp>
      <tp t="e">
        <v>#N/A</v>
        <stp/>
        <stp>##V3_BDPV12</stp>
        <stp>USSW25 Index</stp>
        <stp>PX_LAST</stp>
        <stp>[Basic Pricing.xlsm]Rate_Live!R23C6</stp>
        <tr r="F23" s="39"/>
      </tp>
      <tp t="e">
        <v>#N/A</v>
        <stp/>
        <stp>##V3_BDPV12</stp>
        <stp>USSW16 Index</stp>
        <stp>PX_LAST</stp>
        <stp>[Basic Pricing.xlsm]Rate_Live!R20C6</stp>
        <tr r="F20" s="39"/>
      </tp>
      <tp t="e">
        <v>#N/A</v>
        <stp/>
        <stp>##V3_BDPV12</stp>
        <stp>USSW17 Index</stp>
        <stp>PX_LAST</stp>
        <stp>[Basic Pricing.xlsm]Rate_Live!R21C6</stp>
        <tr r="F21" s="39"/>
      </tp>
      <tp t="e">
        <v>#N/A</v>
        <stp/>
        <stp>##V3_BDPV12</stp>
        <stp>JYSW14 Index</stp>
        <stp>PX_LAST</stp>
        <stp>[Basic Pricing.xlsm]Rate_Live!R68C6</stp>
        <tr r="F68" s="39"/>
      </tp>
      <tp t="e">
        <v>#N/A</v>
        <stp/>
        <stp>##V3_BDPV12</stp>
        <stp>JYSW15 Index</stp>
        <stp>PX_LAST</stp>
        <stp>[Basic Pricing.xlsm]Rate_Live!R69C6</stp>
        <tr r="F69" s="39"/>
      </tp>
      <tp t="e">
        <v>#N/A</v>
        <stp/>
        <stp>##V3_BDPV12</stp>
        <stp>EUSA40 Index</stp>
        <stp>PX_LAST</stp>
        <stp>[Basic Pricing.xlsm]Rate_Live!R50C6</stp>
        <tr r="F50" s="39"/>
      </tp>
      <tp t="e">
        <v>#N/A</v>
        <stp/>
        <stp>##V3_BDHV12</stp>
        <stp>US0001m Index</stp>
        <stp>PX_LAST</stp>
        <stp>4/15/2019</stp>
        <stp>4/15/2019</stp>
        <stp>[Basic Pricing.xlsm]FX_Curve_History!R7C2</stp>
        <tr r="B7" s="50"/>
      </tp>
      <tp t="e">
        <v>#N/A</v>
        <stp/>
        <stp>##V3_BDHV12</stp>
        <stp>ESU0 Comdty</stp>
        <stp>PX_LAST</stp>
        <stp>4/15/2019</stp>
        <stp>4/15/2019</stp>
        <stp>[Basic Pricing.xlsm]Rate_History!R111C4</stp>
        <tr r="D111" s="49"/>
      </tp>
      <tp t="e">
        <v>#N/A</v>
        <stp/>
        <stp>##V3_BDHV12</stp>
        <stp>CAD3Y BGN Curncy</stp>
        <stp>PX_LAST</stp>
        <stp>4/15/2019</stp>
        <stp>4/15/2019</stp>
        <stp>[Basic Pricing.xlsm]FXFR!R102C4</stp>
        <tr r="D102" s="46"/>
      </tp>
      <tp t="e">
        <v>#N/A</v>
        <stp/>
        <stp>##V3_BDHV12</stp>
        <stp>BAU0 Comdty</stp>
        <stp>PX_LAST</stp>
        <stp>4/15/2019</stp>
        <stp>4/15/2019</stp>
        <stp>[Basic Pricing.xlsm]Rate_History!R136C4</stp>
        <tr r="D136" s="49"/>
      </tp>
      <tp t="e">
        <v>#N/A</v>
        <stp/>
        <stp>##V3_BDHV12</stp>
        <stp>ERZ9 Comdty</stp>
        <stp>PX_LAST</stp>
        <stp>4/15/2019</stp>
        <stp>4/15/2019</stp>
        <stp>[Basic Pricing.xlsm]FX_Curve_History!R33C4</stp>
        <tr r="D33" s="50"/>
      </tp>
      <tp t="e">
        <v>#N/A</v>
        <stp/>
        <stp>##V3_BDHV12</stp>
        <stp>L Z9 Comdty</stp>
        <stp>PX_LAST</stp>
        <stp>4/15/2019</stp>
        <stp>4/15/2019</stp>
        <stp>[Basic Pricing.xlsm]FX_Curve_History!R83C4</stp>
        <tr r="D83" s="50"/>
      </tp>
      <tp t="e">
        <v>#N/A</v>
        <stp/>
        <stp>##V3_BDHV12</stp>
        <stp>EUR001m Index</stp>
        <stp>PX_LAST</stp>
        <stp>4/15/2019</stp>
        <stp>4/15/2019</stp>
        <stp>[Basic Pricing.xlsm]FX_Curve_History!R32C2</stp>
        <tr r="B32" s="50"/>
      </tp>
      <tp t="e">
        <v>#N/A</v>
        <stp/>
        <stp>##V3_BDHV12</stp>
        <stp>EUR006m Index</stp>
        <stp>PX_LAST</stp>
        <stp>4/15/2019</stp>
        <stp>4/15/2019</stp>
        <stp>[Basic Pricing.xlsm]FX_Curve_History!R35C2</stp>
        <tr r="B35" s="50"/>
      </tp>
      <tp t="e">
        <v>#N/A</v>
        <stp/>
        <stp>##V3_BDHV12</stp>
        <stp>EUSA11 Index</stp>
        <stp>PX_LAST</stp>
        <stp>4/15/2019</stp>
        <stp>4/15/2019</stp>
        <stp>[Basic Pricing.xlsm]FX_Curve_History!R40C6</stp>
        <tr r="F40" s="50"/>
      </tp>
      <tp t="e">
        <v>#N/A</v>
        <stp/>
        <stp>##V3_BDPV12</stp>
        <stp>EUR012m Index</stp>
        <stp>PX_LAST</stp>
        <stp>[Basic Pricing.xlsm]Rate_Live!R36C2</stp>
        <tr r="B36" s="39"/>
      </tp>
      <tp t="e">
        <v>#N/A</v>
        <stp/>
        <stp>##V3_BDHV12</stp>
        <stp>USONJ04 ICPL curncy</stp>
        <stp>PX_LAST</stp>
        <stp>4/15/2019</stp>
        <stp>4/15/2019</stp>
        <stp>[Basic Pricing.xlsm]Vol_Surface!R7C12</stp>
        <tr r="L7" s="53"/>
      </tp>
      <tp t="e">
        <v>#N/A</v>
        <stp/>
        <stp>##V3_BDHV12</stp>
        <stp>USONK04 ICPL curncy</stp>
        <stp>PX_LAST</stp>
        <stp>4/15/2019</stp>
        <stp>4/15/2019</stp>
        <stp>[Basic Pricing.xlsm]Vol_Surface!R7C13</stp>
        <tr r="M7" s="53"/>
      </tp>
      <tp t="e">
        <v>#N/A</v>
        <stp/>
        <stp>##V3_BDPV12</stp>
        <stp>EUSA11 Index</stp>
        <stp>PX_LAST</stp>
        <stp>[Basic Pricing.xlsm]Rate_Live!R40C6</stp>
        <tr r="F40" s="39"/>
      </tp>
      <tp t="e">
        <v>#N/A</v>
        <stp/>
        <stp>##V3_BDPV12</stp>
        <stp>EUSA13 Index</stp>
        <stp>PX_LAST</stp>
        <stp>[Basic Pricing.xlsm]Rate_Live!R42C6</stp>
        <tr r="F42" s="39"/>
      </tp>
      <tp t="e">
        <v>#N/A</v>
        <stp/>
        <stp>##V3_BDPV12</stp>
        <stp>EUSA15 Index</stp>
        <stp>PX_LAST</stp>
        <stp>[Basic Pricing.xlsm]Rate_Live!R44C6</stp>
        <tr r="F44" s="39"/>
      </tp>
      <tp t="e">
        <v>#N/A</v>
        <stp/>
        <stp>##V3_BDPV12</stp>
        <stp>EUSA17 Index</stp>
        <stp>PX_LAST</stp>
        <stp>[Basic Pricing.xlsm]Rate_Live!R46C6</stp>
        <tr r="F46" s="39"/>
      </tp>
      <tp t="e">
        <v>#N/A</v>
        <stp/>
        <stp>##V3_BDHV12</stp>
        <stp>BP0003M Index</stp>
        <stp>PX_LAST</stp>
        <stp>4/15/2019</stp>
        <stp>4/15/2019</stp>
        <stp>[Basic Pricing.xlsm]FX_Curve_History!R84C2</stp>
        <tr r="B84" s="50"/>
      </tp>
      <tp t="e">
        <v>#N/A</v>
        <stp/>
        <stp>##V3_BDHV12</stp>
        <stp>CDOR01 Index</stp>
        <stp>PX_LAST</stp>
        <stp>4/15/2019</stp>
        <stp>4/15/2019</stp>
        <stp>[Basic Pricing.xlsm]Rate_History!R132C2</stp>
        <tr r="B132" s="49"/>
      </tp>
      <tp t="e">
        <v>#N/A</v>
        <stp/>
        <stp>##V3_BDHV12</stp>
        <stp>CDOR06 Index</stp>
        <stp>PX_LAST</stp>
        <stp>4/15/2019</stp>
        <stp>4/15/2019</stp>
        <stp>[Basic Pricing.xlsm]Rate_History!R135C2</stp>
        <tr r="B135" s="49"/>
      </tp>
      <tp t="e">
        <v>#N/A</v>
        <stp/>
        <stp>##V3_BDHV12</stp>
        <stp>CAD4Y BGN Curncy</stp>
        <stp>PX_LAST</stp>
        <stp>4/15/2019</stp>
        <stp>4/15/2019</stp>
        <stp>[Basic Pricing.xlsm]FXFR!R103C4</stp>
        <tr r="D103" s="46"/>
      </tp>
      <tp t="e">
        <v>#N/A</v>
        <stp/>
        <stp>##V3_BDHV12</stp>
        <stp>ESM0 Comdty</stp>
        <stp>PX_LAST</stp>
        <stp>4/15/2019</stp>
        <stp>4/15/2019</stp>
        <stp>[Basic Pricing.xlsm]Rate_History!R110C4</stp>
        <tr r="D110" s="49"/>
      </tp>
      <tp t="e">
        <v>#N/A</v>
        <stp/>
        <stp>##V3_BDHV12</stp>
        <stp>BAZ0 Comdty</stp>
        <stp>PX_LAST</stp>
        <stp>4/15/2019</stp>
        <stp>4/15/2019</stp>
        <stp>[Basic Pricing.xlsm]Rate_History!R137C4</stp>
        <tr r="D137" s="49"/>
      </tp>
      <tp t="e">
        <v>#N/A</v>
        <stp/>
        <stp>##V3_BDHV12</stp>
        <stp>ERU9 Comdty</stp>
        <stp>PX_LAST</stp>
        <stp>4/15/2019</stp>
        <stp>4/15/2019</stp>
        <stp>[Basic Pricing.xlsm]FX_Curve_History!R32C4</stp>
        <tr r="D32" s="50"/>
      </tp>
      <tp t="e">
        <v>#N/A</v>
        <stp/>
        <stp>##V3_BDHV12</stp>
        <stp>L U9 Comdty</stp>
        <stp>PX_LAST</stp>
        <stp>4/15/2019</stp>
        <stp>4/15/2019</stp>
        <stp>[Basic Pricing.xlsm]FX_Curve_History!R82C4</stp>
        <tr r="D82" s="50"/>
      </tp>
      <tp t="e">
        <v>#N/A</v>
        <stp/>
        <stp>##V3_BDHV12</stp>
        <stp>BPSW2 CMPN Curncy</stp>
        <stp>Close</stp>
        <stp>04/15/2019 11:15:00</stp>
        <stp>04/15/2019 11:16:00</stp>
        <stp>[Basic Pricing.xlsm]Rate_History!R81C18</stp>
        <stp>BarType</stp>
        <stp>T</stp>
        <stp>Dir=V</stp>
        <stp>cols=2;rows=1</stp>
        <tr r="R81" s="49"/>
      </tp>
      <tp t="e">
        <v>#N/A</v>
        <stp/>
        <stp>##V3_BDHV12</stp>
        <stp>BPSW4 CMPN Curncy</stp>
        <stp>Close</stp>
        <stp>04/15/2019 11:15:00</stp>
        <stp>04/15/2019 11:16:00</stp>
        <stp>[Basic Pricing.xlsm]Rate_History!R83C18</stp>
        <stp>BarType</stp>
        <stp>T</stp>
        <stp>Dir=V</stp>
        <stp>cols=2;rows=1</stp>
        <tr r="R83" s="49"/>
      </tp>
      <tp t="e">
        <v>#N/A</v>
        <stp/>
        <stp>##V3_BDHV12</stp>
        <stp>BPSW3 CMPN Curncy</stp>
        <stp>Close</stp>
        <stp>04/15/2019 11:15:00</stp>
        <stp>04/15/2019 11:16:00</stp>
        <stp>[Basic Pricing.xlsm]Rate_History!R82C18</stp>
        <stp>BarType</stp>
        <stp>T</stp>
        <stp>Dir=V</stp>
        <stp>cols=2;rows=1</stp>
        <tr r="R82" s="49"/>
      </tp>
      <tp t="e">
        <v>#N/A</v>
        <stp/>
        <stp>##V3_BDHV12</stp>
        <stp>BPSW6 CMPN Curncy</stp>
        <stp>Close</stp>
        <stp>04/15/2019 11:15:00</stp>
        <stp>04/15/2019 11:16:00</stp>
        <stp>[Basic Pricing.xlsm]Rate_History!R85C18</stp>
        <stp>BarType</stp>
        <stp>T</stp>
        <stp>Dir=V</stp>
        <stp>cols=2;rows=1</stp>
        <tr r="R85" s="49"/>
      </tp>
      <tp t="e">
        <v>#N/A</v>
        <stp/>
        <stp>##V3_BDPV12</stp>
        <stp>EUSA2 Index</stp>
        <stp>PX_LAST</stp>
        <stp>[Basic Pricing.xlsm]Rate_Live!R31C6</stp>
        <tr r="F31" s="39"/>
      </tp>
      <tp t="e">
        <v>#N/A</v>
        <stp/>
        <stp>##V3_BDPV12</stp>
        <stp>EUSA6 Index</stp>
        <stp>PX_LAST</stp>
        <stp>[Basic Pricing.xlsm]Rate_Live!R35C6</stp>
        <tr r="F35" s="39"/>
      </tp>
      <tp t="e">
        <v>#N/A</v>
        <stp/>
        <stp>##V3_BDHV12</stp>
        <stp>BPSW17 Index</stp>
        <stp>PX_LAST</stp>
        <stp>4/15/2019</stp>
        <stp>4/15/2019</stp>
        <stp>[Basic Pricing.xlsm]FX_Curve_History!R96C6</stp>
        <tr r="F96" s="50"/>
      </tp>
      <tp t="e">
        <v>#N/A</v>
        <stp/>
        <stp>##V3_BDHV12</stp>
        <stp>EUSA12 Index</stp>
        <stp>PX_LAST</stp>
        <stp>4/15/2019</stp>
        <stp>4/15/2019</stp>
        <stp>[Basic Pricing.xlsm]FX_Curve_History!R41C6</stp>
        <tr r="F41" s="50"/>
      </tp>
      <tp t="e">
        <v>#N/A</v>
        <stp/>
        <stp>##V3_BDHV12</stp>
        <stp>BPSW5 CMPN Curncy</stp>
        <stp>Close</stp>
        <stp>04/15/2019 11:15:00</stp>
        <stp>04/15/2019 11:16:00</stp>
        <stp>[Basic Pricing.xlsm]Rate_History!R84C18</stp>
        <stp>BarType</stp>
        <stp>T</stp>
        <stp>Dir=V</stp>
        <stp>cols=2;rows=1</stp>
        <tr r="R84" s="49"/>
      </tp>
      <tp t="e">
        <v>#N/A</v>
        <stp/>
        <stp>##V3_BDHV12</stp>
        <stp>BPSW8 CMPN Curncy</stp>
        <stp>Close</stp>
        <stp>04/15/2019 11:15:00</stp>
        <stp>04/15/2019 11:16:00</stp>
        <stp>[Basic Pricing.xlsm]Rate_History!R87C18</stp>
        <stp>BarType</stp>
        <stp>T</stp>
        <stp>Dir=V</stp>
        <stp>cols=2;rows=1</stp>
        <tr r="R87" s="49"/>
      </tp>
      <tp t="e">
        <v>#N/A</v>
        <stp/>
        <stp>##V3_BDHV12</stp>
        <stp>BPSW7 CMPN Curncy</stp>
        <stp>Close</stp>
        <stp>04/15/2019 11:15:00</stp>
        <stp>04/15/2019 11:16:00</stp>
        <stp>[Basic Pricing.xlsm]Rate_History!R86C18</stp>
        <stp>BarType</stp>
        <stp>T</stp>
        <stp>Dir=V</stp>
        <stp>cols=2;rows=1</stp>
        <tr r="R86" s="49"/>
      </tp>
      <tp t="e">
        <v>#N/A</v>
        <stp/>
        <stp>##V3_BDPV12</stp>
        <stp>JYSW4 Index</stp>
        <stp>PX_LAST</stp>
        <stp>[Basic Pricing.xlsm]Rate_Live!R58C6</stp>
        <tr r="F58" s="39"/>
      </tp>
      <tp t="e">
        <v>#N/A</v>
        <stp/>
        <stp>##V3_BDPV12</stp>
        <stp>JYSW5 Index</stp>
        <stp>PX_LAST</stp>
        <stp>[Basic Pricing.xlsm]Rate_Live!R59C6</stp>
        <tr r="F59" s="39"/>
      </tp>
      <tp t="e">
        <v>#N/A</v>
        <stp/>
        <stp>##V3_BDHV12</stp>
        <stp>BPSW9 CMPN Curncy</stp>
        <stp>Close</stp>
        <stp>04/15/2019 11:15:00</stp>
        <stp>04/15/2019 11:16:00</stp>
        <stp>[Basic Pricing.xlsm]Rate_History!R88C18</stp>
        <stp>BarType</stp>
        <stp>T</stp>
        <stp>Dir=V</stp>
        <stp>cols=2;rows=1</stp>
        <tr r="R88" s="49"/>
      </tp>
      <tp t="e">
        <v>#N/A</v>
        <stp/>
        <stp>##V3_BDHV12</stp>
        <stp>USONJ05 ICPL curncy</stp>
        <stp>PX_LAST</stp>
        <stp>4/15/2019</stp>
        <stp>4/15/2019</stp>
        <stp>[Basic Pricing.xlsm]Vol_Surface!R8C12</stp>
        <tr r="L8" s="53"/>
      </tp>
      <tp t="e">
        <v>#N/A</v>
        <stp/>
        <stp>##V3_BDHV12</stp>
        <stp>USONK05 ICPL curncy</stp>
        <stp>PX_LAST</stp>
        <stp>4/15/2019</stp>
        <stp>4/15/2019</stp>
        <stp>[Basic Pricing.xlsm]Vol_Surface!R8C13</stp>
        <tr r="M8" s="53"/>
      </tp>
      <tp t="e">
        <v>#N/A</v>
        <stp/>
        <stp>##V3_BDPV12</stp>
        <stp>JYSW20 Index</stp>
        <stp>PX_LAST</stp>
        <stp>[Basic Pricing.xlsm]Rate_Live!R72C6</stp>
        <tr r="F72" s="39"/>
      </tp>
      <tp t="e">
        <v>#N/A</v>
        <stp/>
        <stp>##V3_BDHV12</stp>
        <stp>US0003m Index</stp>
        <stp>PX_LAST</stp>
        <stp>4/15/2019</stp>
        <stp>4/15/2019</stp>
        <stp>[Basic Pricing.xlsm]FX_Curve_History!R9C2</stp>
        <tr r="B9" s="50"/>
      </tp>
      <tp t="e">
        <v>#N/A</v>
        <stp/>
        <stp>##V3_BDHV12</stp>
        <stp>CHF1M BGN Curncy</stp>
        <stp>PX_LAST</stp>
        <stp>4/15/2019</stp>
        <stp>4/15/2019</stp>
        <stp>[Basic Pricing.xlsm]FXFR!R115C4</stp>
        <tr r="D115" s="46"/>
      </tp>
      <tp t="e">
        <v>#N/A</v>
        <stp/>
        <stp>##V3_BDHV12</stp>
        <stp>CHF4Y BGN Curncy</stp>
        <stp>PX_LAST</stp>
        <stp>4/15/2019</stp>
        <stp>4/15/2019</stp>
        <stp>[Basic Pricing.xlsm]FXFR!R125C4</stp>
        <tr r="D125" s="46"/>
      </tp>
      <tp t="e">
        <v>#N/A</v>
        <stp/>
        <stp>##V3_BDPV12</stp>
        <stp>YEM0 Comdty</stp>
        <stp>PX_LAST</stp>
        <stp>[Basic Pricing.xlsm]Rate_Live!R60C4</stp>
        <tr r="D60" s="39"/>
      </tp>
      <tp t="e">
        <v>#N/A</v>
        <stp/>
        <stp>##V3_BDHV12</stp>
        <stp>BAH1 Comdty</stp>
        <stp>PX_LAST</stp>
        <stp>4/15/2019</stp>
        <stp>4/15/2019</stp>
        <stp>[Basic Pricing.xlsm]Rate_History!R138C4</stp>
        <tr r="D138" s="49"/>
      </tp>
      <tp t="e">
        <v>#N/A</v>
        <stp/>
        <stp>##V3_BDHV12</stp>
        <stp>ERH0 Comdty</stp>
        <stp>PX_LAST</stp>
        <stp>4/15/2019</stp>
        <stp>4/15/2019</stp>
        <stp>[Basic Pricing.xlsm]FX_Curve_History!R34C4</stp>
        <tr r="D34" s="50"/>
      </tp>
      <tp t="e">
        <v>#N/A</v>
        <stp/>
        <stp>##V3_BDHV12</stp>
        <stp>BCN1M BGN Curncy</stp>
        <stp>PX_LAST</stp>
        <stp>4/15/2019</stp>
        <stp>4/15/2019</stp>
        <stp>[Basic Pricing.xlsm]FXFR!R5C4</stp>
        <tr r="D5" s="46"/>
      </tp>
      <tp t="e">
        <v>#N/A</v>
        <stp/>
        <stp>##V3_BDHV12</stp>
        <stp>BCN2M BGN Curncy</stp>
        <stp>PX_LAST</stp>
        <stp>4/15/2019</stp>
        <stp>4/15/2019</stp>
        <stp>[Basic Pricing.xlsm]FXFR!R6C4</stp>
        <tr r="D6" s="46"/>
      </tp>
      <tp t="e">
        <v>#N/A</v>
        <stp/>
        <stp>##V3_BDHV12</stp>
        <stp>BCN3M BGN Curncy</stp>
        <stp>PX_LAST</stp>
        <stp>4/15/2019</stp>
        <stp>4/15/2019</stp>
        <stp>[Basic Pricing.xlsm]FXFR!R7C4</stp>
        <tr r="D7" s="46"/>
      </tp>
      <tp t="e">
        <v>#N/A</v>
        <stp/>
        <stp>##V3_BDHV12</stp>
        <stp>L H0 Comdty</stp>
        <stp>PX_LAST</stp>
        <stp>4/15/2019</stp>
        <stp>4/15/2019</stp>
        <stp>[Basic Pricing.xlsm]FX_Curve_History!R84C4</stp>
        <tr r="D84" s="50"/>
      </tp>
      <tp t="e">
        <v>#N/A</v>
        <stp/>
        <stp>##V3_BDHV12</stp>
        <stp>BPSW10 Index</stp>
        <stp>PX_LAST</stp>
        <stp>4/15/2019</stp>
        <stp>4/15/2019</stp>
        <stp>[Basic Pricing.xlsm]FX_Curve_History!R89C6</stp>
        <tr r="F89" s="50"/>
      </tp>
      <tp t="e">
        <v>#N/A</v>
        <stp/>
        <stp>##V3_BDHV12</stp>
        <stp>JYSW20 Index</stp>
        <stp>PX_LAST</stp>
        <stp>4/15/2019</stp>
        <stp>4/15/2019</stp>
        <stp>[Basic Pricing.xlsm]FX_Curve_History!R72C6</stp>
        <tr r="F72" s="50"/>
      </tp>
      <tp t="e">
        <v>#N/A</v>
        <stp/>
        <stp>##V3_BDHV12</stp>
        <stp>JYSW17 Index</stp>
        <stp>PX_LAST</stp>
        <stp>4/15/2019</stp>
        <stp>4/15/2019</stp>
        <stp>[Basic Pricing.xlsm]FX_Curve_History!R71C6</stp>
        <tr r="F71" s="50"/>
      </tp>
      <tp t="e">
        <v>#N/A</v>
        <stp/>
        <stp>##V3_BDHV12</stp>
        <stp>HASWDI9Y CMPN Curncy</stp>
        <stp>LAST_PRICE</stp>
        <stp>4/15/2019</stp>
        <stp>4/15/2019</stp>
        <stp>[Basic Pricing.xlsm]FX_Curve_History!R164C20</stp>
        <tr r="T164" s="50"/>
      </tp>
      <tp t="e">
        <v>#N/A</v>
        <stp/>
        <stp>##V3_BDHV12</stp>
        <stp>HASWDI8Y CMPN Curncy</stp>
        <stp>LAST_PRICE</stp>
        <stp>4/15/2019</stp>
        <stp>4/15/2019</stp>
        <stp>[Basic Pricing.xlsm]FX_Curve_History!R163C20</stp>
        <tr r="T163" s="50"/>
      </tp>
      <tp t="e">
        <v>#N/A</v>
        <stp/>
        <stp>##V3_BDHV12</stp>
        <stp>US0002m Index</stp>
        <stp>PX_LAST</stp>
        <stp>4/15/2019</stp>
        <stp>4/15/2019</stp>
        <stp>[Basic Pricing.xlsm]FX_Curve_History!R8C2</stp>
        <tr r="B8" s="50"/>
      </tp>
      <tp t="e">
        <v>#N/A</v>
        <stp/>
        <stp>##V3_BDHV12</stp>
        <stp>HASWDI1Y CMPN Curncy</stp>
        <stp>LAST_PRICE</stp>
        <stp>4/15/2019</stp>
        <stp>4/15/2019</stp>
        <stp>[Basic Pricing.xlsm]FX_Curve_History!R156C20</stp>
        <tr r="T156" s="50"/>
      </tp>
      <tp t="e">
        <v>#N/A</v>
        <stp/>
        <stp>##V3_BDHV12</stp>
        <stp>HASWDI3Y CMPN Curncy</stp>
        <stp>LAST_PRICE</stp>
        <stp>4/15/2019</stp>
        <stp>4/15/2019</stp>
        <stp>[Basic Pricing.xlsm]FX_Curve_History!R158C20</stp>
        <tr r="T158" s="50"/>
      </tp>
      <tp t="e">
        <v>#N/A</v>
        <stp/>
        <stp>##V3_BDHV12</stp>
        <stp>CHF1W BGN Curncy</stp>
        <stp>PX_LAST</stp>
        <stp>4/15/2019</stp>
        <stp>4/15/2019</stp>
        <stp>[Basic Pricing.xlsm]FXFR!R114C4</stp>
        <tr r="D114" s="46"/>
      </tp>
      <tp t="e">
        <v>#N/A</v>
        <stp/>
        <stp>##V3_BDHV12</stp>
        <stp>CHF3Y BGN Curncy</stp>
        <stp>PX_LAST</stp>
        <stp>4/15/2019</stp>
        <stp>4/15/2019</stp>
        <stp>[Basic Pricing.xlsm]FXFR!R124C4</stp>
        <tr r="D124" s="46"/>
      </tp>
      <tp t="e">
        <v>#N/A</v>
        <stp/>
        <stp>##V3_BDHV12</stp>
        <stp>HASWDI2Y CMPN Curncy</stp>
        <stp>LAST_PRICE</stp>
        <stp>4/15/2019</stp>
        <stp>4/15/2019</stp>
        <stp>[Basic Pricing.xlsm]FX_Curve_History!R157C20</stp>
        <tr r="T157" s="50"/>
      </tp>
      <tp t="e">
        <v>#N/A</v>
        <stp/>
        <stp>##V3_BDHV12</stp>
        <stp>HASWDI5Y CMPN Curncy</stp>
        <stp>LAST_PRICE</stp>
        <stp>4/15/2019</stp>
        <stp>4/15/2019</stp>
        <stp>[Basic Pricing.xlsm]FX_Curve_History!R160C20</stp>
        <tr r="T160" s="50"/>
      </tp>
      <tp t="e">
        <v>#N/A</v>
        <stp/>
        <stp>##V3_BDHV12</stp>
        <stp>HASWDI4Y CMPN Curncy</stp>
        <stp>LAST_PRICE</stp>
        <stp>4/15/2019</stp>
        <stp>4/15/2019</stp>
        <stp>[Basic Pricing.xlsm]FX_Curve_History!R159C20</stp>
        <tr r="T159" s="50"/>
      </tp>
      <tp t="e">
        <v>#N/A</v>
        <stp/>
        <stp>##V3_BDHV12</stp>
        <stp>HASWDI7Y CMPN Curncy</stp>
        <stp>LAST_PRICE</stp>
        <stp>4/15/2019</stp>
        <stp>4/15/2019</stp>
        <stp>[Basic Pricing.xlsm]FX_Curve_History!R162C20</stp>
        <tr r="T162" s="50"/>
      </tp>
      <tp t="e">
        <v>#N/A</v>
        <stp/>
        <stp>##V3_BDHV12</stp>
        <stp>HASWDI6Y CMPN Curncy</stp>
        <stp>LAST_PRICE</stp>
        <stp>4/15/2019</stp>
        <stp>4/15/2019</stp>
        <stp>[Basic Pricing.xlsm]FX_Curve_History!R161C20</stp>
        <tr r="T161" s="50"/>
      </tp>
      <tp t="e">
        <v>#N/A</v>
        <stp/>
        <stp>##V3_BDPV12</stp>
        <stp>YEU0 Comdty</stp>
        <stp>PX_LAST</stp>
        <stp>[Basic Pricing.xlsm]Rate_Live!R61C4</stp>
        <tr r="D61" s="39"/>
      </tp>
      <tp t="e">
        <v>#N/A</v>
        <stp/>
        <stp>##V3_BDHV12</stp>
        <stp>ERM0 Comdty</stp>
        <stp>PX_LAST</stp>
        <stp>4/15/2019</stp>
        <stp>4/15/2019</stp>
        <stp>[Basic Pricing.xlsm]FX_Curve_History!R35C4</stp>
        <tr r="D35" s="50"/>
      </tp>
      <tp t="e">
        <v>#N/A</v>
        <stp/>
        <stp>##V3_BDHV12</stp>
        <stp>L M0 Comdty</stp>
        <stp>PX_LAST</stp>
        <stp>4/15/2019</stp>
        <stp>4/15/2019</stp>
        <stp>[Basic Pricing.xlsm]FX_Curve_History!R85C4</stp>
        <tr r="D85" s="50"/>
      </tp>
      <tp t="e">
        <v>#N/A</v>
        <stp/>
        <stp>##V3_BDHV12</stp>
        <stp>JYSW40 Index</stp>
        <stp>PX_LAST</stp>
        <stp>4/15/2019</stp>
        <stp>4/15/2019</stp>
        <stp>[Basic Pricing.xlsm]FX_Curve_History!R75C6</stp>
        <tr r="F75" s="50"/>
      </tp>
      <tp t="e">
        <v>#N/A</v>
        <stp/>
        <stp>##V3_BDHV12</stp>
        <stp>JYSW16 Index</stp>
        <stp>PX_LAST</stp>
        <stp>4/15/2019</stp>
        <stp>4/15/2019</stp>
        <stp>[Basic Pricing.xlsm]FX_Curve_History!R70C6</stp>
        <tr r="F70" s="50"/>
      </tp>
      <tp t="e">
        <v>#N/A</v>
        <stp/>
        <stp>##V3_BDHV12</stp>
        <stp>JYSW25 Index</stp>
        <stp>PX_LAST</stp>
        <stp>4/15/2019</stp>
        <stp>4/15/2019</stp>
        <stp>[Basic Pricing.xlsm]FX_Curve_History!R73C6</stp>
        <tr r="F73" s="50"/>
      </tp>
      <tp t="e">
        <v>#N/A</v>
        <stp/>
        <stp>##V3_BDHV12</stp>
        <stp>BCN1W BGN Curncy</stp>
        <stp>PX_LAST</stp>
        <stp>4/15/2019</stp>
        <stp>4/15/2019</stp>
        <stp>[Basic Pricing.xlsm]FXFR!R4C4</stp>
        <tr r="D4" s="46"/>
      </tp>
      <tp t="e">
        <v>#N/A</v>
        <stp/>
        <stp>##V3_BDPV12</stp>
        <stp>BPSW30 Index</stp>
        <stp>PX_LAST</stp>
        <stp>[Basic Pricing.xlsm]Rate_Live!R99C6</stp>
        <tr r="F99" s="39"/>
      </tp>
      <tp t="e">
        <v>#N/A</v>
        <stp/>
        <stp>##V3_BDPV12</stp>
        <stp>BPSW10 Index</stp>
        <stp>PX_LAST</stp>
        <stp>[Basic Pricing.xlsm]Rate_Live!R89C6</stp>
        <tr r="F89" s="39"/>
      </tp>
      <tp t="e">
        <v>#N/A</v>
        <stp/>
        <stp>##V3_BDHV12</stp>
        <stp>JY0012M Index</stp>
        <stp>PX_LAST</stp>
        <stp>4/15/2019</stp>
        <stp>4/15/2019</stp>
        <stp>[Basic Pricing.xlsm]FX_Curve_History!R61C2</stp>
        <tr r="B61" s="50"/>
      </tp>
      <tp t="e">
        <v>#N/A</v>
        <stp/>
        <stp>##V3_BDHV12</stp>
        <stp>CHF3M BGN Curncy</stp>
        <stp>PX_LAST</stp>
        <stp>4/15/2019</stp>
        <stp>4/15/2019</stp>
        <stp>[Basic Pricing.xlsm]FXFR!R117C4</stp>
        <tr r="D117" s="46"/>
      </tp>
      <tp t="e">
        <v>#N/A</v>
        <stp/>
        <stp>##V3_BDHV12</stp>
        <stp>CHF6Y BGN Curncy</stp>
        <stp>PX_LAST</stp>
        <stp>4/15/2019</stp>
        <stp>4/15/2019</stp>
        <stp>[Basic Pricing.xlsm]FXFR!R127C4</stp>
        <tr r="D127" s="46"/>
      </tp>
      <tp t="e">
        <v>#N/A</v>
        <stp/>
        <stp>##V3_BDPV12</stp>
        <stp>YEZ0 Comdty</stp>
        <stp>PX_LAST</stp>
        <stp>[Basic Pricing.xlsm]Rate_Live!R62C4</stp>
        <tr r="D62" s="39"/>
      </tp>
      <tp t="e">
        <v>#N/A</v>
        <stp/>
        <stp>##V3_BDPV12</stp>
        <stp>ESH0 Comdty</stp>
        <stp>PX_LAST</stp>
        <stp>[Basic Pricing.xlsm]Rate_Live!R109C4</stp>
        <tr r="D109" s="39"/>
      </tp>
      <tp t="e">
        <v>#N/A</v>
        <stp/>
        <stp>##V3_BDHV12</stp>
        <stp>ERU0 Comdty</stp>
        <stp>PX_LAST</stp>
        <stp>4/15/2019</stp>
        <stp>4/15/2019</stp>
        <stp>[Basic Pricing.xlsm]FX_Curve_History!R36C4</stp>
        <tr r="D36" s="50"/>
      </tp>
      <tp t="e">
        <v>#N/A</v>
        <stp/>
        <stp>##V3_BDHV12</stp>
        <stp>L U0 Comdty</stp>
        <stp>PX_LAST</stp>
        <stp>4/15/2019</stp>
        <stp>4/15/2019</stp>
        <stp>[Basic Pricing.xlsm]FX_Curve_History!R86C4</stp>
        <tr r="D86" s="50"/>
      </tp>
      <tp t="e">
        <v>#N/A</v>
        <stp/>
        <stp>##V3_BDHV12</stp>
        <stp>BPSW30 Index</stp>
        <stp>PX_LAST</stp>
        <stp>4/15/2019</stp>
        <stp>4/15/2019</stp>
        <stp>[Basic Pricing.xlsm]FX_Curve_History!R99C6</stp>
        <tr r="F99" s="50"/>
      </tp>
      <tp t="e">
        <v>#N/A</v>
        <stp/>
        <stp>##V3_BDHV12</stp>
        <stp>BPSW25 Index</stp>
        <stp>PX_LAST</stp>
        <stp>4/15/2019</stp>
        <stp>4/15/2019</stp>
        <stp>[Basic Pricing.xlsm]FX_Curve_History!R98C6</stp>
        <tr r="F98" s="50"/>
      </tp>
      <tp t="e">
        <v>#N/A</v>
        <stp/>
        <stp>##V3_BDPV12</stp>
        <stp>EUSA25 Index</stp>
        <stp>PX_LAST</stp>
        <stp>[Basic Pricing.xlsm]Rate_Live!R48C6</stp>
        <tr r="F48" s="39"/>
      </tp>
      <tp t="e">
        <v>#N/A</v>
        <stp/>
        <stp>##V3_BDPV12</stp>
        <stp>ESZ9 Comdty</stp>
        <stp>PX_LAST</stp>
        <stp>[Basic Pricing.xlsm]Rate_Live!R108C4</stp>
        <tr r="D108" s="39"/>
      </tp>
      <tp t="e">
        <v>#N/A</v>
        <stp/>
        <stp>##V3_BDHV12</stp>
        <stp>CHF2M BGN Curncy</stp>
        <stp>PX_LAST</stp>
        <stp>4/15/2019</stp>
        <stp>4/15/2019</stp>
        <stp>[Basic Pricing.xlsm]FXFR!R116C4</stp>
        <tr r="D116" s="46"/>
      </tp>
      <tp t="e">
        <v>#N/A</v>
        <stp/>
        <stp>##V3_BDHV12</stp>
        <stp>CHF5Y BGN Curncy</stp>
        <stp>PX_LAST</stp>
        <stp>4/15/2019</stp>
        <stp>4/15/2019</stp>
        <stp>[Basic Pricing.xlsm]FXFR!R126C4</stp>
        <tr r="D126" s="46"/>
      </tp>
      <tp t="e">
        <v>#N/A</v>
        <stp/>
        <stp>##V3_BDPV12</stp>
        <stp>YEH1 Comdty</stp>
        <stp>PX_LAST</stp>
        <stp>[Basic Pricing.xlsm]Rate_Live!R63C4</stp>
        <tr r="D63" s="39"/>
      </tp>
      <tp t="e">
        <v>#N/A</v>
        <stp/>
        <stp>##V3_BDHV12</stp>
        <stp>ERZ0 Comdty</stp>
        <stp>PX_LAST</stp>
        <stp>4/15/2019</stp>
        <stp>4/15/2019</stp>
        <stp>[Basic Pricing.xlsm]FX_Curve_History!R37C4</stp>
        <tr r="D37" s="50"/>
      </tp>
      <tp t="e">
        <v>#N/A</v>
        <stp/>
        <stp>##V3_BDHV12</stp>
        <stp>L Z0 Comdty</stp>
        <stp>PX_LAST</stp>
        <stp>4/15/2019</stp>
        <stp>4/15/2019</stp>
        <stp>[Basic Pricing.xlsm]FX_Curve_History!R87C4</stp>
        <tr r="D87" s="50"/>
      </tp>
      <tp t="e">
        <v>#N/A</v>
        <stp/>
        <stp>##V3_BDPV12</stp>
        <stp>EUSA8 Index</stp>
        <stp>PX_LAST</stp>
        <stp>[Basic Pricing.xlsm]Rate_Live!R37C6</stp>
        <tr r="F37" s="39"/>
      </tp>
      <tp t="e">
        <v>#N/A</v>
        <stp/>
        <stp>##V3_BDPV12</stp>
        <stp>USSW14 Index</stp>
        <stp>PX_LAST</stp>
        <stp>[Basic Pricing.xlsm]Rate_Live!R18C6</stp>
        <tr r="F18" s="39"/>
      </tp>
      <tp t="e">
        <v>#N/A</v>
        <stp/>
        <stp>##V3_BDPV12</stp>
        <stp>USSW15 Index</stp>
        <stp>PX_LAST</stp>
        <stp>[Basic Pricing.xlsm]Rate_Live!R19C6</stp>
        <tr r="F19" s="39"/>
      </tp>
      <tp t="e">
        <v>#N/A</v>
        <stp/>
        <stp>##V3_BDPV12</stp>
        <stp>JYSW16 Index</stp>
        <stp>PX_LAST</stp>
        <stp>[Basic Pricing.xlsm]Rate_Live!R70C6</stp>
        <tr r="F70" s="39"/>
      </tp>
      <tp t="e">
        <v>#N/A</v>
        <stp/>
        <stp>##V3_BDPV12</stp>
        <stp>JYSW17 Index</stp>
        <stp>PX_LAST</stp>
        <stp>[Basic Pricing.xlsm]Rate_Live!R71C6</stp>
        <tr r="F71" s="39"/>
      </tp>
      <tp t="e">
        <v>#N/A</v>
        <stp/>
        <stp>##V3_BDPV12</stp>
        <stp>JYSW25 Index</stp>
        <stp>PX_LAST</stp>
        <stp>[Basic Pricing.xlsm]Rate_Live!R73C6</stp>
        <tr r="F73" s="39"/>
      </tp>
      <tp t="e">
        <v>#N/A</v>
        <stp/>
        <stp>##V3_BDHV12</stp>
        <stp>CAD9Y BGN Curncy</stp>
        <stp>PX_LAST</stp>
        <stp>4/15/2019</stp>
        <stp>4/15/2019</stp>
        <stp>[Basic Pricing.xlsm]FXFR!R108C4</stp>
        <tr r="D108" s="46"/>
      </tp>
      <tp t="e">
        <v>#N/A</v>
        <stp/>
        <stp>##V3_BDHV12</stp>
        <stp>CHF9M BGN Curncy</stp>
        <stp>PX_LAST</stp>
        <stp>4/15/2019</stp>
        <stp>4/15/2019</stp>
        <stp>[Basic Pricing.xlsm]FXFR!R121C4</stp>
        <tr r="D121" s="46"/>
      </tp>
      <tp t="e">
        <v>#N/A</v>
        <stp/>
        <stp>##V3_BDHV12</stp>
        <stp>EUSA8 CMPN Curncy</stp>
        <stp>Close</stp>
        <stp>04/15/2019 11:15:00</stp>
        <stp>04/15/2019 11:16:00</stp>
        <stp>[Basic Pricing.xlsm]Rate_History!R37C18</stp>
        <stp>BarType</stp>
        <stp>T</stp>
        <stp>Dir=V</stp>
        <stp>cols=2;rows=1</stp>
        <tr r="R37" s="49"/>
      </tp>
      <tp t="e">
        <v>#N/A</v>
        <stp/>
        <stp>##V3_BDHV12</stp>
        <stp>EUSA7 CMPN Curncy</stp>
        <stp>Close</stp>
        <stp>04/15/2019 11:15:00</stp>
        <stp>04/15/2019 11:16:00</stp>
        <stp>[Basic Pricing.xlsm]Rate_History!R36C18</stp>
        <stp>BarType</stp>
        <stp>T</stp>
        <stp>Dir=V</stp>
        <stp>cols=2;rows=1</stp>
        <tr r="R36" s="49"/>
      </tp>
      <tp t="e">
        <v>#N/A</v>
        <stp/>
        <stp>##V3_BDHV12</stp>
        <stp>EUSA6 CMPN Curncy</stp>
        <stp>Close</stp>
        <stp>04/15/2019 11:15:00</stp>
        <stp>04/15/2019 11:16:00</stp>
        <stp>[Basic Pricing.xlsm]Rate_History!R35C18</stp>
        <stp>BarType</stp>
        <stp>T</stp>
        <stp>Dir=V</stp>
        <stp>cols=2;rows=1</stp>
        <tr r="R35" s="49"/>
      </tp>
      <tp t="e">
        <v>#N/A</v>
        <stp/>
        <stp>##V3_BDHV12</stp>
        <stp>EUSA5 CMPN Curncy</stp>
        <stp>Close</stp>
        <stp>04/15/2019 11:15:00</stp>
        <stp>04/15/2019 11:16:00</stp>
        <stp>[Basic Pricing.xlsm]Rate_History!R34C18</stp>
        <stp>BarType</stp>
        <stp>T</stp>
        <stp>Dir=V</stp>
        <stp>cols=2;rows=1</stp>
        <tr r="R34" s="49"/>
      </tp>
      <tp t="e">
        <v>#N/A</v>
        <stp/>
        <stp>##V3_BDHV12</stp>
        <stp>EUSA4 CMPN Curncy</stp>
        <stp>Close</stp>
        <stp>04/15/2019 11:15:00</stp>
        <stp>04/15/2019 11:16:00</stp>
        <stp>[Basic Pricing.xlsm]Rate_History!R33C18</stp>
        <stp>BarType</stp>
        <stp>T</stp>
        <stp>Dir=V</stp>
        <stp>cols=2;rows=1</stp>
        <tr r="R33" s="49"/>
      </tp>
      <tp t="e">
        <v>#N/A</v>
        <stp/>
        <stp>##V3_BDHV12</stp>
        <stp>EDM0 Comdty</stp>
        <stp>PX_LAST</stp>
        <stp>4/15/2019</stp>
        <stp>4/15/2019</stp>
        <stp>[Basic Pricing.xlsm]FX_Curve_History!R10C4</stp>
        <tr r="D10" s="50"/>
      </tp>
      <tp t="e">
        <v>#N/A</v>
        <stp/>
        <stp>##V3_BDHV12</stp>
        <stp>EUSA3 CMPN Curncy</stp>
        <stp>Close</stp>
        <stp>04/15/2019 11:15:00</stp>
        <stp>04/15/2019 11:16:00</stp>
        <stp>[Basic Pricing.xlsm]Rate_History!R32C18</stp>
        <stp>BarType</stp>
        <stp>T</stp>
        <stp>Dir=V</stp>
        <stp>cols=2;rows=1</stp>
        <tr r="R32" s="49"/>
      </tp>
      <tp t="e">
        <v>#N/A</v>
        <stp/>
        <stp>##V3_BDHV12</stp>
        <stp>EUSA2 CMPN Curncy</stp>
        <stp>Close</stp>
        <stp>04/15/2019 11:15:00</stp>
        <stp>04/15/2019 11:16:00</stp>
        <stp>[Basic Pricing.xlsm]Rate_History!R31C18</stp>
        <stp>BarType</stp>
        <stp>T</stp>
        <stp>Dir=V</stp>
        <stp>cols=2;rows=1</stp>
        <tr r="R31" s="49"/>
      </tp>
      <tp t="e">
        <v>#N/A</v>
        <stp/>
        <stp>##V3_BDHV12</stp>
        <stp>EUSA9 CMPN Curncy</stp>
        <stp>Close</stp>
        <stp>04/15/2019 11:15:00</stp>
        <stp>04/15/2019 11:16:00</stp>
        <stp>[Basic Pricing.xlsm]Rate_History!R38C18</stp>
        <stp>BarType</stp>
        <stp>T</stp>
        <stp>Dir=V</stp>
        <stp>cols=2;rows=1</stp>
        <tr r="R38" s="49"/>
      </tp>
      <tp t="e">
        <v>#N/A</v>
        <stp/>
        <stp>##V3_BDPV12</stp>
        <stp>BPSW8 Index</stp>
        <stp>PX_LAST</stp>
        <stp>[Basic Pricing.xlsm]Rate_Live!R87C6</stp>
        <tr r="F87" s="39"/>
      </tp>
      <tp t="e">
        <v>#N/A</v>
        <stp/>
        <stp>##V3_BDHV12</stp>
        <stp>YEM0 Comdty</stp>
        <stp>PX_LAST</stp>
        <stp>4/15/2019</stp>
        <stp>4/15/2019</stp>
        <stp>[Basic Pricing.xlsm]FX_Curve_History!R60C4</stp>
        <tr r="D60" s="50"/>
      </tp>
      <tp t="e">
        <v>#N/A</v>
        <stp/>
        <stp>##V3_BDHV12</stp>
        <stp>JYSW11 Index</stp>
        <stp>PX_LAST</stp>
        <stp>4/15/2019</stp>
        <stp>4/15/2019</stp>
        <stp>[Basic Pricing.xlsm]FX_Curve_History!R65C6</stp>
        <tr r="F65" s="50"/>
      </tp>
      <tp t="e">
        <v>#N/A</v>
        <stp/>
        <stp>##V3_BDHV12</stp>
        <stp>CHF9Y BGN Curncy</stp>
        <stp>PX_LAST</stp>
        <stp>4/15/2019</stp>
        <stp>4/15/2019</stp>
        <stp>[Basic Pricing.xlsm]FXFR!R130C4</stp>
        <tr r="D130" s="46"/>
      </tp>
      <tp t="e">
        <v>#N/A</v>
        <stp/>
        <stp>##V3_BDHV12</stp>
        <stp>CHF6M BGN Curncy</stp>
        <stp>PX_LAST</stp>
        <stp>4/15/2019</stp>
        <stp>4/15/2019</stp>
        <stp>[Basic Pricing.xlsm]FXFR!R120C4</stp>
        <tr r="D120" s="46"/>
      </tp>
      <tp t="e">
        <v>#N/A</v>
        <stp/>
        <stp>##V3_BDHV12</stp>
        <stp>EDU0 Comdty</stp>
        <stp>PX_LAST</stp>
        <stp>4/15/2019</stp>
        <stp>4/15/2019</stp>
        <stp>[Basic Pricing.xlsm]FX_Curve_History!R11C4</stp>
        <tr r="D11" s="50"/>
      </tp>
      <tp t="e">
        <v>#N/A</v>
        <stp/>
        <stp>##V3_BDHV12</stp>
        <stp>EUSA25 Index</stp>
        <stp>PX_LAST</stp>
        <stp>4/15/2019</stp>
        <stp>4/15/2019</stp>
        <stp>[Basic Pricing.xlsm]FX_Curve_History!R48C6</stp>
        <tr r="F48" s="50"/>
      </tp>
      <tp t="e">
        <v>#N/A</v>
        <stp/>
        <stp>##V3_BDHV12</stp>
        <stp>EUSA30 Index</stp>
        <stp>PX_LAST</stp>
        <stp>4/15/2019</stp>
        <stp>4/15/2019</stp>
        <stp>[Basic Pricing.xlsm]FX_Curve_History!R49C6</stp>
        <tr r="F49" s="50"/>
      </tp>
      <tp t="e">
        <v>#N/A</v>
        <stp/>
        <stp>##V3_BDPV12</stp>
        <stp>JYSW6 Index</stp>
        <stp>PX_LAST</stp>
        <stp>[Basic Pricing.xlsm]Rate_Live!R60C6</stp>
        <tr r="F60" s="39"/>
      </tp>
      <tp t="e">
        <v>#N/A</v>
        <stp/>
        <stp>##V3_BDPV12</stp>
        <stp>JYSW7 Index</stp>
        <stp>PX_LAST</stp>
        <stp>[Basic Pricing.xlsm]Rate_Live!R61C6</stp>
        <tr r="F61" s="39"/>
      </tp>
      <tp t="e">
        <v>#N/A</v>
        <stp/>
        <stp>##V3_BDHV12</stp>
        <stp>YEZ9 Comdty</stp>
        <stp>PX_LAST</stp>
        <stp>4/15/2019</stp>
        <stp>4/15/2019</stp>
        <stp>[Basic Pricing.xlsm]FX_Curve_History!R58C4</stp>
        <tr r="D58" s="50"/>
      </tp>
      <tp t="e">
        <v>#N/A</v>
        <stp/>
        <stp>##V3_BDHV12</stp>
        <stp>YEU0 Comdty</stp>
        <stp>PX_LAST</stp>
        <stp>4/15/2019</stp>
        <stp>4/15/2019</stp>
        <stp>[Basic Pricing.xlsm]FX_Curve_History!R61C4</stp>
        <tr r="D61" s="50"/>
      </tp>
      <tp t="e">
        <v>#N/A</v>
        <stp/>
        <stp>##V3_BDHV12</stp>
        <stp>JYSW10 Index</stp>
        <stp>PX_LAST</stp>
        <stp>4/15/2019</stp>
        <stp>4/15/2019</stp>
        <stp>[Basic Pricing.xlsm]FX_Curve_History!R64C6</stp>
        <tr r="F64" s="50"/>
      </tp>
      <tp t="e">
        <v>#N/A</v>
        <stp/>
        <stp>##V3_BDPV12</stp>
        <stp>JYSW10 Index</stp>
        <stp>PX_LAST</stp>
        <stp>[Basic Pricing.xlsm]Rate_Live!R64C6</stp>
        <tr r="F64" s="39"/>
      </tp>
      <tp t="e">
        <v>#N/A</v>
        <stp/>
        <stp>##V3_BDPV12</stp>
        <stp>JYSW11 Index</stp>
        <stp>PX_LAST</stp>
        <stp>[Basic Pricing.xlsm]Rate_Live!R65C6</stp>
        <tr r="F65" s="39"/>
      </tp>
      <tp t="e">
        <v>#N/A</v>
        <stp/>
        <stp>##V3_BDPV12</stp>
        <stp>JYSW12 Index</stp>
        <stp>PX_LAST</stp>
        <stp>[Basic Pricing.xlsm]Rate_Live!R66C6</stp>
        <tr r="F66" s="39"/>
      </tp>
      <tp t="e">
        <v>#N/A</v>
        <stp/>
        <stp>##V3_BDPV12</stp>
        <stp>JYSW13 Index</stp>
        <stp>PX_LAST</stp>
        <stp>[Basic Pricing.xlsm]Rate_Live!R67C6</stp>
        <tr r="F67" s="39"/>
      </tp>
      <tp t="e">
        <v>#N/A</v>
        <stp/>
        <stp>##V3_BDPV12</stp>
        <stp>JYSW30 Index</stp>
        <stp>PX_LAST</stp>
        <stp>[Basic Pricing.xlsm]Rate_Live!R74C6</stp>
        <tr r="F74" s="39"/>
      </tp>
      <tp t="e">
        <v>#N/A</v>
        <stp/>
        <stp>##V3_BDPV12</stp>
        <stp>BPSW25 Index</stp>
        <stp>PX_LAST</stp>
        <stp>[Basic Pricing.xlsm]Rate_Live!R98C6</stp>
        <tr r="F98" s="39"/>
      </tp>
      <tp t="e">
        <v>#N/A</v>
        <stp/>
        <stp>##V3_BDHV12</stp>
        <stp>ESH0 Comdty</stp>
        <stp>PX_LAST</stp>
        <stp>4/15/2019</stp>
        <stp>4/15/2019</stp>
        <stp>[Basic Pricing.xlsm]Rate_History!R109C4</stp>
        <tr r="D109" s="49"/>
      </tp>
      <tp t="e">
        <v>#N/A</v>
        <stp/>
        <stp>##V3_BDHV12</stp>
        <stp>CHF2Y BGN Curncy</stp>
        <stp>PX_LAST</stp>
        <stp>4/15/2019</stp>
        <stp>4/15/2019</stp>
        <stp>[Basic Pricing.xlsm]FXFR!R123C4</stp>
        <tr r="D123" s="46"/>
      </tp>
      <tp t="e">
        <v>#N/A</v>
        <stp/>
        <stp>##V3_BDPV12</stp>
        <stp>YEM9 Comdty</stp>
        <stp>PX_LAST</stp>
        <stp>[Basic Pricing.xlsm]Rate_Live!R56C4</stp>
        <tr r="D56" s="39"/>
      </tp>
      <tp t="e">
        <v>#N/A</v>
        <stp/>
        <stp>##V3_BDHV12</stp>
        <stp>EDZ0 Comdty</stp>
        <stp>PX_LAST</stp>
        <stp>4/15/2019</stp>
        <stp>4/15/2019</stp>
        <stp>[Basic Pricing.xlsm]FX_Curve_History!R12C4</stp>
        <tr r="D12" s="50"/>
      </tp>
      <tp t="e">
        <v>#N/A</v>
        <stp/>
        <stp>##V3_BDHV12</stp>
        <stp>EDH1 Comdty</stp>
        <stp>PX_LAST</stp>
        <stp>4/15/2019</stp>
        <stp>4/15/2019</stp>
        <stp>[Basic Pricing.xlsm]FX_Curve_History!R13C4</stp>
        <tr r="D13" s="50"/>
      </tp>
      <tp t="e">
        <v>#N/A</v>
        <stp/>
        <stp>##V3_BDPV12</stp>
        <stp>HASWDI3M Index</stp>
        <stp>PX_LAST</stp>
        <stp>[Basic Pricing.xlsm]FX_Curve_Live!R159C22</stp>
        <tr r="V159" s="42"/>
      </tp>
      <tp t="e">
        <v>#N/A</v>
        <stp/>
        <stp>##V3_BDHV12</stp>
        <stp>USSW9 CMPN Curncy</stp>
        <stp>Close</stp>
        <stp>04/15/2019 15:00:00</stp>
        <stp>04/15/2019 15:01:00</stp>
        <stp>[Basic Pricing.xlsm]Rate_History!R13C18</stp>
        <stp>BarType</stp>
        <stp>T</stp>
        <stp>Dir=V</stp>
        <stp>cols=2;rows=1</stp>
        <tr r="R13" s="49"/>
      </tp>
      <tp t="e">
        <v>#N/A</v>
        <stp/>
        <stp>##V3_BDPV12</stp>
        <stp>HASWDI1M Index</stp>
        <stp>PX_LAST</stp>
        <stp>[Basic Pricing.xlsm]FX_Curve_Live!R157C16</stp>
        <tr r="P157" s="42"/>
      </tp>
      <tp t="e">
        <v>#N/A</v>
        <stp/>
        <stp>##V3_BDHV12</stp>
        <stp>USSW8 CMPN Curncy</stp>
        <stp>Close</stp>
        <stp>04/15/2019 15:00:00</stp>
        <stp>04/15/2019 15:01:00</stp>
        <stp>[Basic Pricing.xlsm]Rate_History!R12C18</stp>
        <stp>BarType</stp>
        <stp>T</stp>
        <stp>Dir=V</stp>
        <stp>cols=2;rows=1</stp>
        <tr r="R12" s="49"/>
      </tp>
      <tp t="e">
        <v>#N/A</v>
        <stp/>
        <stp>##V3_BDPV12</stp>
        <stp>HASWDI1M Index</stp>
        <stp>PX_LAST</stp>
        <stp>[Basic Pricing.xlsm]FX_Curve_Live!R157C22</stp>
        <tr r="V157" s="42"/>
      </tp>
      <tp t="e">
        <v>#N/A</v>
        <stp/>
        <stp>##V3_BDHV12</stp>
        <stp>USSW7 CMPN Curncy</stp>
        <stp>Close</stp>
        <stp>04/15/2019 15:00:00</stp>
        <stp>04/15/2019 15:01:00</stp>
        <stp>[Basic Pricing.xlsm]Rate_History!R11C18</stp>
        <stp>BarType</stp>
        <stp>T</stp>
        <stp>Dir=V</stp>
        <stp>cols=2;rows=1</stp>
        <tr r="R11" s="49"/>
      </tp>
      <tp t="e">
        <v>#N/A</v>
        <stp/>
        <stp>##V3_BDPV12</stp>
        <stp>HASWDI3M Index</stp>
        <stp>PX_LAST</stp>
        <stp>[Basic Pricing.xlsm]FX_Curve_Live!R159C16</stp>
        <tr r="P159" s="42"/>
      </tp>
      <tp t="e">
        <v>#N/A</v>
        <stp/>
        <stp>##V3_BDHV12</stp>
        <stp>USSW6 CMPN Curncy</stp>
        <stp>Close</stp>
        <stp>04/15/2019 15:00:00</stp>
        <stp>04/15/2019 15:01:00</stp>
        <stp>[Basic Pricing.xlsm]Rate_History!R10C18</stp>
        <stp>BarType</stp>
        <stp>T</stp>
        <stp>Dir=V</stp>
        <stp>cols=2;rows=1</stp>
        <tr r="R10" s="49"/>
      </tp>
      <tp t="e">
        <v>#N/A</v>
        <stp/>
        <stp>##V3_BDPV12</stp>
        <stp>HASWDI6M Index</stp>
        <stp>PX_LAST</stp>
        <stp>[Basic Pricing.xlsm]FX_Curve_Live!R160C22</stp>
        <tr r="V160" s="42"/>
      </tp>
      <tp t="e">
        <v>#N/A</v>
        <stp/>
        <stp>##V3_BDPV12</stp>
        <stp>HASWDI6M Index</stp>
        <stp>PX_LAST</stp>
        <stp>[Basic Pricing.xlsm]FX_Curve_Live!R160C16</stp>
        <tr r="P160" s="42"/>
      </tp>
      <tp t="e">
        <v>#N/A</v>
        <stp/>
        <stp>##V3_BDHV12</stp>
        <stp>JYSW13 Index</stp>
        <stp>PX_LAST</stp>
        <stp>4/15/2019</stp>
        <stp>4/15/2019</stp>
        <stp>[Basic Pricing.xlsm]FX_Curve_History!R67C6</stp>
        <tr r="F67" s="50"/>
      </tp>
      <tp t="e">
        <v>#N/A</v>
        <stp/>
        <stp>##V3_BDHV12</stp>
        <stp>YEZ0 Comdty</stp>
        <stp>PX_LAST</stp>
        <stp>4/15/2019</stp>
        <stp>4/15/2019</stp>
        <stp>[Basic Pricing.xlsm]FX_Curve_History!R62C4</stp>
        <tr r="D62" s="50"/>
      </tp>
      <tp t="e">
        <v>#N/A</v>
        <stp/>
        <stp>##V3_BDHV12</stp>
        <stp>YEH1 Comdty</stp>
        <stp>PX_LAST</stp>
        <stp>4/15/2019</stp>
        <stp>4/15/2019</stp>
        <stp>[Basic Pricing.xlsm]FX_Curve_History!R63C4</stp>
        <tr r="D63" s="50"/>
      </tp>
      <tp t="e">
        <v>#N/A</v>
        <stp/>
        <stp>##V3_BDPV12</stp>
        <stp>HASWDI9M Index</stp>
        <stp>PX_LAST</stp>
        <stp>[Basic Pricing.xlsm]FX_Curve_Live!R161C16</stp>
        <tr r="P161" s="42"/>
      </tp>
      <tp t="e">
        <v>#N/A</v>
        <stp/>
        <stp>##V3_BDPV12</stp>
        <stp>HASWDI9M Index</stp>
        <stp>PX_LAST</stp>
        <stp>[Basic Pricing.xlsm]FX_Curve_Live!R161C22</stp>
        <tr r="V161" s="42"/>
      </tp>
      <tp t="e">
        <v>#N/A</v>
        <stp/>
        <stp>##V3_BDPV12</stp>
        <stp>JYSW40 Index</stp>
        <stp>PX_LAST</stp>
        <stp>[Basic Pricing.xlsm]Rate_Live!R75C6</stp>
        <tr r="F75" s="39"/>
      </tp>
      <tp t="e">
        <v>#N/A</v>
        <stp/>
        <stp>##V3_BDPV12</stp>
        <stp>EUSA10 Index</stp>
        <stp>PX_LAST</stp>
        <stp>[Basic Pricing.xlsm]Rate_Live!R39C6</stp>
        <tr r="F39" s="39"/>
      </tp>
      <tp t="e">
        <v>#N/A</v>
        <stp/>
        <stp>##V3_BDPV12</stp>
        <stp>EUSA30 Index</stp>
        <stp>PX_LAST</stp>
        <stp>[Basic Pricing.xlsm]Rate_Live!R49C6</stp>
        <tr r="F49" s="39"/>
      </tp>
      <tp t="e">
        <v>#N/A</v>
        <stp/>
        <stp>##V3_BDHV12</stp>
        <stp>JY0006M Index</stp>
        <stp>PX_LAST</stp>
        <stp>4/15/2019</stp>
        <stp>4/15/2019</stp>
        <stp>[Basic Pricing.xlsm]FX_Curve_History!R60C2</stp>
        <tr r="B60" s="50"/>
      </tp>
      <tp t="e">
        <v>#N/A</v>
        <stp/>
        <stp>##V3_BDHV12</stp>
        <stp>JY0001M Index</stp>
        <stp>PX_LAST</stp>
        <stp>4/15/2019</stp>
        <stp>4/15/2019</stp>
        <stp>[Basic Pricing.xlsm]FX_Curve_History!R57C2</stp>
        <tr r="B57" s="50"/>
      </tp>
      <tp t="e">
        <v>#N/A</v>
        <stp/>
        <stp>##V3_BDHV12</stp>
        <stp>ESZ9 Comdty</stp>
        <stp>PX_LAST</stp>
        <stp>4/15/2019</stp>
        <stp>4/15/2019</stp>
        <stp>[Basic Pricing.xlsm]Rate_History!R108C4</stp>
        <tr r="D108" s="49"/>
      </tp>
      <tp t="e">
        <v>#N/A</v>
        <stp/>
        <stp>##V3_BDPV12</stp>
        <stp>YEU9 Comdty</stp>
        <stp>PX_LAST</stp>
        <stp>[Basic Pricing.xlsm]Rate_Live!R57C4</stp>
        <tr r="D57" s="39"/>
      </tp>
      <tp t="e">
        <v>#N/A</v>
        <stp/>
        <stp>##V3_BDHV12</stp>
        <stp>EUSA10 Index</stp>
        <stp>PX_LAST</stp>
        <stp>4/15/2019</stp>
        <stp>4/15/2019</stp>
        <stp>[Basic Pricing.xlsm]FX_Curve_History!R39C6</stp>
        <tr r="F39" s="50"/>
      </tp>
      <tp t="e">
        <v>#N/A</v>
        <stp/>
        <stp>##V3_BDPV12</stp>
        <stp>JYSW2 Index</stp>
        <stp>PX_LAST</stp>
        <stp>[Basic Pricing.xlsm]Rate_Live!R56C6</stp>
        <tr r="F56" s="39"/>
      </tp>
      <tp t="e">
        <v>#N/A</v>
        <stp/>
        <stp>##V3_BDPV12</stp>
        <stp>JYSW3 Index</stp>
        <stp>PX_LAST</stp>
        <stp>[Basic Pricing.xlsm]Rate_Live!R57C6</stp>
        <tr r="F57" s="39"/>
      </tp>
      <tp t="e">
        <v>#N/A</v>
        <stp/>
        <stp>##V3_BDHV12</stp>
        <stp>JYSW12 Index</stp>
        <stp>PX_LAST</stp>
        <stp>4/15/2019</stp>
        <stp>4/15/2019</stp>
        <stp>[Basic Pricing.xlsm]FX_Curve_History!R66C6</stp>
        <tr r="F66" s="50"/>
      </tp>
      <tp t="e">
        <v>#N/A</v>
        <stp/>
        <stp>##V3_BDHV12</stp>
        <stp>JYSW30 Index</stp>
        <stp>PX_LAST</stp>
        <stp>4/15/2019</stp>
        <stp>4/15/2019</stp>
        <stp>[Basic Pricing.xlsm]FX_Curve_History!R74C6</stp>
        <tr r="F74" s="50"/>
      </tp>
      <tp t="e">
        <v>#N/A</v>
        <stp/>
        <stp>##V3_BDPV12</stp>
        <stp>CLSWIB5 Index</stp>
        <stp>PX_LAST</stp>
        <stp>[Basic Pricing.xlsm]Rate_Live!R184C6</stp>
        <tr r="F184" s="39"/>
      </tp>
      <tp t="e">
        <v>#N/A</v>
        <stp/>
        <stp>##V3_BDPV12</stp>
        <stp>CLSWIBC Index</stp>
        <stp>PX_LAST</stp>
        <stp>[Basic Pricing.xlsm]Rate_Live!R184C2</stp>
        <tr r="B184" s="39"/>
      </tp>
      <tp t="e">
        <v>#N/A</v>
        <stp/>
        <stp>##V3_BDHV12</stp>
        <stp>HASWDI6M Index</stp>
        <stp>PX_LAST</stp>
        <stp>4/15/2019</stp>
        <stp>4/15/2019</stp>
        <stp>[Basic Pricing.xlsm]Rate_History!R160C2</stp>
        <tr r="B160" s="49"/>
      </tp>
      <tp t="e">
        <v>#N/A</v>
        <stp/>
        <stp>##V3_BDHV12</stp>
        <stp>EUNE37 ICPL Curncy</stp>
        <stp>PX_LAST</stp>
        <stp>4/15/2019</stp>
        <stp>4/15/2019</stp>
        <stp>[Basic Pricing.xlsm]Vol_Surface!R70C8</stp>
        <tr r="H70" s="53"/>
      </tp>
      <tp t="e">
        <v>#N/A</v>
        <stp/>
        <stp>##V3_BDHV12</stp>
        <stp>EUNE55 ICPL Curncy</stp>
        <stp>PX_LAST</stp>
        <stp>4/15/2019</stp>
        <stp>4/15/2019</stp>
        <stp>[Basic Pricing.xlsm]Vol_Surface!R72C6</stp>
        <tr r="F72" s="53"/>
      </tp>
      <tp t="e">
        <v>#N/A</v>
        <stp/>
        <stp>##V3_BDHV12</stp>
        <stp>EUNE46 ICPL Curncy</stp>
        <stp>PX_LAST</stp>
        <stp>4/15/2019</stp>
        <stp>4/15/2019</stp>
        <stp>[Basic Pricing.xlsm]Vol_Surface!R71C7</stp>
        <tr r="G71" s="53"/>
      </tp>
      <tp t="e">
        <v>#N/A</v>
        <stp/>
        <stp>##V3_BDHV12</stp>
        <stp>EUNEA3 ICPL Curncy</stp>
        <stp>PX_LAST</stp>
        <stp>4/15/2019</stp>
        <stp>4/15/2019</stp>
        <stp>[Basic Pricing.xlsm]Vol_Surface!R64C4</stp>
        <tr r="D64" s="53"/>
      </tp>
      <tp t="e">
        <v>#N/A</v>
        <stp/>
        <stp>##V3_BDHV12</stp>
        <stp>EUNEF1 ICPL Curncy</stp>
        <stp>PX_LAST</stp>
        <stp>4/15/2019</stp>
        <stp>4/15/2019</stp>
        <stp>[Basic Pricing.xlsm]Vol_Surface!R66C2</stp>
        <tr r="B66" s="53"/>
      </tp>
      <tp t="e">
        <v>#N/A</v>
        <stp/>
        <stp>##V3_BDHV12</stp>
        <stp>EUNEC2 ICPL Curncy</stp>
        <stp>PX_LAST</stp>
        <stp>4/15/2019</stp>
        <stp>4/15/2019</stp>
        <stp>[Basic Pricing.xlsm]Vol_Surface!R65C3</stp>
        <tr r="C65" s="53"/>
      </tp>
      <tp t="e">
        <v>#N/A</v>
        <stp/>
        <stp>##V3_BDHV12</stp>
        <stp>EUNZO2 ICPL Curncy</stp>
        <stp>PX_LAST</stp>
        <stp>4/15/2019</stp>
        <stp>4/15/2019</stp>
        <stp>[Basic Pricing.xlsm]Vol_Surface!R25C5</stp>
        <tr r="E25" s="53"/>
      </tp>
      <tp t="e">
        <v>#N/A</v>
        <stp/>
        <stp>##V3_BDHV12</stp>
        <stp>EUNZA2 ICPL Curncy</stp>
        <stp>PX_LAST</stp>
        <stp>4/15/2019</stp>
        <stp>4/15/2019</stp>
        <stp>[Basic Pricing.xlsm]Vol_Surface!R25C6</stp>
        <tr r="F25" s="53"/>
      </tp>
      <tp t="e">
        <v>#N/A</v>
        <stp/>
        <stp>##V3_BDHV12</stp>
        <stp>SF0006M Index</stp>
        <stp>PX_LAST</stp>
        <stp>4/15/2019</stp>
        <stp>4/15/2019</stp>
        <stp>[Basic Pricing.xlsm]FX_Curve_History!R110C2</stp>
        <tr r="B110" s="50"/>
      </tp>
      <tp t="e">
        <v>#N/A</v>
        <stp/>
        <stp>##V3_BDPV12</stp>
        <stp>CLSWIB6 Index</stp>
        <stp>PX_LAST</stp>
        <stp>[Basic Pricing.xlsm]Rate_Live!R185C6</stp>
        <tr r="F185" s="39"/>
      </tp>
      <tp t="e">
        <v>#N/A</v>
        <stp/>
        <stp>##V3_BDPV12</stp>
        <stp>CLSWIBI Index</stp>
        <stp>PX_LAST</stp>
        <stp>[Basic Pricing.xlsm]Rate_Live!R185C2</stp>
        <tr r="B185" s="39"/>
      </tp>
      <tp t="e">
        <v>#N/A</v>
        <stp/>
        <stp>##V3_BDHV12</stp>
        <stp>HASWDI9M Index</stp>
        <stp>PX_LAST</stp>
        <stp>4/15/2019</stp>
        <stp>4/15/2019</stp>
        <stp>[Basic Pricing.xlsm]Rate_History!R161C2</stp>
        <tr r="B161" s="49"/>
      </tp>
      <tp t="e">
        <v>#N/A</v>
        <stp/>
        <stp>##V3_BDHV12</stp>
        <stp>EUNE47 ICPL Curncy</stp>
        <stp>PX_LAST</stp>
        <stp>4/15/2019</stp>
        <stp>4/15/2019</stp>
        <stp>[Basic Pricing.xlsm]Vol_Surface!R71C8</stp>
        <tr r="H71" s="53"/>
      </tp>
      <tp t="e">
        <v>#N/A</v>
        <stp/>
        <stp>##V3_BDHV12</stp>
        <stp>EUNE36 ICPL Curncy</stp>
        <stp>PX_LAST</stp>
        <stp>4/15/2019</stp>
        <stp>4/15/2019</stp>
        <stp>[Basic Pricing.xlsm]Vol_Surface!R70C7</stp>
        <tr r="G70" s="53"/>
      </tp>
      <tp t="e">
        <v>#N/A</v>
        <stp/>
        <stp>##V3_BDHV12</stp>
        <stp>EUNEC3 ICPL Curncy</stp>
        <stp>PX_LAST</stp>
        <stp>4/15/2019</stp>
        <stp>4/15/2019</stp>
        <stp>[Basic Pricing.xlsm]Vol_Surface!R65C4</stp>
        <tr r="D65" s="53"/>
      </tp>
      <tp t="e">
        <v>#N/A</v>
        <stp/>
        <stp>##V3_BDHV12</stp>
        <stp>EUNE54 ICPL Curncy</stp>
        <stp>PX_LAST</stp>
        <stp>4/15/2019</stp>
        <stp>4/15/2019</stp>
        <stp>[Basic Pricing.xlsm]Vol_Surface!R72C5</stp>
        <tr r="E72" s="53"/>
      </tp>
      <tp t="e">
        <v>#N/A</v>
        <stp/>
        <stp>##V3_BDHV12</stp>
        <stp>EUNEI1 ICPL Curncy</stp>
        <stp>PX_LAST</stp>
        <stp>4/15/2019</stp>
        <stp>4/15/2019</stp>
        <stp>[Basic Pricing.xlsm]Vol_Surface!R67C2</stp>
        <tr r="B67" s="53"/>
      </tp>
      <tp t="e">
        <v>#N/A</v>
        <stp/>
        <stp>##V3_BDHV12</stp>
        <stp>EUNEA2 ICPL Curncy</stp>
        <stp>PX_LAST</stp>
        <stp>4/15/2019</stp>
        <stp>4/15/2019</stp>
        <stp>[Basic Pricing.xlsm]Vol_Surface!R64C3</stp>
        <tr r="C64" s="53"/>
      </tp>
      <tp t="e">
        <v>#N/A</v>
        <stp/>
        <stp>##V3_BDHV12</stp>
        <stp>SF0012M Index</stp>
        <stp>PX_LAST</stp>
        <stp>4/15/2019</stp>
        <stp>4/15/2019</stp>
        <stp>[Basic Pricing.xlsm]FX_Curve_History!R111C2</stp>
        <tr r="B111" s="50"/>
      </tp>
      <tp t="e">
        <v>#N/A</v>
        <stp/>
        <stp>##V3_BDPV12</stp>
        <stp>CLSWIB7 Index</stp>
        <stp>PX_LAST</stp>
        <stp>[Basic Pricing.xlsm]Rate_Live!R186C6</stp>
        <tr r="F186" s="39"/>
      </tp>
      <tp t="e">
        <v>#N/A</v>
        <stp/>
        <stp>##V3_BDPV12</stp>
        <stp>CLSWIB1 Index</stp>
        <stp>PX_LAST</stp>
        <stp>[Basic Pricing.xlsm]Rate_Live!R186C2</stp>
        <tr r="B186" s="39"/>
      </tp>
      <tp t="e">
        <v>#N/A</v>
        <stp/>
        <stp>##V3_BDPV12</stp>
        <stp>CDOR02 Index</stp>
        <stp>PX_LAST</stp>
        <stp>[Basic Pricing.xlsm]Rate_Live!R133C2</stp>
        <tr r="B133" s="39"/>
      </tp>
      <tp t="e">
        <v>#N/A</v>
        <stp/>
        <stp>##V3_BDHV12</stp>
        <stp>EUNE57 ICPL Curncy</stp>
        <stp>PX_LAST</stp>
        <stp>4/15/2019</stp>
        <stp>4/15/2019</stp>
        <stp>[Basic Pricing.xlsm]Vol_Surface!R72C8</stp>
        <tr r="H72" s="53"/>
      </tp>
      <tp t="e">
        <v>#N/A</v>
        <stp/>
        <stp>##V3_BDHV12</stp>
        <stp>EUNE35 ICPL Curncy</stp>
        <stp>PX_LAST</stp>
        <stp>4/15/2019</stp>
        <stp>4/15/2019</stp>
        <stp>[Basic Pricing.xlsm]Vol_Surface!R70C6</stp>
        <tr r="F70" s="53"/>
      </tp>
      <tp t="e">
        <v>#N/A</v>
        <stp/>
        <stp>##V3_BDHV12</stp>
        <stp>EUNEF3 ICPL Curncy</stp>
        <stp>PX_LAST</stp>
        <stp>4/15/2019</stp>
        <stp>4/15/2019</stp>
        <stp>[Basic Pricing.xlsm]Vol_Surface!R66C4</stp>
        <tr r="D66" s="53"/>
      </tp>
      <tp t="e">
        <v>#N/A</v>
        <stp/>
        <stp>##V3_BDHV12</stp>
        <stp>EUNE44 ICPL Curncy</stp>
        <stp>PX_LAST</stp>
        <stp>4/15/2019</stp>
        <stp>4/15/2019</stp>
        <stp>[Basic Pricing.xlsm]Vol_Surface!R71C5</stp>
        <tr r="E71" s="53"/>
      </tp>
      <tp t="e">
        <v>#N/A</v>
        <stp/>
        <stp>##V3_BDHV12</stp>
        <stp>EUNEA1 ICPL Curncy</stp>
        <stp>PX_LAST</stp>
        <stp>4/15/2019</stp>
        <stp>4/15/2019</stp>
        <stp>[Basic Pricing.xlsm]Vol_Surface!R64C2</stp>
        <tr r="B64" s="53"/>
      </tp>
      <tp t="e">
        <v>#N/A</v>
        <stp/>
        <stp>##V3_BDHV12</stp>
        <stp>EUNEI2 ICPL Curncy</stp>
        <stp>PX_LAST</stp>
        <stp>4/15/2019</stp>
        <stp>4/15/2019</stp>
        <stp>[Basic Pricing.xlsm]Vol_Surface!R67C3</stp>
        <tr r="C67" s="53"/>
      </tp>
      <tp t="e">
        <v>#N/A</v>
        <stp/>
        <stp>##V3_BDHV12</stp>
        <stp>EUNZO1 ICPL Curncy</stp>
        <stp>PX_LAST</stp>
        <stp>4/15/2019</stp>
        <stp>4/15/2019</stp>
        <stp>[Basic Pricing.xlsm]Vol_Surface!R24C5</stp>
        <tr r="E24" s="53"/>
      </tp>
      <tp t="e">
        <v>#N/A</v>
        <stp/>
        <stp>##V3_BDHV12</stp>
        <stp>EUNZO3 ICPL Curncy</stp>
        <stp>PX_LAST</stp>
        <stp>4/15/2019</stp>
        <stp>4/15/2019</stp>
        <stp>[Basic Pricing.xlsm]Vol_Surface!R26C5</stp>
        <tr r="E26" s="53"/>
      </tp>
      <tp t="e">
        <v>#N/A</v>
        <stp/>
        <stp>##V3_BDHV12</stp>
        <stp>EUNZA1 ICPL Curncy</stp>
        <stp>PX_LAST</stp>
        <stp>4/15/2019</stp>
        <stp>4/15/2019</stp>
        <stp>[Basic Pricing.xlsm]Vol_Surface!R24C6</stp>
        <tr r="F24" s="53"/>
      </tp>
      <tp t="e">
        <v>#N/A</v>
        <stp/>
        <stp>##V3_BDHV12</stp>
        <stp>EUNZA3 ICPL Curncy</stp>
        <stp>PX_LAST</stp>
        <stp>4/15/2019</stp>
        <stp>4/15/2019</stp>
        <stp>[Basic Pricing.xlsm]Vol_Surface!R26C6</stp>
        <tr r="F26" s="53"/>
      </tp>
      <tp t="e">
        <v>#N/A</v>
        <stp/>
        <stp>##V3_BDPV12</stp>
        <stp>EDZ9 Comdty</stp>
        <stp>PX_LAST</stp>
        <stp>[Basic Pricing.xlsm]Rate_Live!R8C4</stp>
        <tr r="D8" s="39"/>
      </tp>
      <tp t="e">
        <v>#N/A</v>
        <stp/>
        <stp>##V3_BDPV12</stp>
        <stp>CLSWIB10 Index</stp>
        <stp>PX_LAST</stp>
        <stp>[Basic Pricing.xlsm]Rate_Live!R189C6</stp>
        <tr r="F189" s="39"/>
      </tp>
      <tp t="e">
        <v>#N/A</v>
        <stp/>
        <stp>##V3_BDHV12</stp>
        <stp>CLSWIBI Index</stp>
        <stp>PX_LAST</stp>
        <stp>4/15/2019</stp>
        <stp>4/15/2019</stp>
        <stp>[Basic Pricing.xlsm]Rate_History!R185C2</stp>
        <tr r="B185" s="49"/>
      </tp>
      <tp t="e">
        <v>#N/A</v>
        <stp/>
        <stp>##V3_BDPV12</stp>
        <stp>CLSWIB8 Index</stp>
        <stp>PX_LAST</stp>
        <stp>[Basic Pricing.xlsm]Rate_Live!R187C6</stp>
        <tr r="F187" s="39"/>
      </tp>
      <tp t="e">
        <v>#N/A</v>
        <stp/>
        <stp>##V3_BDPV12</stp>
        <stp>CDOR01 Index</stp>
        <stp>PX_LAST</stp>
        <stp>[Basic Pricing.xlsm]Rate_Live!R132C2</stp>
        <tr r="B132" s="39"/>
      </tp>
      <tp t="e">
        <v>#N/A</v>
        <stp/>
        <stp>##V3_BDHV12</stp>
        <stp>EUNE45 ICPL Curncy</stp>
        <stp>PX_LAST</stp>
        <stp>4/15/2019</stp>
        <stp>4/15/2019</stp>
        <stp>[Basic Pricing.xlsm]Vol_Surface!R71C6</stp>
        <tr r="F71" s="53"/>
      </tp>
      <tp t="e">
        <v>#N/A</v>
        <stp/>
        <stp>##V3_BDHV12</stp>
        <stp>EUNE56 ICPL Curncy</stp>
        <stp>PX_LAST</stp>
        <stp>4/15/2019</stp>
        <stp>4/15/2019</stp>
        <stp>[Basic Pricing.xlsm]Vol_Surface!R72C7</stp>
        <tr r="G72" s="53"/>
      </tp>
      <tp t="e">
        <v>#N/A</v>
        <stp/>
        <stp>##V3_BDHV12</stp>
        <stp>EUNEI3 ICPL Curncy</stp>
        <stp>PX_LAST</stp>
        <stp>4/15/2019</stp>
        <stp>4/15/2019</stp>
        <stp>[Basic Pricing.xlsm]Vol_Surface!R67C4</stp>
        <tr r="D67" s="53"/>
      </tp>
      <tp t="e">
        <v>#N/A</v>
        <stp/>
        <stp>##V3_BDHV12</stp>
        <stp>EUNE34 ICPL Curncy</stp>
        <stp>PX_LAST</stp>
        <stp>4/15/2019</stp>
        <stp>4/15/2019</stp>
        <stp>[Basic Pricing.xlsm]Vol_Surface!R70C5</stp>
        <tr r="E70" s="53"/>
      </tp>
      <tp t="e">
        <v>#N/A</v>
        <stp/>
        <stp>##V3_BDHV12</stp>
        <stp>EUNEC1 ICPL Curncy</stp>
        <stp>PX_LAST</stp>
        <stp>4/15/2019</stp>
        <stp>4/15/2019</stp>
        <stp>[Basic Pricing.xlsm]Vol_Surface!R65C2</stp>
        <tr r="B65" s="53"/>
      </tp>
      <tp t="e">
        <v>#N/A</v>
        <stp/>
        <stp>##V3_BDHV12</stp>
        <stp>EUNEF2 ICPL Curncy</stp>
        <stp>PX_LAST</stp>
        <stp>4/15/2019</stp>
        <stp>4/15/2019</stp>
        <stp>[Basic Pricing.xlsm]Vol_Surface!R66C3</stp>
        <tr r="C66" s="53"/>
      </tp>
      <tp t="e">
        <v>#N/A</v>
        <stp/>
        <stp>##V3_BDHV12</stp>
        <stp>HASWDI10Y CMPN Curncy</stp>
        <stp>Close</stp>
        <stp>04/15/2019 11:15:00</stp>
        <stp>04/15/2019 11:16:00</stp>
        <stp>[Basic Pricing.xlsm]FX_Curve_History!R168C18</stp>
        <stp>BarType</stp>
        <stp>T</stp>
        <stp>Dir=V</stp>
        <tr r="R168" s="50"/>
      </tp>
      <tp t="e">
        <v>#N/A</v>
        <stp/>
        <stp>##V3_BDHV12</stp>
        <stp>HASWDI10Y CMPN Curncy</stp>
        <stp>Close</stp>
        <stp>04/15/2019 11:15:00</stp>
        <stp>04/15/2019 11:16:00</stp>
        <stp>[Basic Pricing.xlsm]FX_Curve_History!R169C18</stp>
        <stp>BarType</stp>
        <stp>T</stp>
        <stp>Dir=V</stp>
        <tr r="R169" s="50"/>
      </tp>
      <tp t="e">
        <v>#N/A</v>
        <stp/>
        <stp>##V3_BDHV12</stp>
        <stp>HASWDI10Y CMPN Curncy</stp>
        <stp>Close</stp>
        <stp>04/15/2019 11:15:00</stp>
        <stp>04/15/2019 11:16:00</stp>
        <stp>[Basic Pricing.xlsm]FX_Curve_History!R165C18</stp>
        <stp>BarType</stp>
        <stp>T</stp>
        <stp>Dir=V</stp>
        <tr r="R165" s="50"/>
      </tp>
      <tp t="e">
        <v>#N/A</v>
        <stp/>
        <stp>##V3_BDHV12</stp>
        <stp>HASWDI10Y CMPN Curncy</stp>
        <stp>Close</stp>
        <stp>04/15/2019 11:15:00</stp>
        <stp>04/15/2019 11:16:00</stp>
        <stp>[Basic Pricing.xlsm]FX_Curve_History!R166C18</stp>
        <stp>BarType</stp>
        <stp>T</stp>
        <stp>Dir=V</stp>
        <tr r="R166" s="50"/>
      </tp>
      <tp t="e">
        <v>#N/A</v>
        <stp/>
        <stp>##V3_BDHV12</stp>
        <stp>HASWDI10Y CMPN Curncy</stp>
        <stp>Close</stp>
        <stp>04/15/2019 11:15:00</stp>
        <stp>04/15/2019 11:16:00</stp>
        <stp>[Basic Pricing.xlsm]FX_Curve_History!R167C18</stp>
        <stp>BarType</stp>
        <stp>T</stp>
        <stp>Dir=V</stp>
        <tr r="R167" s="50"/>
      </tp>
      <tp t="e">
        <v>#N/A</v>
        <stp/>
        <stp>##V3_BDHV12</stp>
        <stp>HASWDI10Y CMPN Curncy</stp>
        <stp>Close</stp>
        <stp>04/15/2019 11:15:00</stp>
        <stp>04/15/2019 11:16:00</stp>
        <stp>[Basic Pricing.xlsm]FX_Curve_History!R170C18</stp>
        <stp>BarType</stp>
        <stp>T</stp>
        <stp>Dir=V</stp>
        <tr r="R170" s="50"/>
      </tp>
      <tp t="e">
        <v>#N/A</v>
        <stp/>
        <stp>##V3_BDHV12</stp>
        <stp>HASWDI10Y CMPN Curncy</stp>
        <stp>Close</stp>
        <stp>04/15/2019 11:15:00</stp>
        <stp>04/15/2019 11:16:00</stp>
        <stp>[Basic Pricing.xlsm]FX_Curve_History!R171C18</stp>
        <stp>BarType</stp>
        <stp>T</stp>
        <stp>Dir=V</stp>
        <tr r="R171" s="50"/>
      </tp>
      <tp t="e">
        <v>#N/A</v>
        <stp/>
        <stp>##V3_BDHV12</stp>
        <stp>HASWDI10Y CMPN Curncy</stp>
        <stp>Close</stp>
        <stp>04/15/2019 11:15:00</stp>
        <stp>04/15/2019 11:16:00</stp>
        <stp>[Basic Pricing.xlsm]FX_Curve_History!R172C18</stp>
        <stp>BarType</stp>
        <stp>T</stp>
        <stp>Dir=V</stp>
        <tr r="R172" s="50"/>
      </tp>
      <tp t="e">
        <v>#N/A</v>
        <stp/>
        <stp>##V3_BDPV12</stp>
        <stp>HASWDI3Y Index</stp>
        <stp>PX_LAST</stp>
        <stp>[Basic Pricing.xlsm]Rate_Live!R158C6</stp>
        <tr r="F158" s="39"/>
      </tp>
      <tp t="e">
        <v>#N/A</v>
        <stp/>
        <stp>##V3_BDPV12</stp>
        <stp>CDOR06 Index</stp>
        <stp>PX_LAST</stp>
        <stp>[Basic Pricing.xlsm]Rate_Live!R135C2</stp>
        <tr r="B135" s="39"/>
      </tp>
      <tp t="e">
        <v>#N/A</v>
        <stp/>
        <stp>##V3_BDHV12</stp>
        <stp>EUNEA7 ICPL Curncy</stp>
        <stp>PX_LAST</stp>
        <stp>4/15/2019</stp>
        <stp>4/15/2019</stp>
        <stp>[Basic Pricing.xlsm]Vol_Surface!R64C8</stp>
        <tr r="H64" s="53"/>
      </tp>
      <tp t="e">
        <v>#N/A</v>
        <stp/>
        <stp>##V3_BDHV12</stp>
        <stp>EUNEF5 ICPL Curncy</stp>
        <stp>PX_LAST</stp>
        <stp>4/15/2019</stp>
        <stp>4/15/2019</stp>
        <stp>[Basic Pricing.xlsm]Vol_Surface!R66C6</stp>
        <tr r="F66" s="53"/>
      </tp>
      <tp t="e">
        <v>#N/A</v>
        <stp/>
        <stp>##V3_BDHV12</stp>
        <stp>EUNEC6 ICPL Curncy</stp>
        <stp>PX_LAST</stp>
        <stp>4/15/2019</stp>
        <stp>4/15/2019</stp>
        <stp>[Basic Pricing.xlsm]Vol_Surface!R65C7</stp>
        <tr r="G65" s="53"/>
      </tp>
      <tp t="e">
        <v>#N/A</v>
        <stp/>
        <stp>##V3_BDHV12</stp>
        <stp>EUNE33 ICPL Curncy</stp>
        <stp>PX_LAST</stp>
        <stp>4/15/2019</stp>
        <stp>4/15/2019</stp>
        <stp>[Basic Pricing.xlsm]Vol_Surface!R70C4</stp>
        <tr r="D70" s="53"/>
      </tp>
      <tp t="e">
        <v>#N/A</v>
        <stp/>
        <stp>##V3_BDHV12</stp>
        <stp>EUNEI4 ICPL Curncy</stp>
        <stp>PX_LAST</stp>
        <stp>4/15/2019</stp>
        <stp>4/15/2019</stp>
        <stp>[Basic Pricing.xlsm]Vol_Surface!R67C5</stp>
        <tr r="E67" s="53"/>
      </tp>
      <tp t="e">
        <v>#N/A</v>
        <stp/>
        <stp>##V3_BDHV12</stp>
        <stp>EUNE51 ICPL Curncy</stp>
        <stp>PX_LAST</stp>
        <stp>4/15/2019</stp>
        <stp>4/15/2019</stp>
        <stp>[Basic Pricing.xlsm]Vol_Surface!R72C2</stp>
        <tr r="B72" s="53"/>
      </tp>
      <tp t="e">
        <v>#N/A</v>
        <stp/>
        <stp>##V3_BDHV12</stp>
        <stp>EUNE42 ICPL Curncy</stp>
        <stp>PX_LAST</stp>
        <stp>4/15/2019</stp>
        <stp>4/15/2019</stp>
        <stp>[Basic Pricing.xlsm]Vol_Surface!R71C3</stp>
        <tr r="C71" s="53"/>
      </tp>
      <tp t="e">
        <v>#N/A</v>
        <stp/>
        <stp>##V3_BDHV12</stp>
        <stp>EUNZO4 ICPL Curncy</stp>
        <stp>PX_LAST</stp>
        <stp>4/15/2019</stp>
        <stp>4/15/2019</stp>
        <stp>[Basic Pricing.xlsm]Vol_Surface!R27C5</stp>
        <tr r="E27" s="53"/>
      </tp>
      <tp t="e">
        <v>#N/A</v>
        <stp/>
        <stp>##V3_BDHV12</stp>
        <stp>EUNZA4 ICPL Curncy</stp>
        <stp>PX_LAST</stp>
        <stp>4/15/2019</stp>
        <stp>4/15/2019</stp>
        <stp>[Basic Pricing.xlsm]Vol_Surface!R27C6</stp>
        <tr r="F27" s="53"/>
      </tp>
      <tp t="e">
        <v>#N/A</v>
        <stp/>
        <stp>##V3_BDPV12</stp>
        <stp>HASWDI4Y Index</stp>
        <stp>PX_LAST</stp>
        <stp>[Basic Pricing.xlsm]Rate_Live!R159C6</stp>
        <tr r="F159" s="39"/>
      </tp>
      <tp t="e">
        <v>#N/A</v>
        <stp/>
        <stp>##V3_BDPV12</stp>
        <stp>HASWDI3M Index</stp>
        <stp>PX_LAST</stp>
        <stp>[Basic Pricing.xlsm]Rate_Live!R159C2</stp>
        <tr r="B159" s="39"/>
      </tp>
      <tp t="e">
        <v>#N/A</v>
        <stp/>
        <stp>##V3_BDPV12</stp>
        <stp>CLSWIB2 Index</stp>
        <stp>PX_LAST</stp>
        <stp>[Basic Pricing.xlsm]Rate_Live!R181C6</stp>
        <tr r="F181" s="39"/>
      </tp>
      <tp t="e">
        <v>#N/A</v>
        <stp/>
        <stp>##V3_BDPV12</stp>
        <stp>CDOR03 Index</stp>
        <stp>PX_LAST</stp>
        <stp>[Basic Pricing.xlsm]Rate_Live!R134C2</stp>
        <tr r="B134" s="39"/>
      </tp>
      <tp t="e">
        <v>#N/A</v>
        <stp/>
        <stp>##V3_BDHV12</stp>
        <stp>EUNEC7 ICPL Curncy</stp>
        <stp>PX_LAST</stp>
        <stp>4/15/2019</stp>
        <stp>4/15/2019</stp>
        <stp>[Basic Pricing.xlsm]Vol_Surface!R65C8</stp>
        <tr r="H65" s="53"/>
      </tp>
      <tp t="e">
        <v>#N/A</v>
        <stp/>
        <stp>##V3_BDHV12</stp>
        <stp>EUNEI5 ICPL Curncy</stp>
        <stp>PX_LAST</stp>
        <stp>4/15/2019</stp>
        <stp>4/15/2019</stp>
        <stp>[Basic Pricing.xlsm]Vol_Surface!R67C6</stp>
        <tr r="F67" s="53"/>
      </tp>
      <tp t="e">
        <v>#N/A</v>
        <stp/>
        <stp>##V3_BDHV12</stp>
        <stp>EUNEA6 ICPL Curncy</stp>
        <stp>PX_LAST</stp>
        <stp>4/15/2019</stp>
        <stp>4/15/2019</stp>
        <stp>[Basic Pricing.xlsm]Vol_Surface!R64C7</stp>
        <tr r="G64" s="53"/>
      </tp>
      <tp t="e">
        <v>#N/A</v>
        <stp/>
        <stp>##V3_BDHV12</stp>
        <stp>EUNE43 ICPL Curncy</stp>
        <stp>PX_LAST</stp>
        <stp>4/15/2019</stp>
        <stp>4/15/2019</stp>
        <stp>[Basic Pricing.xlsm]Vol_Surface!R71C4</stp>
        <tr r="D71" s="53"/>
      </tp>
      <tp t="e">
        <v>#N/A</v>
        <stp/>
        <stp>##V3_BDHV12</stp>
        <stp>EUNEF4 ICPL Curncy</stp>
        <stp>PX_LAST</stp>
        <stp>4/15/2019</stp>
        <stp>4/15/2019</stp>
        <stp>[Basic Pricing.xlsm]Vol_Surface!R66C5</stp>
        <tr r="E66" s="53"/>
      </tp>
      <tp t="e">
        <v>#N/A</v>
        <stp/>
        <stp>##V3_BDHV12</stp>
        <stp>EUNE32 ICPL Curncy</stp>
        <stp>PX_LAST</stp>
        <stp>4/15/2019</stp>
        <stp>4/15/2019</stp>
        <stp>[Basic Pricing.xlsm]Vol_Surface!R70C3</stp>
        <tr r="C70" s="53"/>
      </tp>
      <tp t="e">
        <v>#N/A</v>
        <stp/>
        <stp>##V3_BDHV12</stp>
        <stp>SF00S/N Index</stp>
        <stp>PX_LAST</stp>
        <stp>4/15/2019</stp>
        <stp>4/15/2019</stp>
        <stp>[Basic Pricing.xlsm]FX_Curve_History!R106C2</stp>
        <tr r="B106" s="50"/>
      </tp>
      <tp t="e">
        <v>#N/A</v>
        <stp/>
        <stp>##V3_BDPV12</stp>
        <stp>CLSWIB3 Index</stp>
        <stp>PX_LAST</stp>
        <stp>[Basic Pricing.xlsm]Rate_Live!R182C6</stp>
        <tr r="F182" s="39"/>
      </tp>
      <tp t="e">
        <v>#N/A</v>
        <stp/>
        <stp>##V3_BDPV12</stp>
        <stp>CLSWIBA Index</stp>
        <stp>PX_LAST</stp>
        <stp>[Basic Pricing.xlsm]Rate_Live!R182C2</stp>
        <tr r="B182" s="39"/>
      </tp>
      <tp t="e">
        <v>#N/A</v>
        <stp/>
        <stp>##V3_BDHV12</stp>
        <stp>EUNEF7 ICPL Curncy</stp>
        <stp>PX_LAST</stp>
        <stp>4/15/2019</stp>
        <stp>4/15/2019</stp>
        <stp>[Basic Pricing.xlsm]Vol_Surface!R66C8</stp>
        <tr r="H66" s="53"/>
      </tp>
      <tp t="e">
        <v>#N/A</v>
        <stp/>
        <stp>##V3_BDHV12</stp>
        <stp>EUNE28 ICPL Curncy</stp>
        <stp>PX_LAST</stp>
        <stp>4/15/2019</stp>
        <stp>4/15/2019</stp>
        <stp>[Basic Pricing.xlsm]Vol_Surface!R69C9</stp>
        <tr r="I69" s="53"/>
      </tp>
      <tp t="e">
        <v>#N/A</v>
        <stp/>
        <stp>##V3_BDHV12</stp>
        <stp>EUNEA5 ICPL Curncy</stp>
        <stp>PX_LAST</stp>
        <stp>4/15/2019</stp>
        <stp>4/15/2019</stp>
        <stp>[Basic Pricing.xlsm]Vol_Surface!R64C6</stp>
        <tr r="F64" s="53"/>
      </tp>
      <tp t="e">
        <v>#N/A</v>
        <stp/>
        <stp>##V3_BDHV12</stp>
        <stp>EUNEI6 ICPL Curncy</stp>
        <stp>PX_LAST</stp>
        <stp>4/15/2019</stp>
        <stp>4/15/2019</stp>
        <stp>[Basic Pricing.xlsm]Vol_Surface!R67C7</stp>
        <tr r="G67" s="53"/>
      </tp>
      <tp t="e">
        <v>#N/A</v>
        <stp/>
        <stp>##V3_BDHV12</stp>
        <stp>EUNE53 ICPL Curncy</stp>
        <stp>PX_LAST</stp>
        <stp>4/15/2019</stp>
        <stp>4/15/2019</stp>
        <stp>[Basic Pricing.xlsm]Vol_Surface!R72C4</stp>
        <tr r="D72" s="53"/>
      </tp>
      <tp t="e">
        <v>#N/A</v>
        <stp/>
        <stp>##V3_BDHV12</stp>
        <stp>EUNEC4 ICPL Curncy</stp>
        <stp>PX_LAST</stp>
        <stp>4/15/2019</stp>
        <stp>4/15/2019</stp>
        <stp>[Basic Pricing.xlsm]Vol_Surface!R65C5</stp>
        <tr r="E65" s="53"/>
      </tp>
      <tp t="e">
        <v>#N/A</v>
        <stp/>
        <stp>##V3_BDHV12</stp>
        <stp>EUNE31 ICPL Curncy</stp>
        <stp>PX_LAST</stp>
        <stp>4/15/2019</stp>
        <stp>4/15/2019</stp>
        <stp>[Basic Pricing.xlsm]Vol_Surface!R70C2</stp>
        <tr r="B70" s="53"/>
      </tp>
      <tp t="e">
        <v>#N/A</v>
        <stp/>
        <stp>##V3_BDHV12</stp>
        <stp>SFSW8 CMPN Curncy</stp>
        <stp>Close</stp>
        <stp>04/15/2019 11:15:00</stp>
        <stp>04/15/2019 11:16:00</stp>
        <stp>[Basic Pricing.xlsm]Rate_History!R112C18</stp>
        <stp>BarType</stp>
        <stp>T</stp>
        <stp>Dir=V</stp>
        <tr r="R112" s="49"/>
      </tp>
      <tp t="e">
        <v>#N/A</v>
        <stp/>
        <stp>##V3_BDHV12</stp>
        <stp>SFSW9 CMPN Curncy</stp>
        <stp>Close</stp>
        <stp>04/15/2019 11:15:00</stp>
        <stp>04/15/2019 11:16:00</stp>
        <stp>[Basic Pricing.xlsm]Rate_History!R113C18</stp>
        <stp>BarType</stp>
        <stp>T</stp>
        <stp>Dir=V</stp>
        <tr r="R113" s="49"/>
      </tp>
      <tp t="e">
        <v>#N/A</v>
        <stp/>
        <stp>##V3_BDHV12</stp>
        <stp>SFSW6 CMPN Curncy</stp>
        <stp>Close</stp>
        <stp>04/15/2019 11:15:00</stp>
        <stp>04/15/2019 11:16:00</stp>
        <stp>[Basic Pricing.xlsm]Rate_History!R110C18</stp>
        <stp>BarType</stp>
        <stp>T</stp>
        <stp>Dir=V</stp>
        <tr r="R110" s="49"/>
      </tp>
      <tp t="e">
        <v>#N/A</v>
        <stp/>
        <stp>##V3_BDHV12</stp>
        <stp>SFSW7 CMPN Curncy</stp>
        <stp>Close</stp>
        <stp>04/15/2019 11:15:00</stp>
        <stp>04/15/2019 11:16:00</stp>
        <stp>[Basic Pricing.xlsm]Rate_History!R111C18</stp>
        <stp>BarType</stp>
        <stp>T</stp>
        <stp>Dir=V</stp>
        <tr r="R111" s="49"/>
      </tp>
      <tp t="e">
        <v>#N/A</v>
        <stp/>
        <stp>##V3_BDHV12</stp>
        <stp>SFSW4 CMPN Curncy</stp>
        <stp>Close</stp>
        <stp>04/15/2019 11:15:00</stp>
        <stp>04/15/2019 11:16:00</stp>
        <stp>[Basic Pricing.xlsm]Rate_History!R108C18</stp>
        <stp>BarType</stp>
        <stp>T</stp>
        <stp>Dir=V</stp>
        <tr r="R108" s="49"/>
      </tp>
      <tp t="e">
        <v>#N/A</v>
        <stp/>
        <stp>##V3_BDHV12</stp>
        <stp>SFSW5 CMPN Curncy</stp>
        <stp>Close</stp>
        <stp>04/15/2019 11:15:00</stp>
        <stp>04/15/2019 11:16:00</stp>
        <stp>[Basic Pricing.xlsm]Rate_History!R109C18</stp>
        <stp>BarType</stp>
        <stp>T</stp>
        <stp>Dir=V</stp>
        <tr r="R109" s="49"/>
      </tp>
      <tp t="e">
        <v>#N/A</v>
        <stp/>
        <stp>##V3_BDHV12</stp>
        <stp>SFSW2 CMPN Curncy</stp>
        <stp>Close</stp>
        <stp>04/15/2019 11:15:00</stp>
        <stp>04/15/2019 11:16:00</stp>
        <stp>[Basic Pricing.xlsm]Rate_History!R106C18</stp>
        <stp>BarType</stp>
        <stp>T</stp>
        <stp>Dir=V</stp>
        <tr r="R106" s="49"/>
      </tp>
      <tp t="e">
        <v>#N/A</v>
        <stp/>
        <stp>##V3_BDHV12</stp>
        <stp>SFSW3 CMPN Curncy</stp>
        <stp>Close</stp>
        <stp>04/15/2019 11:15:00</stp>
        <stp>04/15/2019 11:16:00</stp>
        <stp>[Basic Pricing.xlsm]Rate_History!R107C18</stp>
        <stp>BarType</stp>
        <stp>T</stp>
        <stp>Dir=V</stp>
        <tr r="R107" s="49"/>
      </tp>
      <tp t="e">
        <v>#N/A</v>
        <stp/>
        <stp>##V3_BDHV12</stp>
        <stp>CORRRMIN Index</stp>
        <stp>PX_LAST</stp>
        <stp>4/15/2019</stp>
        <stp>4/15/2019</stp>
        <stp>[Basic Pricing.xlsm]Rate_History!R181C2</stp>
        <tr r="B181" s="49"/>
      </tp>
      <tp t="e">
        <v>#N/A</v>
        <stp/>
        <stp>##V3_BDPV12</stp>
        <stp>CLSWIB4 Index</stp>
        <stp>PX_LAST</stp>
        <stp>[Basic Pricing.xlsm]Rate_Live!R183C6</stp>
        <tr r="F183" s="39"/>
      </tp>
      <tp t="e">
        <v>#N/A</v>
        <stp/>
        <stp>##V3_BDHV12</stp>
        <stp>HASWDI1M Index</stp>
        <stp>PX_LAST</stp>
        <stp>4/15/2019</stp>
        <stp>4/15/2019</stp>
        <stp>[Basic Pricing.xlsm]Rate_History!R157C2</stp>
        <tr r="B157" s="49"/>
      </tp>
      <tp t="e">
        <v>#N/A</v>
        <stp/>
        <stp>##V3_BDPV12</stp>
        <stp>CDOR12 Index</stp>
        <stp>PX_LAST</stp>
        <stp>[Basic Pricing.xlsm]Rate_Live!R136C2</stp>
        <tr r="B136" s="39"/>
      </tp>
      <tp t="e">
        <v>#N/A</v>
        <stp/>
        <stp>##V3_BDHV12</stp>
        <stp>EUNEI7 ICPL Curncy</stp>
        <stp>PX_LAST</stp>
        <stp>4/15/2019</stp>
        <stp>4/15/2019</stp>
        <stp>[Basic Pricing.xlsm]Vol_Surface!R67C8</stp>
        <tr r="H67" s="53"/>
      </tp>
      <tp t="e">
        <v>#N/A</v>
        <stp/>
        <stp>##V3_BDHV12</stp>
        <stp>EUNE18 ICPL Curncy</stp>
        <stp>PX_LAST</stp>
        <stp>4/15/2019</stp>
        <stp>4/15/2019</stp>
        <stp>[Basic Pricing.xlsm]Vol_Surface!R68C9</stp>
        <tr r="I68" s="53"/>
      </tp>
      <tp t="e">
        <v>#N/A</v>
        <stp/>
        <stp>##V3_BDHV12</stp>
        <stp>EUNEC5 ICPL Curncy</stp>
        <stp>PX_LAST</stp>
        <stp>4/15/2019</stp>
        <stp>4/15/2019</stp>
        <stp>[Basic Pricing.xlsm]Vol_Surface!R65C6</stp>
        <tr r="F65" s="53"/>
      </tp>
      <tp t="e">
        <v>#N/A</v>
        <stp/>
        <stp>##V3_BDHV12</stp>
        <stp>EUNEF6 ICPL Curncy</stp>
        <stp>PX_LAST</stp>
        <stp>4/15/2019</stp>
        <stp>4/15/2019</stp>
        <stp>[Basic Pricing.xlsm]Vol_Surface!R66C7</stp>
        <tr r="G66" s="53"/>
      </tp>
      <tp t="e">
        <v>#N/A</v>
        <stp/>
        <stp>##V3_BDHV12</stp>
        <stp>EUNEA4 ICPL Curncy</stp>
        <stp>PX_LAST</stp>
        <stp>4/15/2019</stp>
        <stp>4/15/2019</stp>
        <stp>[Basic Pricing.xlsm]Vol_Surface!R64C5</stp>
        <tr r="E64" s="53"/>
      </tp>
      <tp t="e">
        <v>#N/A</v>
        <stp/>
        <stp>##V3_BDHV12</stp>
        <stp>EUNE41 ICPL Curncy</stp>
        <stp>PX_LAST</stp>
        <stp>4/15/2019</stp>
        <stp>4/15/2019</stp>
        <stp>[Basic Pricing.xlsm]Vol_Surface!R71C2</stp>
        <tr r="B71" s="53"/>
      </tp>
      <tp t="e">
        <v>#N/A</v>
        <stp/>
        <stp>##V3_BDHV12</stp>
        <stp>EUNE52 ICPL Curncy</stp>
        <stp>PX_LAST</stp>
        <stp>4/15/2019</stp>
        <stp>4/15/2019</stp>
        <stp>[Basic Pricing.xlsm]Vol_Surface!R72C3</stp>
        <tr r="C72" s="53"/>
      </tp>
      <tp t="e">
        <v>#N/A</v>
        <stp/>
        <stp>##V3_BDHV12</stp>
        <stp>SF0001M Index</stp>
        <stp>PX_LAST</stp>
        <stp>4/15/2019</stp>
        <stp>4/15/2019</stp>
        <stp>[Basic Pricing.xlsm]FX_Curve_History!R107C2</stp>
        <tr r="B107" s="50"/>
      </tp>
      <tp t="e">
        <v>#N/A</v>
        <stp/>
        <stp>##V3_BDPV12</stp>
        <stp>HASWDI9Y Index</stp>
        <stp>PX_LAST</stp>
        <stp>[Basic Pricing.xlsm]Rate_Live!R164C6</stp>
        <tr r="F164" s="39"/>
      </tp>
      <tp t="e">
        <v>#N/A</v>
        <stp/>
        <stp>##V3_BDHV12</stp>
        <stp>CLSWIBC Index</stp>
        <stp>PX_LAST</stp>
        <stp>4/15/2019</stp>
        <stp>4/15/2019</stp>
        <stp>[Basic Pricing.xlsm]Rate_History!R184C2</stp>
        <tr r="B184" s="49"/>
      </tp>
      <tp t="e">
        <v>#N/A</v>
        <stp/>
        <stp>##V3_BDHV12</stp>
        <stp>HASWDI2M Index</stp>
        <stp>PX_LAST</stp>
        <stp>4/15/2019</stp>
        <stp>4/15/2019</stp>
        <stp>[Basic Pricing.xlsm]Rate_History!R158C2</stp>
        <tr r="B158" s="49"/>
      </tp>
      <tp t="e">
        <v>#N/A</v>
        <stp/>
        <stp>##V3_BDHV12</stp>
        <stp>EUNE17 ICPL Curncy</stp>
        <stp>PX_LAST</stp>
        <stp>4/15/2019</stp>
        <stp>4/15/2019</stp>
        <stp>[Basic Pricing.xlsm]Vol_Surface!R68C8</stp>
        <tr r="H68" s="53"/>
      </tp>
      <tp t="e">
        <v>#N/A</v>
        <stp/>
        <stp>##V3_BDHV12</stp>
        <stp>EUNEI8 ICPL Curncy</stp>
        <stp>PX_LAST</stp>
        <stp>4/15/2019</stp>
        <stp>4/15/2019</stp>
        <stp>[Basic Pricing.xlsm]Vol_Surface!R67C9</stp>
        <tr r="I67" s="53"/>
      </tp>
      <tp t="e">
        <v>#N/A</v>
        <stp/>
        <stp>##V3_BDHV12</stp>
        <stp>EUNE26 ICPL Curncy</stp>
        <stp>PX_LAST</stp>
        <stp>4/15/2019</stp>
        <stp>4/15/2019</stp>
        <stp>[Basic Pricing.xlsm]Vol_Surface!R69C7</stp>
        <tr r="G69" s="53"/>
      </tp>
      <tp t="e">
        <v>#N/A</v>
        <stp/>
        <stp>##V3_BDHV12</stp>
        <stp>SF0002M Index</stp>
        <stp>PX_LAST</stp>
        <stp>4/15/2019</stp>
        <stp>4/15/2019</stp>
        <stp>[Basic Pricing.xlsm]FX_Curve_History!R108C2</stp>
        <tr r="B108" s="50"/>
      </tp>
      <tp t="e">
        <v>#N/A</v>
        <stp/>
        <stp>##V3_BDPV12</stp>
        <stp>USDKRW CMPN Curncy</stp>
        <stp>PX_LAST</stp>
        <stp>[Basic Pricing.xlsm]FX_Live!R4C5</stp>
        <tr r="E4" s="44"/>
      </tp>
      <tp t="e">
        <v>#N/A</v>
        <stp/>
        <stp>##V3_BDHV12</stp>
        <stp>HASWDI3M Index</stp>
        <stp>PX_LAST</stp>
        <stp>4/15/2019</stp>
        <stp>4/15/2019</stp>
        <stp>[Basic Pricing.xlsm]Rate_History!R159C2</stp>
        <tr r="B159" s="49"/>
      </tp>
      <tp t="e">
        <v>#N/A</v>
        <stp/>
        <stp>##V3_BDHV12</stp>
        <stp>EUNE27 ICPL Curncy</stp>
        <stp>PX_LAST</stp>
        <stp>4/15/2019</stp>
        <stp>4/15/2019</stp>
        <stp>[Basic Pricing.xlsm]Vol_Surface!R69C8</stp>
        <tr r="H69" s="53"/>
      </tp>
      <tp t="e">
        <v>#N/A</v>
        <stp/>
        <stp>##V3_BDHV12</stp>
        <stp>EUNEF8 ICPL Curncy</stp>
        <stp>PX_LAST</stp>
        <stp>4/15/2019</stp>
        <stp>4/15/2019</stp>
        <stp>[Basic Pricing.xlsm]Vol_Surface!R66C9</stp>
        <tr r="I66" s="53"/>
      </tp>
      <tp t="e">
        <v>#N/A</v>
        <stp/>
        <stp>##V3_BDHV12</stp>
        <stp>EUNE16 ICPL Curncy</stp>
        <stp>PX_LAST</stp>
        <stp>4/15/2019</stp>
        <stp>4/15/2019</stp>
        <stp>[Basic Pricing.xlsm]Vol_Surface!R68C7</stp>
        <tr r="G68" s="53"/>
      </tp>
      <tp t="e">
        <v>#N/A</v>
        <stp/>
        <stp>##V3_BDHV12</stp>
        <stp>EUNZO7 ICPL Curncy</stp>
        <stp>PX_LAST</stp>
        <stp>4/15/2019</stp>
        <stp>4/15/2019</stp>
        <stp>[Basic Pricing.xlsm]Vol_Surface!R29C5</stp>
        <tr r="E29" s="53"/>
      </tp>
      <tp t="e">
        <v>#N/A</v>
        <stp/>
        <stp>##V3_BDHV12</stp>
        <stp>EUNZA7 ICPL Curncy</stp>
        <stp>PX_LAST</stp>
        <stp>4/15/2019</stp>
        <stp>4/15/2019</stp>
        <stp>[Basic Pricing.xlsm]Vol_Surface!R29C6</stp>
        <tr r="F29" s="53"/>
      </tp>
      <tp t="e">
        <v>#N/A</v>
        <stp/>
        <stp>##V3_BDHV12</stp>
        <stp>SF0003M Index</stp>
        <stp>PX_LAST</stp>
        <stp>4/15/2019</stp>
        <stp>4/15/2019</stp>
        <stp>[Basic Pricing.xlsm]FX_Curve_History!R109C2</stp>
        <tr r="B109" s="50"/>
      </tp>
      <tp t="e">
        <v>#N/A</v>
        <stp/>
        <stp>##V3_BDHV12</stp>
        <stp>EUNZ5020 ICPL Curncy</stp>
        <stp>PX_LAST</stp>
        <stp>4/15/2019</stp>
        <stp>4/15/2019</stp>
        <stp>[Basic Pricing.xlsm]Vol_Surface!R33C12</stp>
        <tr r="L33" s="53"/>
      </tp>
      <tp t="e">
        <v>#N/A</v>
        <stp/>
        <stp>##V3_BDHV12</stp>
        <stp>EUNZ5010 ICPL Curncy</stp>
        <stp>PX_LAST</stp>
        <stp>4/15/2019</stp>
        <stp>4/15/2019</stp>
        <stp>[Basic Pricing.xlsm]Vol_Surface!R30C12</stp>
        <tr r="L30" s="53"/>
      </tp>
      <tp t="e">
        <v>#N/A</v>
        <stp/>
        <stp>##V3_BDHV12</stp>
        <stp>EUNZ5012 ICPL Curncy</stp>
        <stp>PX_LAST</stp>
        <stp>4/15/2019</stp>
        <stp>4/15/2019</stp>
        <stp>[Basic Pricing.xlsm]Vol_Surface!R31C12</stp>
        <tr r="L31" s="53"/>
      </tp>
      <tp t="e">
        <v>#N/A</v>
        <stp/>
        <stp>##V3_BDHV12</stp>
        <stp>EUNZ5015 ICPL Curncy</stp>
        <stp>PX_LAST</stp>
        <stp>4/15/2019</stp>
        <stp>4/15/2019</stp>
        <stp>[Basic Pricing.xlsm]Vol_Surface!R32C12</stp>
        <tr r="L32" s="53"/>
      </tp>
      <tp t="e">
        <v>#N/A</v>
        <stp/>
        <stp>##V3_BDPV12</stp>
        <stp>HASWDI1Y Index</stp>
        <stp>PX_LAST</stp>
        <stp>[Basic Pricing.xlsm]Rate_Live!R156C6</stp>
        <tr r="F156" s="39"/>
      </tp>
      <tp t="e">
        <v>#N/A</v>
        <stp/>
        <stp>##V3_BDHV12</stp>
        <stp>EUNEC8 ICPL Curncy</stp>
        <stp>PX_LAST</stp>
        <stp>4/15/2019</stp>
        <stp>4/15/2019</stp>
        <stp>[Basic Pricing.xlsm]Vol_Surface!R65C9</stp>
        <tr r="I65" s="53"/>
      </tp>
      <tp t="e">
        <v>#N/A</v>
        <stp/>
        <stp>##V3_BDHV12</stp>
        <stp>EUNE15 ICPL Curncy</stp>
        <stp>PX_LAST</stp>
        <stp>4/15/2019</stp>
        <stp>4/15/2019</stp>
        <stp>[Basic Pricing.xlsm]Vol_Surface!R68C6</stp>
        <tr r="F68" s="53"/>
      </tp>
      <tp t="e">
        <v>#N/A</v>
        <stp/>
        <stp>##V3_BDHV12</stp>
        <stp>EUNE24 ICPL Curncy</stp>
        <stp>PX_LAST</stp>
        <stp>4/15/2019</stp>
        <stp>4/15/2019</stp>
        <stp>[Basic Pricing.xlsm]Vol_Surface!R69C5</stp>
        <tr r="E69" s="53"/>
      </tp>
      <tp t="e">
        <v>#N/A</v>
        <stp/>
        <stp>##V3_BDHV12</stp>
        <stp>EUNZO5 ICPL Curncy</stp>
        <stp>PX_LAST</stp>
        <stp>4/15/2019</stp>
        <stp>4/15/2019</stp>
        <stp>[Basic Pricing.xlsm]Vol_Surface!R28C5</stp>
        <tr r="E28" s="53"/>
      </tp>
      <tp t="e">
        <v>#N/A</v>
        <stp/>
        <stp>##V3_BDHV12</stp>
        <stp>EUNZA5 ICPL Curncy</stp>
        <stp>PX_LAST</stp>
        <stp>4/15/2019</stp>
        <stp>4/15/2019</stp>
        <stp>[Basic Pricing.xlsm]Vol_Surface!R28C6</stp>
        <tr r="F28" s="53"/>
      </tp>
      <tp t="e">
        <v>#N/A</v>
        <stp/>
        <stp>##V3_BDPV12</stp>
        <stp>EDH0 Comdty</stp>
        <stp>PX_LAST</stp>
        <stp>[Basic Pricing.xlsm]Rate_Live!R9C4</stp>
        <tr r="D9" s="39"/>
      </tp>
      <tp t="e">
        <v>#N/A</v>
        <stp/>
        <stp>##V3_BDPV12</stp>
        <stp>HASWDI2Y Index</stp>
        <stp>PX_LAST</stp>
        <stp>[Basic Pricing.xlsm]Rate_Live!R157C6</stp>
        <tr r="F157" s="39"/>
      </tp>
      <tp t="e">
        <v>#N/A</v>
        <stp/>
        <stp>##V3_BDPV12</stp>
        <stp>HASWDI1M Index</stp>
        <stp>PX_LAST</stp>
        <stp>[Basic Pricing.xlsm]Rate_Live!R157C2</stp>
        <tr r="B157" s="39"/>
      </tp>
      <tp t="e">
        <v>#N/A</v>
        <stp/>
        <stp>##V3_BDPV12</stp>
        <stp>CLSWIB12 Index</stp>
        <stp>PX_LAST</stp>
        <stp>[Basic Pricing.xlsm]Rate_Live!R191C6</stp>
        <tr r="F191" s="39"/>
      </tp>
      <tp t="e">
        <v>#N/A</v>
        <stp/>
        <stp>##V3_BDHV12</stp>
        <stp>EUNEA8 ICPL Curncy</stp>
        <stp>PX_LAST</stp>
        <stp>4/15/2019</stp>
        <stp>4/15/2019</stp>
        <stp>[Basic Pricing.xlsm]Vol_Surface!R64C9</stp>
        <tr r="I64" s="53"/>
      </tp>
      <tp t="e">
        <v>#N/A</v>
        <stp/>
        <stp>##V3_BDHV12</stp>
        <stp>EUNE25 ICPL Curncy</stp>
        <stp>PX_LAST</stp>
        <stp>4/15/2019</stp>
        <stp>4/15/2019</stp>
        <stp>[Basic Pricing.xlsm]Vol_Surface!R69C6</stp>
        <tr r="F69" s="53"/>
      </tp>
      <tp t="e">
        <v>#N/A</v>
        <stp/>
        <stp>##V3_BDHV12</stp>
        <stp>EUNE14 ICPL Curncy</stp>
        <stp>PX_LAST</stp>
        <stp>4/15/2019</stp>
        <stp>4/15/2019</stp>
        <stp>[Basic Pricing.xlsm]Vol_Surface!R68C5</stp>
        <tr r="E68" s="53"/>
      </tp>
      <tp t="e">
        <v>#N/A</v>
        <stp/>
        <stp>##V3_BDPV12</stp>
        <stp>BPBS1 curncy</stp>
        <stp>PX_LAST</stp>
        <stp>[Basic Pricing.xlsm]FX_Curve_History!R81C16</stp>
        <tr r="P81" s="50"/>
      </tp>
      <tp t="e">
        <v>#N/A</v>
        <stp/>
        <stp>##V3_BDPV12</stp>
        <stp>HASWDI6M Index</stp>
        <stp>PX_LAST</stp>
        <stp>[Basic Pricing.xlsm]Rate_Live!R160C2</stp>
        <tr r="B160" s="39"/>
      </tp>
      <tp t="e">
        <v>#N/A</v>
        <stp/>
        <stp>##V3_BDPV12</stp>
        <stp>HASWDI5Y Index</stp>
        <stp>PX_LAST</stp>
        <stp>[Basic Pricing.xlsm]Rate_Live!R160C6</stp>
        <tr r="F160" s="39"/>
      </tp>
      <tp t="e">
        <v>#N/A</v>
        <stp/>
        <stp>##V3_BDHV12</stp>
        <stp>CLSWIBA Index</stp>
        <stp>PX_LAST</stp>
        <stp>4/15/2019</stp>
        <stp>4/15/2019</stp>
        <stp>[Basic Pricing.xlsm]Rate_History!R182C2</stp>
        <tr r="B182" s="49"/>
      </tp>
      <tp t="e">
        <v>#N/A</v>
        <stp/>
        <stp>##V3_BDHV12</stp>
        <stp>CLSWIB1F Index</stp>
        <stp>PX_LAST</stp>
        <stp>4/15/2019</stp>
        <stp>4/15/2019</stp>
        <stp>[Basic Pricing.xlsm]Rate_History!R187C2</stp>
        <tr r="B187" s="49"/>
      </tp>
      <tp t="e">
        <v>#N/A</v>
        <stp/>
        <stp>##V3_BDPV12</stp>
        <stp>CLSWIB9 Index</stp>
        <stp>PX_LAST</stp>
        <stp>[Basic Pricing.xlsm]Rate_Live!R188C6</stp>
        <tr r="F188" s="39"/>
      </tp>
      <tp t="e">
        <v>#N/A</v>
        <stp/>
        <stp>##V3_BDHV12</stp>
        <stp>EUNE13 ICPL Curncy</stp>
        <stp>PX_LAST</stp>
        <stp>4/15/2019</stp>
        <stp>4/15/2019</stp>
        <stp>[Basic Pricing.xlsm]Vol_Surface!R68C4</stp>
        <tr r="D68" s="53"/>
      </tp>
      <tp t="e">
        <v>#N/A</v>
        <stp/>
        <stp>##V3_BDHV12</stp>
        <stp>EUNE22 ICPL Curncy</stp>
        <stp>PX_LAST</stp>
        <stp>4/15/2019</stp>
        <stp>4/15/2019</stp>
        <stp>[Basic Pricing.xlsm]Vol_Surface!R69C3</stp>
        <tr r="C69" s="53"/>
      </tp>
      <tp t="e">
        <v>#N/A</v>
        <stp/>
        <stp>##V3_BDPV12</stp>
        <stp>EDM9 Comdty</stp>
        <stp>PX_LAST</stp>
        <stp>[Basic Pricing.xlsm]Rate_Live!R6C4</stp>
        <tr r="D6" s="39"/>
      </tp>
      <tp t="e">
        <v>#N/A</v>
        <stp/>
        <stp>##V3_BDPV12</stp>
        <stp>HASWDI9Y CMPN Curncy</stp>
        <stp>PX_LAST</stp>
        <stp>[Basic Pricing.xlsm]FX_Curve_Live!R164C21</stp>
        <tr r="U164" s="42"/>
      </tp>
      <tp t="e">
        <v>#N/A</v>
        <stp/>
        <stp>##V3_BDPV12</stp>
        <stp>HASWDI8Y CMPN Curncy</stp>
        <stp>PX_LAST</stp>
        <stp>[Basic Pricing.xlsm]FX_Curve_Live!R163C21</stp>
        <tr r="U163" s="42"/>
      </tp>
      <tp t="e">
        <v>#N/A</v>
        <stp/>
        <stp>##V3_BDPV12</stp>
        <stp>HASWDI6Y CMPN Curncy</stp>
        <stp>PX_LAST</stp>
        <stp>[Basic Pricing.xlsm]FX_Curve_Live!R161C21</stp>
        <tr r="U161" s="42"/>
      </tp>
      <tp t="e">
        <v>#N/A</v>
        <stp/>
        <stp>##V3_BDPV12</stp>
        <stp>HASWDI5Y CMPN Curncy</stp>
        <stp>PX_LAST</stp>
        <stp>[Basic Pricing.xlsm]FX_Curve_Live!R160C21</stp>
        <tr r="U160" s="42"/>
      </tp>
      <tp t="e">
        <v>#N/A</v>
        <stp/>
        <stp>##V3_BDPV12</stp>
        <stp>HASWDI7Y CMPN Curncy</stp>
        <stp>PX_LAST</stp>
        <stp>[Basic Pricing.xlsm]FX_Curve_Live!R162C21</stp>
        <tr r="U162" s="42"/>
      </tp>
      <tp t="e">
        <v>#N/A</v>
        <stp/>
        <stp>##V3_BDPV12</stp>
        <stp>HASWDI4Y CMPN Curncy</stp>
        <stp>PX_LAST</stp>
        <stp>[Basic Pricing.xlsm]FX_Curve_Live!R159C21</stp>
        <tr r="U159" s="42"/>
      </tp>
      <tp t="e">
        <v>#N/A</v>
        <stp/>
        <stp>##V3_BDPV12</stp>
        <stp>HASWDI3Y CMPN Curncy</stp>
        <stp>PX_LAST</stp>
        <stp>[Basic Pricing.xlsm]FX_Curve_Live!R158C21</stp>
        <tr r="U158" s="42"/>
      </tp>
      <tp t="e">
        <v>#N/A</v>
        <stp/>
        <stp>##V3_BDPV12</stp>
        <stp>HASWDI1Y CMPN Curncy</stp>
        <stp>PX_LAST</stp>
        <stp>[Basic Pricing.xlsm]FX_Curve_Live!R156C21</stp>
        <tr r="U156" s="42"/>
      </tp>
      <tp t="e">
        <v>#N/A</v>
        <stp/>
        <stp>##V3_BDPV12</stp>
        <stp>HASWDI2Y CMPN Curncy</stp>
        <stp>PX_LAST</stp>
        <stp>[Basic Pricing.xlsm]FX_Curve_Live!R157C21</stp>
        <tr r="U157" s="42"/>
      </tp>
      <tp t="e">
        <v>#N/A</v>
        <stp/>
        <stp>##V3_BDPV12</stp>
        <stp>HASWDI9M Index</stp>
        <stp>PX_LAST</stp>
        <stp>[Basic Pricing.xlsm]Rate_Live!R161C2</stp>
        <tr r="B161" s="39"/>
      </tp>
      <tp t="e">
        <v>#N/A</v>
        <stp/>
        <stp>##V3_BDPV12</stp>
        <stp>HASWDI6Y Index</stp>
        <stp>PX_LAST</stp>
        <stp>[Basic Pricing.xlsm]Rate_Live!R161C6</stp>
        <tr r="F161" s="39"/>
      </tp>
      <tp t="e">
        <v>#N/A</v>
        <stp/>
        <stp>##V3_BDPV12</stp>
        <stp>CLSWIB20 Index</stp>
        <stp>PX_LAST</stp>
        <stp>[Basic Pricing.xlsm]Rate_Live!R197C6</stp>
        <tr r="F197" s="39"/>
      </tp>
      <tp t="e">
        <v>#N/A</v>
        <stp/>
        <stp>##V3_BDPV12</stp>
        <stp>CLSWIB1F Index</stp>
        <stp>PX_LAST</stp>
        <stp>[Basic Pricing.xlsm]Rate_Live!R187C2</stp>
        <tr r="B187" s="39"/>
      </tp>
      <tp t="e">
        <v>#N/A</v>
        <stp/>
        <stp>##V3_BDHV12</stp>
        <stp>EUNE58 ICPL Curncy</stp>
        <stp>PX_LAST</stp>
        <stp>4/15/2019</stp>
        <stp>4/15/2019</stp>
        <stp>[Basic Pricing.xlsm]Vol_Surface!R72C9</stp>
        <tr r="I72" s="53"/>
      </tp>
      <tp t="e">
        <v>#N/A</v>
        <stp/>
        <stp>##V3_BDHV12</stp>
        <stp>EUNE23 ICPL Curncy</stp>
        <stp>PX_LAST</stp>
        <stp>4/15/2019</stp>
        <stp>4/15/2019</stp>
        <stp>[Basic Pricing.xlsm]Vol_Surface!R69C4</stp>
        <tr r="D69" s="53"/>
      </tp>
      <tp t="e">
        <v>#N/A</v>
        <stp/>
        <stp>##V3_BDHV12</stp>
        <stp>EUNE12 ICPL Curncy</stp>
        <stp>PX_LAST</stp>
        <stp>4/15/2019</stp>
        <stp>4/15/2019</stp>
        <stp>[Basic Pricing.xlsm]Vol_Surface!R68C3</stp>
        <tr r="C68" s="53"/>
      </tp>
      <tp t="e">
        <v>#N/A</v>
        <stp/>
        <stp>##V3_BDPV12</stp>
        <stp>CABROVER Index</stp>
        <stp>PX_LAST</stp>
        <stp>[Basic Pricing.xlsm]Rate_Live!R131C2</stp>
        <tr r="B131" s="39"/>
      </tp>
      <tp t="e">
        <v>#N/A</v>
        <stp/>
        <stp>##V3_BDPV12</stp>
        <stp>EDU9 Comdty</stp>
        <stp>PX_LAST</stp>
        <stp>[Basic Pricing.xlsm]Rate_Live!R7C4</stp>
        <tr r="D7" s="39"/>
      </tp>
      <tp t="e">
        <v>#N/A</v>
        <stp/>
        <stp>##V3_BDPV12</stp>
        <stp>US00o/n Index</stp>
        <stp>PX_LAST</stp>
        <stp>[Basic Pricing.xlsm]Rate_Live!R6C2</stp>
        <tr r="B6" s="39"/>
      </tp>
      <tp t="e">
        <v>#N/A</v>
        <stp/>
        <stp>##V3_BDHV12</stp>
        <stp>EUNE1025 ICPL Curncy</stp>
        <stp>PX_LAST</stp>
        <stp>4/15/2019</stp>
        <stp>4/15/2019</stp>
        <stp>[Basic Pricing.xlsm]Vol_Surface!R73C14</stp>
        <tr r="N73" s="53"/>
      </tp>
      <tp t="e">
        <v>#N/A</v>
        <stp/>
        <stp>##V3_BDHV12</stp>
        <stp>EUNE1030 ICPL Curncy</stp>
        <stp>PX_LAST</stp>
        <stp>4/15/2019</stp>
        <stp>4/15/2019</stp>
        <stp>[Basic Pricing.xlsm]Vol_Surface!R73C15</stp>
        <tr r="O73" s="53"/>
      </tp>
      <tp t="e">
        <v>#N/A</v>
        <stp/>
        <stp>##V3_BDHV12</stp>
        <stp>EUNE1010 ICPL Curncy</stp>
        <stp>PX_LAST</stp>
        <stp>4/15/2019</stp>
        <stp>4/15/2019</stp>
        <stp>[Basic Pricing.xlsm]Vol_Surface!R73C11</stp>
        <tr r="K73" s="53"/>
      </tp>
      <tp t="e">
        <v>#N/A</v>
        <stp/>
        <stp>##V3_BDHV12</stp>
        <stp>EUNE1020 ICPL Curncy</stp>
        <stp>PX_LAST</stp>
        <stp>4/15/2019</stp>
        <stp>4/15/2019</stp>
        <stp>[Basic Pricing.xlsm]Vol_Surface!R73C13</stp>
        <tr r="M73" s="53"/>
      </tp>
      <tp t="e">
        <v>#N/A</v>
        <stp/>
        <stp>##V3_BDHV12</stp>
        <stp>EUNE1015 ICPL Curncy</stp>
        <stp>PX_LAST</stp>
        <stp>4/15/2019</stp>
        <stp>4/15/2019</stp>
        <stp>[Basic Pricing.xlsm]Vol_Surface!R73C12</stp>
        <tr r="L73" s="53"/>
      </tp>
      <tp t="e">
        <v>#N/A</v>
        <stp/>
        <stp>##V3_BDPV12</stp>
        <stp>HASWDI7Y Index</stp>
        <stp>PX_LAST</stp>
        <stp>[Basic Pricing.xlsm]Rate_Live!R162C6</stp>
        <tr r="F162" s="39"/>
      </tp>
      <tp t="e">
        <v>#N/A</v>
        <stp/>
        <stp>##V3_BDPV12</stp>
        <stp>CLSWIB15 Index</stp>
        <stp>PX_LAST</stp>
        <stp>[Basic Pricing.xlsm]Rate_Live!R194C6</stp>
        <tr r="F194" s="39"/>
      </tp>
      <tp t="e">
        <v>#N/A</v>
        <stp/>
        <stp>##V3_BDHV12</stp>
        <stp>EUNE48 ICPL Curncy</stp>
        <stp>PX_LAST</stp>
        <stp>4/15/2019</stp>
        <stp>4/15/2019</stp>
        <stp>[Basic Pricing.xlsm]Vol_Surface!R71C9</stp>
        <tr r="I71" s="53"/>
      </tp>
      <tp t="e">
        <v>#N/A</v>
        <stp/>
        <stp>##V3_BDHV12</stp>
        <stp>EUNE11 ICPL Curncy</stp>
        <stp>PX_LAST</stp>
        <stp>4/15/2019</stp>
        <stp>4/15/2019</stp>
        <stp>[Basic Pricing.xlsm]Vol_Surface!R68C2</stp>
        <tr r="B68" s="53"/>
      </tp>
      <tp t="e">
        <v>#N/A</v>
        <stp/>
        <stp>##V3_BDHV12</stp>
        <stp>EUNZ2010 ICPL Curncy</stp>
        <stp>PX_LAST</stp>
        <stp>4/15/2019</stp>
        <stp>4/15/2019</stp>
        <stp>[Basic Pricing.xlsm]Vol_Surface!R30C10</stp>
        <tr r="J30" s="53"/>
      </tp>
      <tp t="e">
        <v>#N/A</v>
        <stp/>
        <stp>##V3_BDHV12</stp>
        <stp>EUNZ2012 ICPL Curncy</stp>
        <stp>PX_LAST</stp>
        <stp>4/15/2019</stp>
        <stp>4/15/2019</stp>
        <stp>[Basic Pricing.xlsm]Vol_Surface!R31C10</stp>
        <tr r="J31" s="53"/>
      </tp>
      <tp t="e">
        <v>#N/A</v>
        <stp/>
        <stp>##V3_BDHV12</stp>
        <stp>EUNZ2015 ICPL Curncy</stp>
        <stp>PX_LAST</stp>
        <stp>4/15/2019</stp>
        <stp>4/15/2019</stp>
        <stp>[Basic Pricing.xlsm]Vol_Surface!R32C10</stp>
        <tr r="J32" s="53"/>
      </tp>
      <tp t="e">
        <v>#N/A</v>
        <stp/>
        <stp>##V3_BDHV12</stp>
        <stp>EUNZ2020 ICPL Curncy</stp>
        <stp>PX_LAST</stp>
        <stp>4/15/2019</stp>
        <stp>4/15/2019</stp>
        <stp>[Basic Pricing.xlsm]Vol_Surface!R33C10</stp>
        <tr r="J33" s="53"/>
      </tp>
      <tp t="e">
        <v>#N/A</v>
        <stp/>
        <stp>##V3_BDHV12</stp>
        <stp>EUNE2030 ICPL Curncy</stp>
        <stp>PX_LAST</stp>
        <stp>4/15/2019</stp>
        <stp>4/15/2019</stp>
        <stp>[Basic Pricing.xlsm]Vol_Surface!R74C15</stp>
        <tr r="O74" s="53"/>
      </tp>
      <tp t="e">
        <v>#N/A</v>
        <stp/>
        <stp>##V3_BDHV12</stp>
        <stp>EUNE2025 ICPL Curncy</stp>
        <stp>PX_LAST</stp>
        <stp>4/15/2019</stp>
        <stp>4/15/2019</stp>
        <stp>[Basic Pricing.xlsm]Vol_Surface!R74C14</stp>
        <tr r="N74" s="53"/>
      </tp>
      <tp t="e">
        <v>#N/A</v>
        <stp/>
        <stp>##V3_BDHV12</stp>
        <stp>EUNE2010 ICPL Curncy</stp>
        <stp>PX_LAST</stp>
        <stp>4/15/2019</stp>
        <stp>4/15/2019</stp>
        <stp>[Basic Pricing.xlsm]Vol_Surface!R74C11</stp>
        <tr r="K74" s="53"/>
      </tp>
      <tp t="e">
        <v>#N/A</v>
        <stp/>
        <stp>##V3_BDHV12</stp>
        <stp>EUNE2020 ICPL Curncy</stp>
        <stp>PX_LAST</stp>
        <stp>4/15/2019</stp>
        <stp>4/15/2019</stp>
        <stp>[Basic Pricing.xlsm]Vol_Surface!R74C13</stp>
        <tr r="M74" s="53"/>
      </tp>
      <tp t="e">
        <v>#N/A</v>
        <stp/>
        <stp>##V3_BDHV12</stp>
        <stp>EUNE2015 ICPL Curncy</stp>
        <stp>PX_LAST</stp>
        <stp>4/15/2019</stp>
        <stp>4/15/2019</stp>
        <stp>[Basic Pricing.xlsm]Vol_Surface!R74C12</stp>
        <tr r="L74" s="53"/>
      </tp>
      <tp t="e">
        <v>#N/A</v>
        <stp/>
        <stp>##V3_BDPV12</stp>
        <stp>HASWDI8Y Index</stp>
        <stp>PX_LAST</stp>
        <stp>[Basic Pricing.xlsm]Rate_Live!R163C6</stp>
        <tr r="F163" s="39"/>
      </tp>
      <tp t="e">
        <v>#N/A</v>
        <stp/>
        <stp>##V3_BDPV12</stp>
        <stp>USDTWD CMPN Curncy</stp>
        <stp>PX_LAST</stp>
        <stp>[Basic Pricing.xlsm]FX_Live!R7C5</stp>
        <tr r="E7" s="44"/>
      </tp>
      <tp t="e">
        <v>#N/A</v>
        <stp/>
        <stp>##V3_BDHV12</stp>
        <stp>EUNE38 ICPL Curncy</stp>
        <stp>PX_LAST</stp>
        <stp>4/15/2019</stp>
        <stp>4/15/2019</stp>
        <stp>[Basic Pricing.xlsm]Vol_Surface!R70C9</stp>
        <tr r="I70" s="53"/>
      </tp>
      <tp t="e">
        <v>#N/A</v>
        <stp/>
        <stp>##V3_BDHV12</stp>
        <stp>EUNE21 ICPL Curncy</stp>
        <stp>PX_LAST</stp>
        <stp>4/15/2019</stp>
        <stp>4/15/2019</stp>
        <stp>[Basic Pricing.xlsm]Vol_Surface!R69C2</stp>
        <tr r="B69" s="53"/>
      </tp>
      <tp t="e">
        <v>#N/A</v>
        <stp/>
        <stp>##V3_BDHV12</stp>
        <stp>HASWDI10Y CMPN Curncy</stp>
        <stp>LAST_PRICE</stp>
        <stp>4/15/2019</stp>
        <stp>4/15/2019</stp>
        <stp>[Basic Pricing.xlsm]FX_Curve_History!R172C20</stp>
        <tr r="T172" s="50"/>
      </tp>
      <tp t="e">
        <v>#N/A</v>
        <stp/>
        <stp>##V3_BDHV12</stp>
        <stp>HASWDI10Y CMPN Curncy</stp>
        <stp>LAST_PRICE</stp>
        <stp>4/15/2019</stp>
        <stp>4/15/2019</stp>
        <stp>[Basic Pricing.xlsm]FX_Curve_History!R171C20</stp>
        <tr r="T171" s="50"/>
      </tp>
      <tp t="e">
        <v>#N/A</v>
        <stp/>
        <stp>##V3_BDHV12</stp>
        <stp>HASWDI10Y CMPN Curncy</stp>
        <stp>LAST_PRICE</stp>
        <stp>4/15/2019</stp>
        <stp>4/15/2019</stp>
        <stp>[Basic Pricing.xlsm]FX_Curve_History!R170C20</stp>
        <tr r="T170" s="50"/>
      </tp>
      <tp t="e">
        <v>#N/A</v>
        <stp/>
        <stp>##V3_BDHV12</stp>
        <stp>HASWDI10Y CMPN Curncy</stp>
        <stp>LAST_PRICE</stp>
        <stp>4/15/2019</stp>
        <stp>4/15/2019</stp>
        <stp>[Basic Pricing.xlsm]FX_Curve_History!R167C20</stp>
        <tr r="T167" s="50"/>
      </tp>
      <tp t="e">
        <v>#N/A</v>
        <stp/>
        <stp>##V3_BDHV12</stp>
        <stp>HASWDI10Y CMPN Curncy</stp>
        <stp>LAST_PRICE</stp>
        <stp>4/15/2019</stp>
        <stp>4/15/2019</stp>
        <stp>[Basic Pricing.xlsm]FX_Curve_History!R166C20</stp>
        <tr r="T166" s="50"/>
      </tp>
      <tp t="e">
        <v>#N/A</v>
        <stp/>
        <stp>##V3_BDHV12</stp>
        <stp>HASWDI10Y CMPN Curncy</stp>
        <stp>LAST_PRICE</stp>
        <stp>4/15/2019</stp>
        <stp>4/15/2019</stp>
        <stp>[Basic Pricing.xlsm]FX_Curve_History!R165C20</stp>
        <tr r="T165" s="50"/>
      </tp>
      <tp t="e">
        <v>#N/A</v>
        <stp/>
        <stp>##V3_BDHV12</stp>
        <stp>HASWDI10Y CMPN Curncy</stp>
        <stp>LAST_PRICE</stp>
        <stp>4/15/2019</stp>
        <stp>4/15/2019</stp>
        <stp>[Basic Pricing.xlsm]FX_Curve_History!R169C20</stp>
        <tr r="T169" s="50"/>
      </tp>
      <tp t="e">
        <v>#N/A</v>
        <stp/>
        <stp>##V3_BDHV12</stp>
        <stp>HASWDI10Y CMPN Curncy</stp>
        <stp>LAST_PRICE</stp>
        <stp>4/15/2019</stp>
        <stp>4/15/2019</stp>
        <stp>[Basic Pricing.xlsm]FX_Curve_History!R168C20</stp>
        <tr r="T168" s="50"/>
      </tp>
      <tp t="e">
        <v>#N/A</v>
        <stp/>
        <stp>##V3_BDHV12</stp>
        <stp>EUNZ3010 ICPL Curncy</stp>
        <stp>PX_LAST</stp>
        <stp>4/15/2019</stp>
        <stp>4/15/2019</stp>
        <stp>[Basic Pricing.xlsm]Vol_Surface!R30C11</stp>
        <tr r="K30" s="53"/>
      </tp>
      <tp t="e">
        <v>#N/A</v>
        <stp/>
        <stp>##V3_BDHV12</stp>
        <stp>EUNZ3012 ICPL Curncy</stp>
        <stp>PX_LAST</stp>
        <stp>4/15/2019</stp>
        <stp>4/15/2019</stp>
        <stp>[Basic Pricing.xlsm]Vol_Surface!R31C11</stp>
        <tr r="K31" s="53"/>
      </tp>
      <tp t="e">
        <v>#N/A</v>
        <stp/>
        <stp>##V3_BDHV12</stp>
        <stp>EUNZ3015 ICPL Curncy</stp>
        <stp>PX_LAST</stp>
        <stp>4/15/2019</stp>
        <stp>4/15/2019</stp>
        <stp>[Basic Pricing.xlsm]Vol_Surface!R32C11</stp>
        <tr r="K32" s="53"/>
      </tp>
      <tp t="e">
        <v>#N/A</v>
        <stp/>
        <stp>##V3_BDHV12</stp>
        <stp>EUNZ3020 ICPL Curncy</stp>
        <stp>PX_LAST</stp>
        <stp>4/15/2019</stp>
        <stp>4/15/2019</stp>
        <stp>[Basic Pricing.xlsm]Vol_Surface!R33C11</stp>
        <tr r="K33" s="53"/>
      </tp>
      <tp t="e">
        <v>#N/A</v>
        <stp/>
        <stp>##V3_BDPV12</stp>
        <stp>CORRRMIN Index</stp>
        <stp>PX_LAST</stp>
        <stp>[Basic Pricing.xlsm]Rate_Live!R181C2</stp>
        <tr r="B181" s="39"/>
      </tp>
      <tp t="e">
        <v>#N/A</v>
        <stp/>
        <stp>##V3_BDPV12</stp>
        <stp>BP0002M Index</stp>
        <stp>PX_LAST</stp>
        <stp>[Basic Pricing.xlsm]FX_Curve_Live!R83C2</stp>
        <tr r="B83" s="42"/>
      </tp>
      <tp t="e">
        <v>#N/A</v>
        <stp/>
        <stp>##V3_BDPV12</stp>
        <stp>BPBS11 Index</stp>
        <stp>PX_LAST</stp>
        <stp>[Basic Pricing.xlsm]FX_Curve_History!R90C13</stp>
        <tr r="M90" s="50"/>
      </tp>
      <tp t="e">
        <v>#N/A</v>
        <stp/>
        <stp>##V3_BDPV12</stp>
        <stp>EUBS6 Index</stp>
        <stp>PX_LAST</stp>
        <stp>[Basic Pricing.xlsm]FX_Curve_History!R35C13</stp>
        <tr r="M35" s="50"/>
      </tp>
      <tp t="e">
        <v>#N/A</v>
        <stp/>
        <stp>##V3_BDPV12</stp>
        <stp>JYBS9 Index</stp>
        <stp>PX_LAST</stp>
        <stp>[Basic Pricing.xlsm]FX_Curve_History!R63C13</stp>
        <tr r="M63" s="50"/>
      </tp>
      <tp t="e">
        <v>#N/A</v>
        <stp/>
        <stp>##V3_BDPV12</stp>
        <stp>BP00O/N Index</stp>
        <stp>PX_LAST</stp>
        <stp>[Basic Pricing.xlsm]FX_Curve_Live!R81C2</stp>
        <tr r="B81" s="42"/>
      </tp>
      <tp t="e">
        <v>#N/A</v>
        <stp/>
        <stp>##V3_BDPV12</stp>
        <stp>BP0001M Index</stp>
        <stp>PX_LAST</stp>
        <stp>[Basic Pricing.xlsm]FX_Curve_Live!R82C2</stp>
        <tr r="B82" s="42"/>
      </tp>
      <tp t="e">
        <v>#N/A</v>
        <stp/>
        <stp>##V3_BDPV12</stp>
        <stp>EUBS15 Index</stp>
        <stp>PX_LAST</stp>
        <stp>[Basic Pricing.xlsm]FX_Curve_History!R44C13</stp>
        <tr r="M44" s="50"/>
      </tp>
      <tp t="e">
        <v>#N/A</v>
        <stp/>
        <stp>##V3_BDPV12</stp>
        <stp>EUBS25 Index</stp>
        <stp>PX_LAST</stp>
        <stp>[Basic Pricing.xlsm]FX_Curve_History!R48C13</stp>
        <tr r="M48" s="50"/>
      </tp>
      <tp t="e">
        <v>#N/A</v>
        <stp/>
        <stp>##V3_BDPV12</stp>
        <stp>BPBS20 Index</stp>
        <stp>PX_LAST</stp>
        <stp>[Basic Pricing.xlsm]FX_Curve_History!R97C13</stp>
        <tr r="M97" s="50"/>
      </tp>
      <tp t="e">
        <v>#N/A</v>
        <stp/>
        <stp>##V3_BDPV12</stp>
        <stp>BPBS10 Index</stp>
        <stp>PX_LAST</stp>
        <stp>[Basic Pricing.xlsm]FX_Curve_History!R89C13</stp>
        <tr r="M89" s="50"/>
      </tp>
      <tp t="e">
        <v>#N/A</v>
        <stp/>
        <stp>##V3_BDHV12</stp>
        <stp>CLSWIB8 Index</stp>
        <stp>PX_LAST</stp>
        <stp>4/15/2019</stp>
        <stp>4/15/2019</stp>
        <stp>[Basic Pricing.xlsm]FX_Curve_History!R187C6</stp>
        <tr r="F187" s="50"/>
      </tp>
      <tp t="e">
        <v>#N/A</v>
        <stp/>
        <stp>##V3_BDPV12</stp>
        <stp>EUBS7 Index</stp>
        <stp>PX_LAST</stp>
        <stp>[Basic Pricing.xlsm]FX_Curve_History!R36C13</stp>
        <tr r="M36" s="50"/>
      </tp>
      <tp t="e">
        <v>#N/A</v>
        <stp/>
        <stp>##V3_BDPV12</stp>
        <stp>JYBS8 Index</stp>
        <stp>PX_LAST</stp>
        <stp>[Basic Pricing.xlsm]FX_Curve_History!R62C13</stp>
        <tr r="M62" s="50"/>
      </tp>
      <tp t="e">
        <v>#N/A</v>
        <stp/>
        <stp>##V3_BDPV12</stp>
        <stp>JY0012M Index</stp>
        <stp>PX_LAST</stp>
        <stp>[Basic Pricing.xlsm]FX_Curve_Live!R61C2</stp>
        <tr r="B61" s="42"/>
      </tp>
      <tp t="e">
        <v>#N/A</v>
        <stp/>
        <stp>##V3_BDPV12</stp>
        <stp>US0001m Index</stp>
        <stp>PX_LAST</stp>
        <stp>[Basic Pricing.xlsm]Rate_Live!R7C2</stp>
        <tr r="B7" s="39"/>
      </tp>
      <tp t="e">
        <v>#N/A</v>
        <stp/>
        <stp>##V3_BDPV12</stp>
        <stp>EUBS4 Index</stp>
        <stp>PX_LAST</stp>
        <stp>[Basic Pricing.xlsm]FX_Curve_History!R33C13</stp>
        <tr r="M33" s="50"/>
      </tp>
      <tp t="e">
        <v>#N/A</v>
        <stp/>
        <stp>##V3_BDPV12</stp>
        <stp>JY0006M Index</stp>
        <stp>PX_LAST</stp>
        <stp>[Basic Pricing.xlsm]FX_Curve_Live!R60C2</stp>
        <tr r="B60" s="42"/>
      </tp>
      <tp t="e">
        <v>#N/A</v>
        <stp/>
        <stp>##V3_BDPV12</stp>
        <stp>BPBS12 Index</stp>
        <stp>PX_LAST</stp>
        <stp>[Basic Pricing.xlsm]FX_Curve_History!R91C13</stp>
        <tr r="M91" s="50"/>
      </tp>
      <tp t="e">
        <v>#N/A</v>
        <stp/>
        <stp>##V3_BDPV12</stp>
        <stp>BPBS2 Index</stp>
        <stp>PX_LAST</stp>
        <stp>[Basic Pricing.xlsm]FX_Curve_History!R81C13</stp>
        <tr r="M81" s="50"/>
      </tp>
      <tp t="e">
        <v>#N/A</v>
        <stp/>
        <stp>##V3_BDPV12</stp>
        <stp>EUBS5 Index</stp>
        <stp>PX_LAST</stp>
        <stp>[Basic Pricing.xlsm]FX_Curve_History!R34C13</stp>
        <tr r="M34" s="50"/>
      </tp>
      <tp t="e">
        <v>#N/A</v>
        <stp/>
        <stp>##V3_BDPV12</stp>
        <stp>CDSW10 Index</stp>
        <stp>PX_LAST</stp>
        <stp>[Basic Pricing.xlsm]Rate_Live!R139C6</stp>
        <tr r="F139" s="39"/>
      </tp>
      <tp t="e">
        <v>#N/A</v>
        <stp/>
        <stp>##V3_BDPV12</stp>
        <stp>SFSW15 Index</stp>
        <stp>PX_LAST</stp>
        <stp>[Basic Pricing.xlsm]Rate_Live!R119C6</stp>
        <tr r="F119" s="39"/>
      </tp>
      <tp t="e">
        <v>#N/A</v>
        <stp/>
        <stp>##V3_BDPV12</stp>
        <stp>JY0001M Index</stp>
        <stp>PX_LAST</stp>
        <stp>[Basic Pricing.xlsm]FX_Curve_Live!R57C2</stp>
        <tr r="B57" s="42"/>
      </tp>
      <tp t="e">
        <v>#N/A</v>
        <stp/>
        <stp>##V3_BDPV12</stp>
        <stp>EUBS40 Index</stp>
        <stp>PX_LAST</stp>
        <stp>[Basic Pricing.xlsm]FX_Curve_History!R50C13</stp>
        <tr r="M50" s="50"/>
      </tp>
      <tp t="e">
        <v>#N/A</v>
        <stp/>
        <stp>##V3_BDPV12</stp>
        <stp>EUBS20 Index</stp>
        <stp>PX_LAST</stp>
        <stp>[Basic Pricing.xlsm]FX_Curve_History!R47C13</stp>
        <tr r="M47" s="50"/>
      </tp>
      <tp t="e">
        <v>#N/A</v>
        <stp/>
        <stp>##V3_BDPV12</stp>
        <stp>EUBS30 Index</stp>
        <stp>PX_LAST</stp>
        <stp>[Basic Pricing.xlsm]FX_Curve_History!R49C13</stp>
        <tr r="M49" s="50"/>
      </tp>
      <tp t="e">
        <v>#N/A</v>
        <stp/>
        <stp>##V3_BDPV12</stp>
        <stp>EUBS10 Index</stp>
        <stp>PX_LAST</stp>
        <stp>[Basic Pricing.xlsm]FX_Curve_History!R39C13</stp>
        <tr r="M39" s="50"/>
      </tp>
      <tp t="e">
        <v>#N/A</v>
        <stp/>
        <stp>##V3_BDPV12</stp>
        <stp>BPBS15 Index</stp>
        <stp>PX_LAST</stp>
        <stp>[Basic Pricing.xlsm]FX_Curve_History!R94C13</stp>
        <tr r="M94" s="50"/>
      </tp>
      <tp t="e">
        <v>#N/A</v>
        <stp/>
        <stp>##V3_BDPV12</stp>
        <stp>BPBS25 Index</stp>
        <stp>PX_LAST</stp>
        <stp>[Basic Pricing.xlsm]FX_Curve_History!R98C13</stp>
        <tr r="M98" s="50"/>
      </tp>
      <tp t="e">
        <v>#N/A</v>
        <stp/>
        <stp>##V3_BDHV12</stp>
        <stp>USONY03 ICPL curncy</stp>
        <stp>PX_LAST</stp>
        <stp>4/15/2019</stp>
        <stp>4/15/2019</stp>
        <stp>[Basic Pricing.xlsm]Vol_Surface!R6C3</stp>
        <tr r="C6" s="53"/>
      </tp>
      <tp t="e">
        <v>#N/A</v>
        <stp/>
        <stp>##V3_BDHV12</stp>
        <stp>USONX03 ICPL curncy</stp>
        <stp>PX_LAST</stp>
        <stp>4/15/2019</stp>
        <stp>4/15/2019</stp>
        <stp>[Basic Pricing.xlsm]Vol_Surface!R6C2</stp>
        <tr r="B6" s="53"/>
      </tp>
      <tp t="e">
        <v>#N/A</v>
        <stp/>
        <stp>##V3_BDHV12</stp>
        <stp>USONZ03 ICPL curncy</stp>
        <stp>PX_LAST</stp>
        <stp>4/15/2019</stp>
        <stp>4/15/2019</stp>
        <stp>[Basic Pricing.xlsm]Vol_Surface!R6C4</stp>
        <tr r="D6" s="53"/>
      </tp>
      <tp t="e">
        <v>#N/A</v>
        <stp/>
        <stp>##V3_BDHV12</stp>
        <stp>JYSW8 CMPN Curncy</stp>
        <stp>LAST_PRICE</stp>
        <stp>4/15/2019</stp>
        <stp>4/15/2019</stp>
        <stp>[Basic Pricing.xlsm]Rate_History!R62C20</stp>
        <tr r="T62" s="49"/>
      </tp>
      <tp t="e">
        <v>#N/A</v>
        <stp/>
        <stp>##V3_BDHV12</stp>
        <stp>JYSW9 CMPN Curncy</stp>
        <stp>LAST_PRICE</stp>
        <stp>4/15/2019</stp>
        <stp>4/15/2019</stp>
        <stp>[Basic Pricing.xlsm]Rate_History!R63C20</stp>
        <tr r="T63" s="49"/>
      </tp>
      <tp t="e">
        <v>#N/A</v>
        <stp/>
        <stp>##V3_BDHV12</stp>
        <stp>JYSW6 CMPN Curncy</stp>
        <stp>LAST_PRICE</stp>
        <stp>4/15/2019</stp>
        <stp>4/15/2019</stp>
        <stp>[Basic Pricing.xlsm]Rate_History!R60C20</stp>
        <tr r="T60" s="49"/>
      </tp>
      <tp t="e">
        <v>#N/A</v>
        <stp/>
        <stp>##V3_BDHV12</stp>
        <stp>JYSW7 CMPN Curncy</stp>
        <stp>LAST_PRICE</stp>
        <stp>4/15/2019</stp>
        <stp>4/15/2019</stp>
        <stp>[Basic Pricing.xlsm]Rate_History!R61C20</stp>
        <tr r="T61" s="49"/>
      </tp>
      <tp t="e">
        <v>#N/A</v>
        <stp/>
        <stp>##V3_BDHV12</stp>
        <stp>JYSW4 CMPN Curncy</stp>
        <stp>LAST_PRICE</stp>
        <stp>4/15/2019</stp>
        <stp>4/15/2019</stp>
        <stp>[Basic Pricing.xlsm]Rate_History!R58C20</stp>
        <tr r="T58" s="49"/>
      </tp>
      <tp t="e">
        <v>#N/A</v>
        <stp/>
        <stp>##V3_BDHV12</stp>
        <stp>JYSW5 CMPN Curncy</stp>
        <stp>LAST_PRICE</stp>
        <stp>4/15/2019</stp>
        <stp>4/15/2019</stp>
        <stp>[Basic Pricing.xlsm]Rate_History!R59C20</stp>
        <tr r="T59" s="49"/>
      </tp>
      <tp t="e">
        <v>#N/A</v>
        <stp/>
        <stp>##V3_BDHV12</stp>
        <stp>JYSW2 CMPN Curncy</stp>
        <stp>LAST_PRICE</stp>
        <stp>4/15/2019</stp>
        <stp>4/15/2019</stp>
        <stp>[Basic Pricing.xlsm]Rate_History!R56C20</stp>
        <tr r="T56" s="49"/>
      </tp>
      <tp t="e">
        <v>#N/A</v>
        <stp/>
        <stp>##V3_BDHV12</stp>
        <stp>JYSW3 CMPN Curncy</stp>
        <stp>LAST_PRICE</stp>
        <stp>4/15/2019</stp>
        <stp>4/15/2019</stp>
        <stp>[Basic Pricing.xlsm]Rate_History!R57C20</stp>
        <tr r="T57" s="49"/>
      </tp>
      <tp t="e">
        <v>#N/A</v>
        <stp/>
        <stp>##V3_BDPV12</stp>
        <stp>BPBS5 Index</stp>
        <stp>PX_LAST</stp>
        <stp>[Basic Pricing.xlsm]FX_Curve_History!R84C13</stp>
        <tr r="M84" s="50"/>
      </tp>
      <tp t="e">
        <v>#N/A</v>
        <stp/>
        <stp>##V3_BDPV12</stp>
        <stp>EUBS2 Index</stp>
        <stp>PX_LAST</stp>
        <stp>[Basic Pricing.xlsm]FX_Curve_History!R31C13</stp>
        <tr r="M31" s="50"/>
      </tp>
      <tp t="e">
        <v>#N/A</v>
        <stp/>
        <stp>##V3_BDHV12</stp>
        <stp>EUSWEC Curncy</stp>
        <stp>PX_LAST</stp>
        <stp>4/15/2019</stp>
        <stp>4/15/2019</stp>
        <stp>[Basic Pricing.xlsm]Rate_History!R31C2</stp>
        <tr r="B31" s="49"/>
      </tp>
      <tp t="e">
        <v>#N/A</v>
        <stp/>
        <stp>##V3_BDHV12</stp>
        <stp>HASWDI5Y CMPN Curncy</stp>
        <stp>Close</stp>
        <stp>04/15/2019 11:15:00</stp>
        <stp>04/15/2019 11:16:00</stp>
        <stp>[Basic Pricing.xlsm]FX_Curve_History!R160C18</stp>
        <stp>BarType</stp>
        <stp>T</stp>
        <stp>Dir=V</stp>
        <tr r="R160" s="50"/>
      </tp>
      <tp t="e">
        <v>#N/A</v>
        <stp/>
        <stp>##V3_BDHV12</stp>
        <stp>HASWDI7Y CMPN Curncy</stp>
        <stp>Close</stp>
        <stp>04/15/2019 11:15:00</stp>
        <stp>04/15/2019 11:16:00</stp>
        <stp>[Basic Pricing.xlsm]FX_Curve_History!R162C18</stp>
        <stp>BarType</stp>
        <stp>T</stp>
        <stp>Dir=V</stp>
        <tr r="R162" s="50"/>
      </tp>
      <tp t="e">
        <v>#N/A</v>
        <stp/>
        <stp>##V3_BDHV12</stp>
        <stp>HASWDI4Y CMPN Curncy</stp>
        <stp>Close</stp>
        <stp>04/15/2019 11:15:00</stp>
        <stp>04/15/2019 11:16:00</stp>
        <stp>[Basic Pricing.xlsm]FX_Curve_History!R159C18</stp>
        <stp>BarType</stp>
        <stp>T</stp>
        <stp>Dir=V</stp>
        <tr r="R159" s="50"/>
      </tp>
      <tp t="e">
        <v>#N/A</v>
        <stp/>
        <stp>##V3_BDHV12</stp>
        <stp>HASWDI6Y CMPN Curncy</stp>
        <stp>Close</stp>
        <stp>04/15/2019 11:15:00</stp>
        <stp>04/15/2019 11:16:00</stp>
        <stp>[Basic Pricing.xlsm]FX_Curve_History!R161C18</stp>
        <stp>BarType</stp>
        <stp>T</stp>
        <stp>Dir=V</stp>
        <tr r="R161" s="50"/>
      </tp>
      <tp t="e">
        <v>#N/A</v>
        <stp/>
        <stp>##V3_BDHV12</stp>
        <stp>HASWDI2Y CMPN Curncy</stp>
        <stp>Close</stp>
        <stp>04/15/2019 11:15:00</stp>
        <stp>04/15/2019 11:16:00</stp>
        <stp>[Basic Pricing.xlsm]FX_Curve_History!R157C18</stp>
        <stp>BarType</stp>
        <stp>T</stp>
        <stp>Dir=V</stp>
        <tr r="R157" s="50"/>
      </tp>
      <tp t="e">
        <v>#N/A</v>
        <stp/>
        <stp>##V3_BDHV12</stp>
        <stp>HASWDI3Y CMPN Curncy</stp>
        <stp>Close</stp>
        <stp>04/15/2019 11:15:00</stp>
        <stp>04/15/2019 11:16:00</stp>
        <stp>[Basic Pricing.xlsm]FX_Curve_History!R158C18</stp>
        <stp>BarType</stp>
        <stp>T</stp>
        <stp>Dir=V</stp>
        <tr r="R158" s="50"/>
      </tp>
      <tp t="e">
        <v>#N/A</v>
        <stp/>
        <stp>##V3_BDHV12</stp>
        <stp>HASWDI1Y CMPN Curncy</stp>
        <stp>Close</stp>
        <stp>04/15/2019 11:15:00</stp>
        <stp>04/15/2019 11:16:00</stp>
        <stp>[Basic Pricing.xlsm]FX_Curve_History!R156C18</stp>
        <stp>BarType</stp>
        <stp>T</stp>
        <stp>Dir=V</stp>
        <tr r="R156" s="50"/>
      </tp>
      <tp t="e">
        <v>#N/A</v>
        <stp/>
        <stp>##V3_BDHV12</stp>
        <stp>HASWDI9Y CMPN Curncy</stp>
        <stp>Close</stp>
        <stp>04/15/2019 11:15:00</stp>
        <stp>04/15/2019 11:16:00</stp>
        <stp>[Basic Pricing.xlsm]FX_Curve_History!R164C18</stp>
        <stp>BarType</stp>
        <stp>T</stp>
        <stp>Dir=V</stp>
        <tr r="R164" s="50"/>
      </tp>
      <tp t="e">
        <v>#N/A</v>
        <stp/>
        <stp>##V3_BDHV12</stp>
        <stp>HASWDI8Y CMPN Curncy</stp>
        <stp>Close</stp>
        <stp>04/15/2019 11:15:00</stp>
        <stp>04/15/2019 11:16:00</stp>
        <stp>[Basic Pricing.xlsm]FX_Curve_History!R163C18</stp>
        <stp>BarType</stp>
        <stp>T</stp>
        <stp>Dir=V</stp>
        <tr r="R163" s="50"/>
      </tp>
      <tp t="e">
        <v>#N/A</v>
        <stp/>
        <stp>##V3_BDPV12</stp>
        <stp>SFSW14 Index</stp>
        <stp>PX_LAST</stp>
        <stp>[Basic Pricing.xlsm]Rate_Live!R118C6</stp>
        <tr r="F118" s="39"/>
      </tp>
      <tp t="e">
        <v>#N/A</v>
        <stp/>
        <stp>##V3_BDPV12</stp>
        <stp>BP0012M Index</stp>
        <stp>PX_LAST</stp>
        <stp>[Basic Pricing.xlsm]FX_Curve_Live!R86C2</stp>
        <tr r="B86" s="42"/>
      </tp>
      <tp t="e">
        <v>#N/A</v>
        <stp/>
        <stp>##V3_BDPV12</stp>
        <stp>EUBS11 Index</stp>
        <stp>PX_LAST</stp>
        <stp>[Basic Pricing.xlsm]FX_Curve_History!R40C13</stp>
        <tr r="M40" s="50"/>
      </tp>
      <tp t="e">
        <v>#N/A</v>
        <stp/>
        <stp>##V3_BDHV12</stp>
        <stp>USONY04 ICPL curncy</stp>
        <stp>PX_LAST</stp>
        <stp>4/15/2019</stp>
        <stp>4/15/2019</stp>
        <stp>[Basic Pricing.xlsm]Vol_Surface!R7C3</stp>
        <tr r="C7" s="53"/>
      </tp>
      <tp t="e">
        <v>#N/A</v>
        <stp/>
        <stp>##V3_BDHV12</stp>
        <stp>USONX04 ICPL curncy</stp>
        <stp>PX_LAST</stp>
        <stp>4/15/2019</stp>
        <stp>4/15/2019</stp>
        <stp>[Basic Pricing.xlsm]Vol_Surface!R7C2</stp>
        <tr r="B7" s="53"/>
      </tp>
      <tp t="e">
        <v>#N/A</v>
        <stp/>
        <stp>##V3_BDHV12</stp>
        <stp>USONZ04 ICPL curncy</stp>
        <stp>PX_LAST</stp>
        <stp>4/15/2019</stp>
        <stp>4/15/2019</stp>
        <stp>[Basic Pricing.xlsm]Vol_Surface!R7C4</stp>
        <tr r="D7" s="53"/>
      </tp>
      <tp t="e">
        <v>#N/A</v>
        <stp/>
        <stp>##V3_BDPV12</stp>
        <stp>CDSW9 Index</stp>
        <stp>PX_LAST</stp>
        <stp>[Basic Pricing.xlsm]FX_Curve_Live!R138C6</stp>
        <tr r="F138" s="42"/>
      </tp>
      <tp t="e">
        <v>#N/A</v>
        <stp/>
        <stp>##V3_BDHV12</stp>
        <stp>CLSWIB10 Index</stp>
        <stp>PX_LAST</stp>
        <stp>4/15/2019</stp>
        <stp>4/15/2019</stp>
        <stp>[Basic Pricing.xlsm]FX_Curve_History!R189C6</stp>
        <tr r="F189" s="50"/>
      </tp>
      <tp t="e">
        <v>#N/A</v>
        <stp/>
        <stp>##V3_BDPV12</stp>
        <stp>BPBS4 Index</stp>
        <stp>PX_LAST</stp>
        <stp>[Basic Pricing.xlsm]FX_Curve_History!R83C13</stp>
        <tr r="M83" s="50"/>
      </tp>
      <tp t="e">
        <v>#N/A</v>
        <stp/>
        <stp>##V3_BDPV12</stp>
        <stp>EUBS3 Index</stp>
        <stp>PX_LAST</stp>
        <stp>[Basic Pricing.xlsm]FX_Curve_History!R32C13</stp>
        <tr r="M32" s="50"/>
      </tp>
      <tp t="e">
        <v>#N/A</v>
        <stp/>
        <stp>##V3_BDPV12</stp>
        <stp>EUSWEC Curncy</stp>
        <stp>PX_LAST</stp>
        <stp>[Basic Pricing.xlsm]FX_Curve_Live!R31C2</stp>
        <tr r="B31" s="42"/>
      </tp>
      <tp t="e">
        <v>#N/A</v>
        <stp/>
        <stp>##V3_BDPV12</stp>
        <stp>JY00S/N Index</stp>
        <stp>PX_LAST</stp>
        <stp>[Basic Pricing.xlsm]FX_Curve_Live!R56C2</stp>
        <tr r="B56" s="42"/>
      </tp>
      <tp t="e">
        <v>#N/A</v>
        <stp/>
        <stp>##V3_BDPV12</stp>
        <stp>BP0006M Index</stp>
        <stp>PX_LAST</stp>
        <stp>[Basic Pricing.xlsm]FX_Curve_Live!R85C2</stp>
        <tr r="B85" s="42"/>
      </tp>
      <tp t="e">
        <v>#N/A</v>
        <stp/>
        <stp>##V3_BDPV12</stp>
        <stp>EUBS12 Index</stp>
        <stp>PX_LAST</stp>
        <stp>[Basic Pricing.xlsm]FX_Curve_History!R41C13</stp>
        <tr r="M41" s="50"/>
      </tp>
      <tp t="e">
        <v>#N/A</v>
        <stp/>
        <stp>##V3_BDHV12</stp>
        <stp>USONY01 ICPL curncy</stp>
        <stp>PX_LAST</stp>
        <stp>4/15/2019</stp>
        <stp>4/15/2019</stp>
        <stp>[Basic Pricing.xlsm]Vol_Surface!R4C3</stp>
        <tr r="C4" s="53"/>
      </tp>
      <tp t="e">
        <v>#N/A</v>
        <stp/>
        <stp>##V3_BDHV12</stp>
        <stp>USONX01 ICPL curncy</stp>
        <stp>PX_LAST</stp>
        <stp>4/15/2019</stp>
        <stp>4/15/2019</stp>
        <stp>[Basic Pricing.xlsm]Vol_Surface!R4C2</stp>
        <tr r="B4" s="53"/>
      </tp>
      <tp t="e">
        <v>#N/A</v>
        <stp/>
        <stp>##V3_BDHV12</stp>
        <stp>USONZ01 ICPL curncy</stp>
        <stp>PX_LAST</stp>
        <stp>4/15/2019</stp>
        <stp>4/15/2019</stp>
        <stp>[Basic Pricing.xlsm]Vol_Surface!R4C4</stp>
        <tr r="D4" s="53"/>
      </tp>
      <tp t="e">
        <v>#N/A</v>
        <stp/>
        <stp>##V3_BDPV12</stp>
        <stp>SFSW5 Index</stp>
        <stp>PX_LAST</stp>
        <stp>[Basic Pricing.xlsm]FX_Curve_Live!R109C6</stp>
        <tr r="F109" s="42"/>
      </tp>
      <tp t="e">
        <v>#N/A</v>
        <stp/>
        <stp>##V3_BDPV12</stp>
        <stp>BPBS7 Index</stp>
        <stp>PX_LAST</stp>
        <stp>[Basic Pricing.xlsm]FX_Curve_History!R86C13</stp>
        <tr r="M86" s="50"/>
      </tp>
      <tp t="e">
        <v>#N/A</v>
        <stp/>
        <stp>##V3_BDPV12</stp>
        <stp>BP0003M Index</stp>
        <stp>PX_LAST</stp>
        <stp>[Basic Pricing.xlsm]FX_Curve_Live!R84C2</stp>
        <tr r="B84" s="42"/>
      </tp>
      <tp t="e">
        <v>#N/A</v>
        <stp/>
        <stp>##V3_BDHV12</stp>
        <stp>USONY02 ICPL curncy</stp>
        <stp>PX_LAST</stp>
        <stp>4/15/2019</stp>
        <stp>4/15/2019</stp>
        <stp>[Basic Pricing.xlsm]Vol_Surface!R5C3</stp>
        <tr r="C5" s="53"/>
      </tp>
      <tp t="e">
        <v>#N/A</v>
        <stp/>
        <stp>##V3_BDHV12</stp>
        <stp>USONX02 ICPL curncy</stp>
        <stp>PX_LAST</stp>
        <stp>4/15/2019</stp>
        <stp>4/15/2019</stp>
        <stp>[Basic Pricing.xlsm]Vol_Surface!R5C2</stp>
        <tr r="B5" s="53"/>
      </tp>
      <tp t="e">
        <v>#N/A</v>
        <stp/>
        <stp>##V3_BDHV12</stp>
        <stp>USONZ02 ICPL curncy</stp>
        <stp>PX_LAST</stp>
        <stp>4/15/2019</stp>
        <stp>4/15/2019</stp>
        <stp>[Basic Pricing.xlsm]Vol_Surface!R5C4</stp>
        <tr r="D5" s="53"/>
      </tp>
      <tp t="e">
        <v>#N/A</v>
        <stp/>
        <stp>##V3_BDPV12</stp>
        <stp>SFSW4 Index</stp>
        <stp>PX_LAST</stp>
        <stp>[Basic Pricing.xlsm]FX_Curve_Live!R108C6</stp>
        <tr r="F108" s="42"/>
      </tp>
      <tp t="e">
        <v>#N/A</v>
        <stp/>
        <stp>##V3_BDPV12</stp>
        <stp>BPBS6 Index</stp>
        <stp>PX_LAST</stp>
        <stp>[Basic Pricing.xlsm]FX_Curve_History!R85C13</stp>
        <tr r="M85" s="50"/>
      </tp>
      <tp t="e">
        <v>#N/A</v>
        <stp/>
        <stp>##V3_BDPV12</stp>
        <stp>EUBS1 Index</stp>
        <stp>PX_LAST</stp>
        <stp>[Basic Pricing.xlsm]FX_Curve_History!R31C16</stp>
        <tr r="P31" s="50"/>
      </tp>
      <tp t="e">
        <v>#N/A</v>
        <stp/>
        <stp>##V3_BDPV12</stp>
        <stp>CDSW40 Index</stp>
        <stp>PX_LAST</stp>
        <stp>[Basic Pricing.xlsm]Rate_Live!R145C6</stp>
        <tr r="F145" s="39"/>
      </tp>
      <tp t="e">
        <v>#N/A</v>
        <stp/>
        <stp>##V3_BDPV12</stp>
        <stp>SFSW11 Index</stp>
        <stp>PX_LAST</stp>
        <stp>[Basic Pricing.xlsm]Rate_Live!R115C6</stp>
        <tr r="F115" s="39"/>
      </tp>
      <tp t="e">
        <v>#N/A</v>
        <stp/>
        <stp>##V3_BDPV12</stp>
        <stp>JYBS40 Index</stp>
        <stp>PX_LAST</stp>
        <stp>[Basic Pricing.xlsm]FX_Curve_History!R75C13</stp>
        <tr r="M75" s="50"/>
      </tp>
      <tp t="e">
        <v>#N/A</v>
        <stp/>
        <stp>##V3_BDPV12</stp>
        <stp>JYBS20 Index</stp>
        <stp>PX_LAST</stp>
        <stp>[Basic Pricing.xlsm]FX_Curve_History!R72C13</stp>
        <tr r="M72" s="50"/>
      </tp>
      <tp t="e">
        <v>#N/A</v>
        <stp/>
        <stp>##V3_BDPV12</stp>
        <stp>JYBS30 Index</stp>
        <stp>PX_LAST</stp>
        <stp>[Basic Pricing.xlsm]FX_Curve_History!R74C13</stp>
        <tr r="M74" s="50"/>
      </tp>
      <tp t="e">
        <v>#N/A</v>
        <stp/>
        <stp>##V3_BDPV12</stp>
        <stp>JYBS10 Index</stp>
        <stp>PX_LAST</stp>
        <stp>[Basic Pricing.xlsm]FX_Curve_History!R64C13</stp>
        <tr r="M64" s="50"/>
      </tp>
      <tp t="e">
        <v>#N/A</v>
        <stp/>
        <stp>##V3_BDPV12</stp>
        <stp>SFSW3 Index</stp>
        <stp>PX_LAST</stp>
        <stp>[Basic Pricing.xlsm]FX_Curve_Live!R107C6</stp>
        <tr r="F107" s="42"/>
      </tp>
      <tp t="e">
        <v>#N/A</v>
        <stp/>
        <stp>##V3_BDPV12</stp>
        <stp>CDSW6 Index</stp>
        <stp>PX_LAST</stp>
        <stp>[Basic Pricing.xlsm]FX_Curve_Live!R135C6</stp>
        <tr r="F135" s="42"/>
      </tp>
      <tp t="e">
        <v>#N/A</v>
        <stp/>
        <stp>##V3_BDHV12</stp>
        <stp>EUSA3 CMPN Curncy</stp>
        <stp>LAST_PRICE</stp>
        <stp>4/15/2019</stp>
        <stp>4/15/2019</stp>
        <stp>[Basic Pricing.xlsm]Rate_History!R32C20</stp>
        <tr r="T32" s="49"/>
      </tp>
      <tp t="e">
        <v>#N/A</v>
        <stp/>
        <stp>##V3_BDHV12</stp>
        <stp>EUSA5 CMPN Curncy</stp>
        <stp>LAST_PRICE</stp>
        <stp>4/15/2019</stp>
        <stp>4/15/2019</stp>
        <stp>[Basic Pricing.xlsm]Rate_History!R34C20</stp>
        <tr r="T34" s="49"/>
      </tp>
      <tp t="e">
        <v>#N/A</v>
        <stp/>
        <stp>##V3_BDHV12</stp>
        <stp>EUSA7 CMPN Curncy</stp>
        <stp>LAST_PRICE</stp>
        <stp>4/15/2019</stp>
        <stp>4/15/2019</stp>
        <stp>[Basic Pricing.xlsm]Rate_History!R36C20</stp>
        <tr r="T36" s="49"/>
      </tp>
      <tp t="e">
        <v>#N/A</v>
        <stp/>
        <stp>##V3_BDHV12</stp>
        <stp>EUSA9 CMPN Curncy</stp>
        <stp>LAST_PRICE</stp>
        <stp>4/15/2019</stp>
        <stp>4/15/2019</stp>
        <stp>[Basic Pricing.xlsm]Rate_History!R38C20</stp>
        <tr r="T38" s="49"/>
      </tp>
      <tp t="e">
        <v>#N/A</v>
        <stp/>
        <stp>##V3_BDHV12</stp>
        <stp>EUSA2 CMPN Curncy</stp>
        <stp>LAST_PRICE</stp>
        <stp>4/15/2019</stp>
        <stp>4/15/2019</stp>
        <stp>[Basic Pricing.xlsm]Rate_History!R31C20</stp>
        <tr r="T31" s="49"/>
      </tp>
      <tp t="e">
        <v>#N/A</v>
        <stp/>
        <stp>##V3_BDHV12</stp>
        <stp>EUSA6 CMPN Curncy</stp>
        <stp>LAST_PRICE</stp>
        <stp>4/15/2019</stp>
        <stp>4/15/2019</stp>
        <stp>[Basic Pricing.xlsm]Rate_History!R35C20</stp>
        <tr r="T35" s="49"/>
      </tp>
      <tp t="e">
        <v>#N/A</v>
        <stp/>
        <stp>##V3_BDHV12</stp>
        <stp>EUSA4 CMPN Curncy</stp>
        <stp>LAST_PRICE</stp>
        <stp>4/15/2019</stp>
        <stp>4/15/2019</stp>
        <stp>[Basic Pricing.xlsm]Rate_History!R33C20</stp>
        <tr r="T33" s="49"/>
      </tp>
      <tp t="e">
        <v>#N/A</v>
        <stp/>
        <stp>##V3_BDHV12</stp>
        <stp>EUSA8 CMPN Curncy</stp>
        <stp>LAST_PRICE</stp>
        <stp>4/15/2019</stp>
        <stp>4/15/2019</stp>
        <stp>[Basic Pricing.xlsm]Rate_History!R37C20</stp>
        <tr r="T37" s="49"/>
      </tp>
      <tp t="e">
        <v>#N/A</v>
        <stp/>
        <stp>##V3_BDPV12</stp>
        <stp>BPBS9 Index</stp>
        <stp>PX_LAST</stp>
        <stp>[Basic Pricing.xlsm]FX_Curve_History!R88C13</stp>
        <tr r="M88" s="50"/>
      </tp>
      <tp t="e">
        <v>#N/A</v>
        <stp/>
        <stp>##V3_BDPV12</stp>
        <stp>JYBS1 Index</stp>
        <stp>PX_LAST</stp>
        <stp>[Basic Pricing.xlsm]FX_Curve_History!R56C16</stp>
        <tr r="P56" s="50"/>
      </tp>
      <tp t="e">
        <v>#N/A</v>
        <stp/>
        <stp>##V3_BDPV12</stp>
        <stp>CDSW30 Index</stp>
        <stp>PX_LAST</stp>
        <stp>[Basic Pricing.xlsm]Rate_Live!R144C6</stp>
        <tr r="F144" s="39"/>
      </tp>
      <tp t="e">
        <v>#N/A</v>
        <stp/>
        <stp>##V3_BDPV12</stp>
        <stp>SFSW10 Index</stp>
        <stp>PX_LAST</stp>
        <stp>[Basic Pricing.xlsm]Rate_Live!R114C6</stp>
        <tr r="F114" s="39"/>
      </tp>
      <tp t="e">
        <v>#N/A</v>
        <stp/>
        <stp>##V3_BDPV12</stp>
        <stp>JYBS11 Index</stp>
        <stp>PX_LAST</stp>
        <stp>[Basic Pricing.xlsm]FX_Curve_History!R65C13</stp>
        <tr r="M65" s="50"/>
      </tp>
      <tp t="e">
        <v>#N/A</v>
        <stp/>
        <stp>##V3_BDHV12</stp>
        <stp>CLSWIB4 Index</stp>
        <stp>PX_LAST</stp>
        <stp>4/15/2019</stp>
        <stp>4/15/2019</stp>
        <stp>[Basic Pricing.xlsm]FX_Curve_History!R183C6</stp>
        <tr r="F183" s="50"/>
      </tp>
      <tp t="e">
        <v>#N/A</v>
        <stp/>
        <stp>##V3_BDHV12</stp>
        <stp>CLSWIB1 Index</stp>
        <stp>PX_LAST</stp>
        <stp>4/15/2019</stp>
        <stp>4/15/2019</stp>
        <stp>[Basic Pricing.xlsm]FX_Curve_History!R186C2</stp>
        <tr r="B186" s="50"/>
      </tp>
      <tp t="e">
        <v>#N/A</v>
        <stp/>
        <stp>##V3_BDPV12</stp>
        <stp>SFSW2 Index</stp>
        <stp>PX_LAST</stp>
        <stp>[Basic Pricing.xlsm]FX_Curve_Live!R106C6</stp>
        <tr r="F106" s="42"/>
      </tp>
      <tp t="e">
        <v>#N/A</v>
        <stp/>
        <stp>##V3_BDPV12</stp>
        <stp>CDSW5 Index</stp>
        <stp>PX_LAST</stp>
        <stp>[Basic Pricing.xlsm]FX_Curve_Live!R134C6</stp>
        <tr r="F134" s="42"/>
      </tp>
      <tp t="e">
        <v>#N/A</v>
        <stp/>
        <stp>##V3_BDPV12</stp>
        <stp>BPBS8 Index</stp>
        <stp>PX_LAST</stp>
        <stp>[Basic Pricing.xlsm]FX_Curve_History!R87C13</stp>
        <tr r="M87" s="50"/>
      </tp>
      <tp t="e">
        <v>#N/A</v>
        <stp/>
        <stp>##V3_BDPV12</stp>
        <stp>SFSW13 Index</stp>
        <stp>PX_LAST</stp>
        <stp>[Basic Pricing.xlsm]Rate_Live!R117C6</stp>
        <tr r="F117" s="39"/>
      </tp>
      <tp t="e">
        <v>#N/A</v>
        <stp/>
        <stp>##V3_BDPV12</stp>
        <stp>JY0003M Index</stp>
        <stp>PX_LAST</stp>
        <stp>[Basic Pricing.xlsm]FX_Curve_Live!R59C2</stp>
        <tr r="B59" s="42"/>
      </tp>
      <tp t="e">
        <v>#N/A</v>
        <stp/>
        <stp>##V3_BDPV12</stp>
        <stp>JYBS12 Index</stp>
        <stp>PX_LAST</stp>
        <stp>[Basic Pricing.xlsm]FX_Curve_History!R66C13</stp>
        <tr r="M66" s="50"/>
      </tp>
      <tp t="e">
        <v>#N/A</v>
        <stp/>
        <stp>##V3_BDHV12</stp>
        <stp>USONY05 ICPL curncy</stp>
        <stp>PX_LAST</stp>
        <stp>4/15/2019</stp>
        <stp>4/15/2019</stp>
        <stp>[Basic Pricing.xlsm]Vol_Surface!R8C3</stp>
        <tr r="C8" s="53"/>
      </tp>
      <tp t="e">
        <v>#N/A</v>
        <stp/>
        <stp>##V3_BDHV12</stp>
        <stp>USONX05 ICPL curncy</stp>
        <stp>PX_LAST</stp>
        <stp>4/15/2019</stp>
        <stp>4/15/2019</stp>
        <stp>[Basic Pricing.xlsm]Vol_Surface!R8C2</stp>
        <tr r="B8" s="53"/>
      </tp>
      <tp t="e">
        <v>#N/A</v>
        <stp/>
        <stp>##V3_BDHV12</stp>
        <stp>USONZ05 ICPL curncy</stp>
        <stp>PX_LAST</stp>
        <stp>4/15/2019</stp>
        <stp>4/15/2019</stp>
        <stp>[Basic Pricing.xlsm]Vol_Surface!R8C4</stp>
        <tr r="D8" s="53"/>
      </tp>
      <tp t="e">
        <v>#N/A</v>
        <stp/>
        <stp>##V3_BDPV12</stp>
        <stp>CDSW8 Index</stp>
        <stp>PX_LAST</stp>
        <stp>[Basic Pricing.xlsm]FX_Curve_Live!R137C6</stp>
        <tr r="F137" s="42"/>
      </tp>
      <tp t="e">
        <v>#N/A</v>
        <stp/>
        <stp>##V3_BDPV12</stp>
        <stp>JYBS3 Index</stp>
        <stp>PX_LAST</stp>
        <stp>[Basic Pricing.xlsm]FX_Curve_History!R57C13</stp>
        <tr r="M57" s="50"/>
      </tp>
      <tp t="e">
        <v>#N/A</v>
        <stp/>
        <stp>##V3_BDHV12</stp>
        <stp>CABROVER Index</stp>
        <stp>PX_LAST</stp>
        <stp>4/15/2019</stp>
        <stp>4/15/2019</stp>
        <stp>[Basic Pricing.xlsm]Rate_History!R131C2</stp>
        <tr r="B131" s="49"/>
      </tp>
      <tp t="e">
        <v>#N/A</v>
        <stp/>
        <stp>##V3_BDPV12</stp>
        <stp>SFSW12 Index</stp>
        <stp>PX_LAST</stp>
        <stp>[Basic Pricing.xlsm]Rate_Live!R116C6</stp>
        <tr r="F116" s="39"/>
      </tp>
      <tp t="e">
        <v>#N/A</v>
        <stp/>
        <stp>##V3_BDPV12</stp>
        <stp>JY0002M Index</stp>
        <stp>PX_LAST</stp>
        <stp>[Basic Pricing.xlsm]FX_Curve_Live!R58C2</stp>
        <tr r="B58" s="42"/>
      </tp>
      <tp t="e">
        <v>#N/A</v>
        <stp/>
        <stp>##V3_BDHV12</stp>
        <stp>USONY07 ICPL curncy</stp>
        <stp>PX_LAST</stp>
        <stp>4/15/2019</stp>
        <stp>4/15/2019</stp>
        <stp>[Basic Pricing.xlsm]Vol_Surface!R9C3</stp>
        <tr r="C9" s="53"/>
      </tp>
      <tp t="e">
        <v>#N/A</v>
        <stp/>
        <stp>##V3_BDHV12</stp>
        <stp>USONX07 ICPL curncy</stp>
        <stp>PX_LAST</stp>
        <stp>4/15/2019</stp>
        <stp>4/15/2019</stp>
        <stp>[Basic Pricing.xlsm]Vol_Surface!R9C2</stp>
        <tr r="B9" s="53"/>
      </tp>
      <tp t="e">
        <v>#N/A</v>
        <stp/>
        <stp>##V3_BDHV12</stp>
        <stp>USONZ07 ICPL curncy</stp>
        <stp>PX_LAST</stp>
        <stp>4/15/2019</stp>
        <stp>4/15/2019</stp>
        <stp>[Basic Pricing.xlsm]Vol_Surface!R9C4</stp>
        <tr r="D9" s="53"/>
      </tp>
      <tp t="e">
        <v>#N/A</v>
        <stp/>
        <stp>##V3_BDPV12</stp>
        <stp>CDSW7 Index</stp>
        <stp>PX_LAST</stp>
        <stp>[Basic Pricing.xlsm]FX_Curve_Live!R136C6</stp>
        <tr r="F136" s="42"/>
      </tp>
      <tp t="e">
        <v>#N/A</v>
        <stp/>
        <stp>##V3_BDHV12</stp>
        <stp>CLSWIB20 Index</stp>
        <stp>PX_LAST</stp>
        <stp>4/15/2019</stp>
        <stp>4/15/2019</stp>
        <stp>[Basic Pricing.xlsm]FX_Curve_History!R197C6</stp>
        <tr r="F197" s="50"/>
      </tp>
      <tp t="e">
        <v>#N/A</v>
        <stp/>
        <stp>##V3_BDPV12</stp>
        <stp>JYBS2 Index</stp>
        <stp>PX_LAST</stp>
        <stp>[Basic Pricing.xlsm]FX_Curve_History!R56C13</stp>
        <tr r="M56" s="50"/>
      </tp>
      <tp t="e">
        <v>#N/A</v>
        <stp/>
        <stp>##V3_BDPV12</stp>
        <stp>HASWDI10Y CMPN Curncy</stp>
        <stp>PX_LAST</stp>
        <stp>[Basic Pricing.xlsm]FX_Curve_Live!R169C21</stp>
        <tr r="U169" s="42"/>
      </tp>
      <tp t="e">
        <v>#N/A</v>
        <stp/>
        <stp>##V3_BDPV12</stp>
        <stp>HASWDI10Y CMPN Curncy</stp>
        <stp>PX_LAST</stp>
        <stp>[Basic Pricing.xlsm]FX_Curve_Live!R168C21</stp>
        <tr r="U168" s="42"/>
      </tp>
      <tp t="e">
        <v>#N/A</v>
        <stp/>
        <stp>##V3_BDPV12</stp>
        <stp>HASWDI10Y CMPN Curncy</stp>
        <stp>PX_LAST</stp>
        <stp>[Basic Pricing.xlsm]FX_Curve_Live!R167C21</stp>
        <tr r="U167" s="42"/>
      </tp>
      <tp t="e">
        <v>#N/A</v>
        <stp/>
        <stp>##V3_BDPV12</stp>
        <stp>HASWDI10Y CMPN Curncy</stp>
        <stp>PX_LAST</stp>
        <stp>[Basic Pricing.xlsm]FX_Curve_Live!R166C21</stp>
        <tr r="U166" s="42"/>
      </tp>
      <tp t="e">
        <v>#N/A</v>
        <stp/>
        <stp>##V3_BDPV12</stp>
        <stp>HASWDI10Y CMPN Curncy</stp>
        <stp>PX_LAST</stp>
        <stp>[Basic Pricing.xlsm]FX_Curve_Live!R165C21</stp>
        <tr r="U165" s="42"/>
      </tp>
      <tp t="e">
        <v>#N/A</v>
        <stp/>
        <stp>##V3_BDPV12</stp>
        <stp>HASWDI10Y CMPN Curncy</stp>
        <stp>PX_LAST</stp>
        <stp>[Basic Pricing.xlsm]FX_Curve_Live!R172C21</stp>
        <tr r="U172" s="42"/>
      </tp>
      <tp t="e">
        <v>#N/A</v>
        <stp/>
        <stp>##V3_BDPV12</stp>
        <stp>HASWDI10Y CMPN Curncy</stp>
        <stp>PX_LAST</stp>
        <stp>[Basic Pricing.xlsm]FX_Curve_Live!R171C21</stp>
        <tr r="U171" s="42"/>
      </tp>
      <tp t="e">
        <v>#N/A</v>
        <stp/>
        <stp>##V3_BDPV12</stp>
        <stp>HASWDI10Y CMPN Curncy</stp>
        <stp>PX_LAST</stp>
        <stp>[Basic Pricing.xlsm]FX_Curve_Live!R170C21</stp>
        <tr r="U170" s="42"/>
      </tp>
      <tp t="e">
        <v>#N/A</v>
        <stp/>
        <stp>##V3_BDPV12</stp>
        <stp>CDSW15 Index</stp>
        <stp>PX_LAST</stp>
        <stp>[Basic Pricing.xlsm]Rate_Live!R141C6</stp>
        <tr r="F141" s="39"/>
      </tp>
      <tp t="e">
        <v>#N/A</v>
        <stp/>
        <stp>##V3_BDPV12</stp>
        <stp>SFSW25 Index</stp>
        <stp>PX_LAST</stp>
        <stp>[Basic Pricing.xlsm]Rate_Live!R121C6</stp>
        <tr r="F121" s="39"/>
      </tp>
      <tp t="e">
        <v>#N/A</v>
        <stp/>
        <stp>##V3_BDHV12</stp>
        <stp>USSN2030 CMPN Curncy</stp>
        <stp>PX_LAST</stp>
        <stp>4/15/2019</stp>
        <stp>4/15/2019</stp>
        <stp>[Basic Pricing.xlsm]Vol_Surface!R55C15</stp>
        <tr r="O55" s="53"/>
      </tp>
      <tp t="e">
        <v>#N/A</v>
        <stp/>
        <stp>##V3_BDHV12</stp>
        <stp>USSN2010 CMPN Curncy</stp>
        <stp>PX_LAST</stp>
        <stp>4/15/2019</stp>
        <stp>4/15/2019</stp>
        <stp>[Basic Pricing.xlsm]Vol_Surface!R55C11</stp>
        <tr r="K55" s="53"/>
      </tp>
      <tp t="e">
        <v>#N/A</v>
        <stp/>
        <stp>##V3_BDPV12</stp>
        <stp>SFSW9 Index</stp>
        <stp>PX_LAST</stp>
        <stp>[Basic Pricing.xlsm]FX_Curve_Live!R113C6</stp>
        <tr r="F113" s="42"/>
      </tp>
      <tp t="e">
        <v>#N/A</v>
        <stp/>
        <stp>##V3_BDPV12</stp>
        <stp>CDSW2 Index</stp>
        <stp>PX_LAST</stp>
        <stp>[Basic Pricing.xlsm]FX_Curve_Live!R131C6</stp>
        <tr r="F131" s="42"/>
      </tp>
      <tp t="e">
        <v>#N/A</v>
        <stp/>
        <stp>##V3_BDPV12</stp>
        <stp>JYBS5 Index</stp>
        <stp>PX_LAST</stp>
        <stp>[Basic Pricing.xlsm]FX_Curve_History!R59C13</stp>
        <tr r="M59" s="50"/>
      </tp>
      <tp t="e">
        <v>#N/A</v>
        <stp/>
        <stp>##V3_BDPV12</stp>
        <stp>BPSW40 Index</stp>
        <stp>PX_LAST</stp>
        <stp>[Basic Pricing.xlsm]Rate_Live!R100C6</stp>
        <tr r="F100" s="39"/>
      </tp>
      <tp t="e">
        <v>#N/A</v>
        <stp/>
        <stp>##V3_BDPV12</stp>
        <stp>CDSW12 Index</stp>
        <stp>PX_LAST</stp>
        <stp>[Basic Pricing.xlsm]Rate_Live!R140C6</stp>
        <tr r="F140" s="39"/>
      </tp>
      <tp t="e">
        <v>#N/A</v>
        <stp/>
        <stp>##V3_BDPV12</stp>
        <stp>SFSW20 Index</stp>
        <stp>PX_LAST</stp>
        <stp>[Basic Pricing.xlsm]Rate_Live!R120C6</stp>
        <tr r="F120" s="39"/>
      </tp>
      <tp t="e">
        <v>#N/A</v>
        <stp/>
        <stp>##V3_BDPV12</stp>
        <stp>JYBS25 Index</stp>
        <stp>PX_LAST</stp>
        <stp>[Basic Pricing.xlsm]FX_Curve_History!R73C13</stp>
        <tr r="M73" s="50"/>
      </tp>
      <tp t="e">
        <v>#N/A</v>
        <stp/>
        <stp>##V3_BDPV12</stp>
        <stp>JYBS15 Index</stp>
        <stp>PX_LAST</stp>
        <stp>[Basic Pricing.xlsm]FX_Curve_History!R69C13</stp>
        <tr r="M69" s="50"/>
      </tp>
      <tp t="e">
        <v>#N/A</v>
        <stp/>
        <stp>##V3_BDHV12</stp>
        <stp>CLSWIB2 Index</stp>
        <stp>PX_LAST</stp>
        <stp>4/15/2019</stp>
        <stp>4/15/2019</stp>
        <stp>[Basic Pricing.xlsm]FX_Curve_History!R181C6</stp>
        <tr r="F181" s="50"/>
      </tp>
      <tp t="e">
        <v>#N/A</v>
        <stp/>
        <stp>##V3_BDHV12</stp>
        <stp>CLSWIB6 Index</stp>
        <stp>PX_LAST</stp>
        <stp>4/15/2019</stp>
        <stp>4/15/2019</stp>
        <stp>[Basic Pricing.xlsm]FX_Curve_History!R185C6</stp>
        <tr r="F185" s="50"/>
      </tp>
      <tp t="e">
        <v>#N/A</v>
        <stp/>
        <stp>##V3_BDPV12</stp>
        <stp>SFSW8 Index</stp>
        <stp>PX_LAST</stp>
        <stp>[Basic Pricing.xlsm]FX_Curve_Live!R112C6</stp>
        <tr r="F112" s="42"/>
      </tp>
      <tp t="e">
        <v>#N/A</v>
        <stp/>
        <stp>##V3_BDHV12</stp>
        <stp>CLSWIB15 Index</stp>
        <stp>PX_LAST</stp>
        <stp>4/15/2019</stp>
        <stp>4/15/2019</stp>
        <stp>[Basic Pricing.xlsm]FX_Curve_History!R194C6</stp>
        <tr r="F194" s="50"/>
      </tp>
      <tp t="e">
        <v>#N/A</v>
        <stp/>
        <stp>##V3_BDHV12</stp>
        <stp>BPSW4 CMPN Curncy</stp>
        <stp>LAST_PRICE</stp>
        <stp>4/15/2019</stp>
        <stp>4/15/2019</stp>
        <stp>[Basic Pricing.xlsm]Rate_History!R83C20</stp>
        <tr r="T83" s="49"/>
      </tp>
      <tp t="e">
        <v>#N/A</v>
        <stp/>
        <stp>##V3_BDHV12</stp>
        <stp>BPSW2 CMPN Curncy</stp>
        <stp>LAST_PRICE</stp>
        <stp>4/15/2019</stp>
        <stp>4/15/2019</stp>
        <stp>[Basic Pricing.xlsm]Rate_History!R81C20</stp>
        <tr r="T81" s="49"/>
      </tp>
      <tp t="e">
        <v>#N/A</v>
        <stp/>
        <stp>##V3_BDHV12</stp>
        <stp>BPSW6 CMPN Curncy</stp>
        <stp>LAST_PRICE</stp>
        <stp>4/15/2019</stp>
        <stp>4/15/2019</stp>
        <stp>[Basic Pricing.xlsm]Rate_History!R85C20</stp>
        <tr r="T85" s="49"/>
      </tp>
      <tp t="e">
        <v>#N/A</v>
        <stp/>
        <stp>##V3_BDHV12</stp>
        <stp>BPSW3 CMPN Curncy</stp>
        <stp>LAST_PRICE</stp>
        <stp>4/15/2019</stp>
        <stp>4/15/2019</stp>
        <stp>[Basic Pricing.xlsm]Rate_History!R82C20</stp>
        <tr r="T82" s="49"/>
      </tp>
      <tp t="e">
        <v>#N/A</v>
        <stp/>
        <stp>##V3_BDHV12</stp>
        <stp>BPSW5 CMPN Curncy</stp>
        <stp>LAST_PRICE</stp>
        <stp>4/15/2019</stp>
        <stp>4/15/2019</stp>
        <stp>[Basic Pricing.xlsm]Rate_History!R84C20</stp>
        <tr r="T84" s="49"/>
      </tp>
      <tp t="e">
        <v>#N/A</v>
        <stp/>
        <stp>##V3_BDHV12</stp>
        <stp>BPSW7 CMPN Curncy</stp>
        <stp>LAST_PRICE</stp>
        <stp>4/15/2019</stp>
        <stp>4/15/2019</stp>
        <stp>[Basic Pricing.xlsm]Rate_History!R86C20</stp>
        <tr r="T86" s="49"/>
      </tp>
      <tp t="e">
        <v>#N/A</v>
        <stp/>
        <stp>##V3_BDHV12</stp>
        <stp>BPSW9 CMPN Curncy</stp>
        <stp>LAST_PRICE</stp>
        <stp>4/15/2019</stp>
        <stp>4/15/2019</stp>
        <stp>[Basic Pricing.xlsm]Rate_History!R88C20</stp>
        <tr r="T88" s="49"/>
      </tp>
      <tp t="e">
        <v>#N/A</v>
        <stp/>
        <stp>##V3_BDHV12</stp>
        <stp>BPSW8 CMPN Curncy</stp>
        <stp>LAST_PRICE</stp>
        <stp>4/15/2019</stp>
        <stp>4/15/2019</stp>
        <stp>[Basic Pricing.xlsm]Rate_History!R87C20</stp>
        <tr r="T87" s="49"/>
      </tp>
      <tp t="e">
        <v>#N/A</v>
        <stp/>
        <stp>##V3_BDPV12</stp>
        <stp>JYBS4 Index</stp>
        <stp>PX_LAST</stp>
        <stp>[Basic Pricing.xlsm]FX_Curve_History!R58C13</stp>
        <tr r="M58" s="50"/>
      </tp>
      <tp t="e">
        <v>#N/A</v>
        <stp/>
        <stp>##V3_BDPV12</stp>
        <stp>CDSW25 Index</stp>
        <stp>PX_LAST</stp>
        <stp>[Basic Pricing.xlsm]Rate_Live!R143C6</stp>
        <tr r="F143" s="39"/>
      </tp>
      <tp t="e">
        <v>#N/A</v>
        <stp/>
        <stp>##V3_BDPV12</stp>
        <stp>SFSW40 Index</stp>
        <stp>PX_LAST</stp>
        <stp>[Basic Pricing.xlsm]Rate_Live!R123C6</stp>
        <tr r="F123" s="39"/>
      </tp>
      <tp t="e">
        <v>#N/A</v>
        <stp/>
        <stp>##V3_BDHV12</stp>
        <stp>USSN0F30 CMPN Curncy</stp>
        <stp>PX_LAST</stp>
        <stp>4/15/2019</stp>
        <stp>4/15/2019</stp>
        <stp>[Basic Pricing.xlsm]Vol_Surface!R46C15</stp>
        <tr r="O46" s="53"/>
      </tp>
      <tp t="e">
        <v>#N/A</v>
        <stp/>
        <stp>##V3_BDHV12</stp>
        <stp>USSN0F25 CMPN Curncy</stp>
        <stp>PX_LAST</stp>
        <stp>4/15/2019</stp>
        <stp>4/15/2019</stp>
        <stp>[Basic Pricing.xlsm]Vol_Surface!R46C14</stp>
        <tr r="N46" s="53"/>
      </tp>
      <tp t="e">
        <v>#N/A</v>
        <stp/>
        <stp>##V3_BDHV12</stp>
        <stp>USSN0F10 CMPN Curncy</stp>
        <stp>PX_LAST</stp>
        <stp>4/15/2019</stp>
        <stp>4/15/2019</stp>
        <stp>[Basic Pricing.xlsm]Vol_Surface!R46C11</stp>
        <tr r="K46" s="53"/>
      </tp>
      <tp t="e">
        <v>#N/A</v>
        <stp/>
        <stp>##V3_BDHV12</stp>
        <stp>USSN0F20 CMPN Curncy</stp>
        <stp>PX_LAST</stp>
        <stp>4/15/2019</stp>
        <stp>4/15/2019</stp>
        <stp>[Basic Pricing.xlsm]Vol_Surface!R46C13</stp>
        <tr r="M46" s="53"/>
      </tp>
      <tp t="e">
        <v>#N/A</v>
        <stp/>
        <stp>##V3_BDHV12</stp>
        <stp>USSN0F15 CMPN Curncy</stp>
        <stp>PX_LAST</stp>
        <stp>4/15/2019</stp>
        <stp>4/15/2019</stp>
        <stp>[Basic Pricing.xlsm]Vol_Surface!R46C12</stp>
        <tr r="L46" s="53"/>
      </tp>
      <tp t="e">
        <v>#N/A</v>
        <stp/>
        <stp>##V3_BDHV12</stp>
        <stp>USSN0A30 CMPN Curncy</stp>
        <stp>PX_LAST</stp>
        <stp>4/15/2019</stp>
        <stp>4/15/2019</stp>
        <stp>[Basic Pricing.xlsm]Vol_Surface!R44C15</stp>
        <tr r="O44" s="53"/>
      </tp>
      <tp t="e">
        <v>#N/A</v>
        <stp/>
        <stp>##V3_BDHV12</stp>
        <stp>USSN0A25 CMPN Curncy</stp>
        <stp>PX_LAST</stp>
        <stp>4/15/2019</stp>
        <stp>4/15/2019</stp>
        <stp>[Basic Pricing.xlsm]Vol_Surface!R44C14</stp>
        <tr r="N44" s="53"/>
      </tp>
      <tp t="e">
        <v>#N/A</v>
        <stp/>
        <stp>##V3_BDHV12</stp>
        <stp>USSN0A10 CMPN Curncy</stp>
        <stp>PX_LAST</stp>
        <stp>4/15/2019</stp>
        <stp>4/15/2019</stp>
        <stp>[Basic Pricing.xlsm]Vol_Surface!R44C11</stp>
        <tr r="K44" s="53"/>
      </tp>
      <tp t="e">
        <v>#N/A</v>
        <stp/>
        <stp>##V3_BDHV12</stp>
        <stp>USSN0A20 CMPN Curncy</stp>
        <stp>PX_LAST</stp>
        <stp>4/15/2019</stp>
        <stp>4/15/2019</stp>
        <stp>[Basic Pricing.xlsm]Vol_Surface!R44C13</stp>
        <tr r="M44" s="53"/>
      </tp>
      <tp t="e">
        <v>#N/A</v>
        <stp/>
        <stp>##V3_BDHV12</stp>
        <stp>USSN0A15 CMPN Curncy</stp>
        <stp>PX_LAST</stp>
        <stp>4/15/2019</stp>
        <stp>4/15/2019</stp>
        <stp>[Basic Pricing.xlsm]Vol_Surface!R44C12</stp>
        <tr r="L44" s="53"/>
      </tp>
      <tp t="e">
        <v>#N/A</v>
        <stp/>
        <stp>##V3_BDHV12</stp>
        <stp>USSN0C30 CMPN Curncy</stp>
        <stp>PX_LAST</stp>
        <stp>4/15/2019</stp>
        <stp>4/15/2019</stp>
        <stp>[Basic Pricing.xlsm]Vol_Surface!R45C15</stp>
        <tr r="O45" s="53"/>
      </tp>
      <tp t="e">
        <v>#N/A</v>
        <stp/>
        <stp>##V3_BDHV12</stp>
        <stp>USSN0C25 CMPN Curncy</stp>
        <stp>PX_LAST</stp>
        <stp>4/15/2019</stp>
        <stp>4/15/2019</stp>
        <stp>[Basic Pricing.xlsm]Vol_Surface!R45C14</stp>
        <tr r="N45" s="53"/>
      </tp>
      <tp t="e">
        <v>#N/A</v>
        <stp/>
        <stp>##V3_BDHV12</stp>
        <stp>USSN0C10 CMPN Curncy</stp>
        <stp>PX_LAST</stp>
        <stp>4/15/2019</stp>
        <stp>4/15/2019</stp>
        <stp>[Basic Pricing.xlsm]Vol_Surface!R45C11</stp>
        <tr r="K45" s="53"/>
      </tp>
      <tp t="e">
        <v>#N/A</v>
        <stp/>
        <stp>##V3_BDHV12</stp>
        <stp>USSN0C20 CMPN Curncy</stp>
        <stp>PX_LAST</stp>
        <stp>4/15/2019</stp>
        <stp>4/15/2019</stp>
        <stp>[Basic Pricing.xlsm]Vol_Surface!R45C13</stp>
        <tr r="M45" s="53"/>
      </tp>
      <tp t="e">
        <v>#N/A</v>
        <stp/>
        <stp>##V3_BDHV12</stp>
        <stp>USSN0C15 CMPN Curncy</stp>
        <stp>PX_LAST</stp>
        <stp>4/15/2019</stp>
        <stp>4/15/2019</stp>
        <stp>[Basic Pricing.xlsm]Vol_Surface!R45C12</stp>
        <tr r="L45" s="53"/>
      </tp>
      <tp t="e">
        <v>#N/A</v>
        <stp/>
        <stp>##V3_BDHV12</stp>
        <stp>USSN0I30 CMPN Curncy</stp>
        <stp>PX_LAST</stp>
        <stp>4/15/2019</stp>
        <stp>4/15/2019</stp>
        <stp>[Basic Pricing.xlsm]Vol_Surface!R47C15</stp>
        <tr r="O47" s="53"/>
      </tp>
      <tp t="e">
        <v>#N/A</v>
        <stp/>
        <stp>##V3_BDHV12</stp>
        <stp>USSN0I25 CMPN Curncy</stp>
        <stp>PX_LAST</stp>
        <stp>4/15/2019</stp>
        <stp>4/15/2019</stp>
        <stp>[Basic Pricing.xlsm]Vol_Surface!R47C14</stp>
        <tr r="N47" s="53"/>
      </tp>
      <tp t="e">
        <v>#N/A</v>
        <stp/>
        <stp>##V3_BDHV12</stp>
        <stp>USSN0I10 CMPN Curncy</stp>
        <stp>PX_LAST</stp>
        <stp>4/15/2019</stp>
        <stp>4/15/2019</stp>
        <stp>[Basic Pricing.xlsm]Vol_Surface!R47C11</stp>
        <tr r="K47" s="53"/>
      </tp>
      <tp t="e">
        <v>#N/A</v>
        <stp/>
        <stp>##V3_BDHV12</stp>
        <stp>USSN0I20 CMPN Curncy</stp>
        <stp>PX_LAST</stp>
        <stp>4/15/2019</stp>
        <stp>4/15/2019</stp>
        <stp>[Basic Pricing.xlsm]Vol_Surface!R47C13</stp>
        <tr r="M47" s="53"/>
      </tp>
      <tp t="e">
        <v>#N/A</v>
        <stp/>
        <stp>##V3_BDHV12</stp>
        <stp>USSN0I15 CMPN Curncy</stp>
        <stp>PX_LAST</stp>
        <stp>4/15/2019</stp>
        <stp>4/15/2019</stp>
        <stp>[Basic Pricing.xlsm]Vol_Surface!R47C12</stp>
        <tr r="L47" s="53"/>
      </tp>
      <tp t="e">
        <v>#N/A</v>
        <stp/>
        <stp>##V3_BDHV12</stp>
        <stp>USSN0525 CMPN Curncy</stp>
        <stp>PX_LAST</stp>
        <stp>4/15/2019</stp>
        <stp>4/15/2019</stp>
        <stp>[Basic Pricing.xlsm]Vol_Surface!R52C14</stp>
        <tr r="N52" s="53"/>
      </tp>
      <tp t="e">
        <v>#N/A</v>
        <stp/>
        <stp>##V3_BDHV12</stp>
        <stp>USSN0530 CMPN Curncy</stp>
        <stp>PX_LAST</stp>
        <stp>4/15/2019</stp>
        <stp>4/15/2019</stp>
        <stp>[Basic Pricing.xlsm]Vol_Surface!R52C15</stp>
        <tr r="O52" s="53"/>
      </tp>
      <tp t="e">
        <v>#N/A</v>
        <stp/>
        <stp>##V3_BDHV12</stp>
        <stp>USSN0520 CMPN Curncy</stp>
        <stp>PX_LAST</stp>
        <stp>4/15/2019</stp>
        <stp>4/15/2019</stp>
        <stp>[Basic Pricing.xlsm]Vol_Surface!R52C13</stp>
        <tr r="M52" s="53"/>
      </tp>
      <tp t="e">
        <v>#N/A</v>
        <stp/>
        <stp>##V3_BDHV12</stp>
        <stp>USSN0510 CMPN Curncy</stp>
        <stp>PX_LAST</stp>
        <stp>4/15/2019</stp>
        <stp>4/15/2019</stp>
        <stp>[Basic Pricing.xlsm]Vol_Surface!R52C11</stp>
        <tr r="K52" s="53"/>
      </tp>
      <tp t="e">
        <v>#N/A</v>
        <stp/>
        <stp>##V3_BDHV12</stp>
        <stp>USSN0515 CMPN Curncy</stp>
        <stp>PX_LAST</stp>
        <stp>4/15/2019</stp>
        <stp>4/15/2019</stp>
        <stp>[Basic Pricing.xlsm]Vol_Surface!R52C12</stp>
        <tr r="L52" s="53"/>
      </tp>
      <tp t="e">
        <v>#N/A</v>
        <stp/>
        <stp>##V3_BDPV12</stp>
        <stp>US0002m Index</stp>
        <stp>PX_LAST</stp>
        <stp>[Basic Pricing.xlsm]Rate_Live!R8C2</stp>
        <tr r="B8" s="39"/>
      </tp>
      <tp t="e">
        <v>#N/A</v>
        <stp/>
        <stp>##V3_BDPV12</stp>
        <stp>US0003m Index</stp>
        <stp>PX_LAST</stp>
        <stp>[Basic Pricing.xlsm]Rate_Live!R9C2</stp>
        <tr r="B9" s="39"/>
      </tp>
      <tp t="e">
        <v>#N/A</v>
        <stp/>
        <stp>##V3_BDHV12</stp>
        <stp>USSN0425 CMPN Curncy</stp>
        <stp>PX_LAST</stp>
        <stp>4/15/2019</stp>
        <stp>4/15/2019</stp>
        <stp>[Basic Pricing.xlsm]Vol_Surface!R51C14</stp>
        <tr r="N51" s="53"/>
      </tp>
      <tp t="e">
        <v>#N/A</v>
        <stp/>
        <stp>##V3_BDHV12</stp>
        <stp>USSN0430 CMPN Curncy</stp>
        <stp>PX_LAST</stp>
        <stp>4/15/2019</stp>
        <stp>4/15/2019</stp>
        <stp>[Basic Pricing.xlsm]Vol_Surface!R51C15</stp>
        <tr r="O51" s="53"/>
      </tp>
      <tp t="e">
        <v>#N/A</v>
        <stp/>
        <stp>##V3_BDHV12</stp>
        <stp>USSN0420 CMPN Curncy</stp>
        <stp>PX_LAST</stp>
        <stp>4/15/2019</stp>
        <stp>4/15/2019</stp>
        <stp>[Basic Pricing.xlsm]Vol_Surface!R51C13</stp>
        <tr r="M51" s="53"/>
      </tp>
      <tp t="e">
        <v>#N/A</v>
        <stp/>
        <stp>##V3_BDHV12</stp>
        <stp>USSN0410 CMPN Curncy</stp>
        <stp>PX_LAST</stp>
        <stp>4/15/2019</stp>
        <stp>4/15/2019</stp>
        <stp>[Basic Pricing.xlsm]Vol_Surface!R51C11</stp>
        <tr r="K51" s="53"/>
      </tp>
      <tp t="e">
        <v>#N/A</v>
        <stp/>
        <stp>##V3_BDHV12</stp>
        <stp>USSN0415 CMPN Curncy</stp>
        <stp>PX_LAST</stp>
        <stp>4/15/2019</stp>
        <stp>4/15/2019</stp>
        <stp>[Basic Pricing.xlsm]Vol_Surface!R51C12</stp>
        <tr r="L51" s="53"/>
      </tp>
      <tp t="e">
        <v>#N/A</v>
        <stp/>
        <stp>##V3_BDHV12</stp>
        <stp>USSN0725 CMPN Curncy</stp>
        <stp>PX_LAST</stp>
        <stp>4/15/2019</stp>
        <stp>4/15/2019</stp>
        <stp>[Basic Pricing.xlsm]Vol_Surface!R53C14</stp>
        <tr r="N53" s="53"/>
      </tp>
      <tp t="e">
        <v>#N/A</v>
        <stp/>
        <stp>##V3_BDHV12</stp>
        <stp>USSN0720 CMPN Curncy</stp>
        <stp>PX_LAST</stp>
        <stp>4/15/2019</stp>
        <stp>4/15/2019</stp>
        <stp>[Basic Pricing.xlsm]Vol_Surface!R53C13</stp>
        <tr r="M53" s="53"/>
      </tp>
      <tp t="e">
        <v>#N/A</v>
        <stp/>
        <stp>##V3_BDHV12</stp>
        <stp>USSN0710 CMPN Curncy</stp>
        <stp>PX_LAST</stp>
        <stp>4/15/2019</stp>
        <stp>4/15/2019</stp>
        <stp>[Basic Pricing.xlsm]Vol_Surface!R53C11</stp>
        <tr r="K53" s="53"/>
      </tp>
      <tp t="e">
        <v>#N/A</v>
        <stp/>
        <stp>##V3_BDHV12</stp>
        <stp>USSN0715 CMPN Curncy</stp>
        <stp>PX_LAST</stp>
        <stp>4/15/2019</stp>
        <stp>4/15/2019</stp>
        <stp>[Basic Pricing.xlsm]Vol_Surface!R53C12</stp>
        <tr r="L53" s="53"/>
      </tp>
      <tp t="e">
        <v>#N/A</v>
        <stp/>
        <stp>##V3_BDHV12</stp>
        <stp>USSN0125 CMPN Curncy</stp>
        <stp>PX_LAST</stp>
        <stp>4/15/2019</stp>
        <stp>4/15/2019</stp>
        <stp>[Basic Pricing.xlsm]Vol_Surface!R48C14</stp>
        <tr r="N48" s="53"/>
      </tp>
      <tp t="e">
        <v>#N/A</v>
        <stp/>
        <stp>##V3_BDHV12</stp>
        <stp>USSN0130 CMPN Curncy</stp>
        <stp>PX_LAST</stp>
        <stp>4/15/2019</stp>
        <stp>4/15/2019</stp>
        <stp>[Basic Pricing.xlsm]Vol_Surface!R48C15</stp>
        <tr r="O48" s="53"/>
      </tp>
      <tp t="e">
        <v>#N/A</v>
        <stp/>
        <stp>##V3_BDHV12</stp>
        <stp>USSN0110 CMPN Curncy</stp>
        <stp>PX_LAST</stp>
        <stp>4/15/2019</stp>
        <stp>4/15/2019</stp>
        <stp>[Basic Pricing.xlsm]Vol_Surface!R48C11</stp>
        <tr r="K48" s="53"/>
      </tp>
      <tp t="e">
        <v>#N/A</v>
        <stp/>
        <stp>##V3_BDHV12</stp>
        <stp>USSN0120 CMPN Curncy</stp>
        <stp>PX_LAST</stp>
        <stp>4/15/2019</stp>
        <stp>4/15/2019</stp>
        <stp>[Basic Pricing.xlsm]Vol_Surface!R48C13</stp>
        <tr r="M48" s="53"/>
      </tp>
      <tp t="e">
        <v>#N/A</v>
        <stp/>
        <stp>##V3_BDHV12</stp>
        <stp>USSN0115 CMPN Curncy</stp>
        <stp>PX_LAST</stp>
        <stp>4/15/2019</stp>
        <stp>4/15/2019</stp>
        <stp>[Basic Pricing.xlsm]Vol_Surface!R48C12</stp>
        <tr r="L48" s="53"/>
      </tp>
      <tp t="e">
        <v>#N/A</v>
        <stp/>
        <stp>##V3_BDHV12</stp>
        <stp>USSN0325 CMPN Curncy</stp>
        <stp>PX_LAST</stp>
        <stp>4/15/2019</stp>
        <stp>4/15/2019</stp>
        <stp>[Basic Pricing.xlsm]Vol_Surface!R50C14</stp>
        <tr r="N50" s="53"/>
      </tp>
      <tp t="e">
        <v>#N/A</v>
        <stp/>
        <stp>##V3_BDHV12</stp>
        <stp>USSN0330 CMPN Curncy</stp>
        <stp>PX_LAST</stp>
        <stp>4/15/2019</stp>
        <stp>4/15/2019</stp>
        <stp>[Basic Pricing.xlsm]Vol_Surface!R50C15</stp>
        <tr r="O50" s="53"/>
      </tp>
      <tp t="e">
        <v>#N/A</v>
        <stp/>
        <stp>##V3_BDHV12</stp>
        <stp>USSN0320 CMPN Curncy</stp>
        <stp>PX_LAST</stp>
        <stp>4/15/2019</stp>
        <stp>4/15/2019</stp>
        <stp>[Basic Pricing.xlsm]Vol_Surface!R50C13</stp>
        <tr r="M50" s="53"/>
      </tp>
      <tp t="e">
        <v>#N/A</v>
        <stp/>
        <stp>##V3_BDHV12</stp>
        <stp>USSN0310 CMPN Curncy</stp>
        <stp>PX_LAST</stp>
        <stp>4/15/2019</stp>
        <stp>4/15/2019</stp>
        <stp>[Basic Pricing.xlsm]Vol_Surface!R50C11</stp>
        <tr r="K50" s="53"/>
      </tp>
      <tp t="e">
        <v>#N/A</v>
        <stp/>
        <stp>##V3_BDHV12</stp>
        <stp>USSN0315 CMPN Curncy</stp>
        <stp>PX_LAST</stp>
        <stp>4/15/2019</stp>
        <stp>4/15/2019</stp>
        <stp>[Basic Pricing.xlsm]Vol_Surface!R50C12</stp>
        <tr r="L50" s="53"/>
      </tp>
      <tp t="e">
        <v>#N/A</v>
        <stp/>
        <stp>##V3_BDHV12</stp>
        <stp>USSN0225 CMPN Curncy</stp>
        <stp>PX_LAST</stp>
        <stp>4/15/2019</stp>
        <stp>4/15/2019</stp>
        <stp>[Basic Pricing.xlsm]Vol_Surface!R49C14</stp>
        <tr r="N49" s="53"/>
      </tp>
      <tp t="e">
        <v>#N/A</v>
        <stp/>
        <stp>##V3_BDHV12</stp>
        <stp>USSN0230 CMPN Curncy</stp>
        <stp>PX_LAST</stp>
        <stp>4/15/2019</stp>
        <stp>4/15/2019</stp>
        <stp>[Basic Pricing.xlsm]Vol_Surface!R49C15</stp>
        <tr r="O49" s="53"/>
      </tp>
      <tp t="e">
        <v>#N/A</v>
        <stp/>
        <stp>##V3_BDHV12</stp>
        <stp>USSN0210 CMPN Curncy</stp>
        <stp>PX_LAST</stp>
        <stp>4/15/2019</stp>
        <stp>4/15/2019</stp>
        <stp>[Basic Pricing.xlsm]Vol_Surface!R49C11</stp>
        <tr r="K49" s="53"/>
      </tp>
      <tp t="e">
        <v>#N/A</v>
        <stp/>
        <stp>##V3_BDHV12</stp>
        <stp>USSN0220 CMPN Curncy</stp>
        <stp>PX_LAST</stp>
        <stp>4/15/2019</stp>
        <stp>4/15/2019</stp>
        <stp>[Basic Pricing.xlsm]Vol_Surface!R49C13</stp>
        <tr r="M49" s="53"/>
      </tp>
      <tp t="e">
        <v>#N/A</v>
        <stp/>
        <stp>##V3_BDHV12</stp>
        <stp>USSN0215 CMPN Curncy</stp>
        <stp>PX_LAST</stp>
        <stp>4/15/2019</stp>
        <stp>4/15/2019</stp>
        <stp>[Basic Pricing.xlsm]Vol_Surface!R49C12</stp>
        <tr r="L49" s="53"/>
      </tp>
      <tp t="e">
        <v>#N/A</v>
        <stp/>
        <stp>##V3_BDPV12</stp>
        <stp>SFSW7 Index</stp>
        <stp>PX_LAST</stp>
        <stp>[Basic Pricing.xlsm]FX_Curve_Live!R111C6</stp>
        <tr r="F111" s="42"/>
      </tp>
      <tp t="e">
        <v>#N/A</v>
        <stp/>
        <stp>##V3_BDPV12</stp>
        <stp>CDSW4 Index</stp>
        <stp>PX_LAST</stp>
        <stp>[Basic Pricing.xlsm]FX_Curve_Live!R133C6</stp>
        <tr r="F133" s="42"/>
      </tp>
      <tp t="e">
        <v>#N/A</v>
        <stp/>
        <stp>##V3_BDHV12</stp>
        <stp>USSW6 CMPN Curncy</stp>
        <stp>LAST_PRICE</stp>
        <stp>4/15/2019</stp>
        <stp>4/15/2019</stp>
        <stp>[Basic Pricing.xlsm]Rate_History!R10C20</stp>
        <tr r="T10" s="49"/>
      </tp>
      <tp t="e">
        <v>#N/A</v>
        <stp/>
        <stp>##V3_BDHV12</stp>
        <stp>USSW7 CMPN Curncy</stp>
        <stp>LAST_PRICE</stp>
        <stp>4/15/2019</stp>
        <stp>4/15/2019</stp>
        <stp>[Basic Pricing.xlsm]Rate_History!R11C20</stp>
        <tr r="T11" s="49"/>
      </tp>
      <tp t="e">
        <v>#N/A</v>
        <stp/>
        <stp>##V3_BDHV12</stp>
        <stp>USSW8 CMPN Curncy</stp>
        <stp>LAST_PRICE</stp>
        <stp>4/15/2019</stp>
        <stp>4/15/2019</stp>
        <stp>[Basic Pricing.xlsm]Rate_History!R12C20</stp>
        <tr r="T12" s="49"/>
      </tp>
      <tp t="e">
        <v>#N/A</v>
        <stp/>
        <stp>##V3_BDHV12</stp>
        <stp>USSW9 CMPN Curncy</stp>
        <stp>LAST_PRICE</stp>
        <stp>4/15/2019</stp>
        <stp>4/15/2019</stp>
        <stp>[Basic Pricing.xlsm]Rate_History!R13C20</stp>
        <tr r="T13" s="49"/>
      </tp>
      <tp t="e">
        <v>#N/A</v>
        <stp/>
        <stp>##V3_BDPV12</stp>
        <stp>EUBS8 Index</stp>
        <stp>PX_LAST</stp>
        <stp>[Basic Pricing.xlsm]FX_Curve_History!R37C13</stp>
        <tr r="M37" s="50"/>
      </tp>
      <tp t="e">
        <v>#N/A</v>
        <stp/>
        <stp>##V3_BDPV12</stp>
        <stp>JYBS7 Index</stp>
        <stp>PX_LAST</stp>
        <stp>[Basic Pricing.xlsm]FX_Curve_History!R61C13</stp>
        <tr r="M61" s="50"/>
      </tp>
      <tp t="e">
        <v>#N/A</v>
        <stp/>
        <stp>##V3_BDPV12</stp>
        <stp>CDSW20 Index</stp>
        <stp>PX_LAST</stp>
        <stp>[Basic Pricing.xlsm]Rate_Live!R142C6</stp>
        <tr r="F142" s="39"/>
      </tp>
      <tp t="e">
        <v>#N/A</v>
        <stp/>
        <stp>##V3_BDPV12</stp>
        <stp>SFSW30 Index</stp>
        <stp>PX_LAST</stp>
        <stp>[Basic Pricing.xlsm]Rate_Live!R122C6</stp>
        <tr r="F122" s="39"/>
      </tp>
      <tp t="e">
        <v>#N/A</v>
        <stp/>
        <stp>##V3_BDPV12</stp>
        <stp>HASWDI10Y Index</stp>
        <stp>PX_LAST</stp>
        <stp>[Basic Pricing.xlsm]Rate_Live!R165C6</stp>
        <tr r="F165" s="39"/>
      </tp>
      <tp t="e">
        <v>#N/A</v>
        <stp/>
        <stp>##V3_BDHV12</stp>
        <stp>USSN1030 CMPN Curncy</stp>
        <stp>PX_LAST</stp>
        <stp>4/15/2019</stp>
        <stp>4/15/2019</stp>
        <stp>[Basic Pricing.xlsm]Vol_Surface!R54C15</stp>
        <tr r="O54" s="53"/>
      </tp>
      <tp t="e">
        <v>#N/A</v>
        <stp/>
        <stp>##V3_BDHV12</stp>
        <stp>USSN1020 CMPN Curncy</stp>
        <stp>PX_LAST</stp>
        <stp>4/15/2019</stp>
        <stp>4/15/2019</stp>
        <stp>[Basic Pricing.xlsm]Vol_Surface!R54C13</stp>
        <tr r="M54" s="53"/>
      </tp>
      <tp t="e">
        <v>#N/A</v>
        <stp/>
        <stp>##V3_BDHV12</stp>
        <stp>USSN1010 CMPN Curncy</stp>
        <stp>PX_LAST</stp>
        <stp>4/15/2019</stp>
        <stp>4/15/2019</stp>
        <stp>[Basic Pricing.xlsm]Vol_Surface!R54C11</stp>
        <tr r="K54" s="53"/>
      </tp>
      <tp t="e">
        <v>#N/A</v>
        <stp/>
        <stp>##V3_BDHV12</stp>
        <stp>CLSWIB3 Index</stp>
        <stp>PX_LAST</stp>
        <stp>4/15/2019</stp>
        <stp>4/15/2019</stp>
        <stp>[Basic Pricing.xlsm]FX_Curve_History!R182C6</stp>
        <tr r="F182" s="50"/>
      </tp>
      <tp t="e">
        <v>#N/A</v>
        <stp/>
        <stp>##V3_BDHV12</stp>
        <stp>CLSWIB5 Index</stp>
        <stp>PX_LAST</stp>
        <stp>4/15/2019</stp>
        <stp>4/15/2019</stp>
        <stp>[Basic Pricing.xlsm]FX_Curve_History!R184C6</stp>
        <tr r="F184" s="50"/>
      </tp>
      <tp t="e">
        <v>#N/A</v>
        <stp/>
        <stp>##V3_BDHV12</stp>
        <stp>CLSWIB7 Index</stp>
        <stp>PX_LAST</stp>
        <stp>4/15/2019</stp>
        <stp>4/15/2019</stp>
        <stp>[Basic Pricing.xlsm]FX_Curve_History!R186C6</stp>
        <tr r="F186" s="50"/>
      </tp>
      <tp t="e">
        <v>#N/A</v>
        <stp/>
        <stp>##V3_BDHV12</stp>
        <stp>CLSWIB9 Index</stp>
        <stp>PX_LAST</stp>
        <stp>4/15/2019</stp>
        <stp>4/15/2019</stp>
        <stp>[Basic Pricing.xlsm]FX_Curve_History!R188C6</stp>
        <tr r="F188" s="50"/>
      </tp>
      <tp t="e">
        <v>#N/A</v>
        <stp/>
        <stp>##V3_BDPV12</stp>
        <stp>SFSW6 Index</stp>
        <stp>PX_LAST</stp>
        <stp>[Basic Pricing.xlsm]FX_Curve_Live!R110C6</stp>
        <tr r="F110" s="42"/>
      </tp>
      <tp t="e">
        <v>#N/A</v>
        <stp/>
        <stp>##V3_BDPV12</stp>
        <stp>CDSW3 Index</stp>
        <stp>PX_LAST</stp>
        <stp>[Basic Pricing.xlsm]FX_Curve_Live!R132C6</stp>
        <tr r="F132" s="42"/>
      </tp>
      <tp t="e">
        <v>#N/A</v>
        <stp/>
        <stp>##V3_BDHV12</stp>
        <stp>CLSWIB12 Index</stp>
        <stp>PX_LAST</stp>
        <stp>4/15/2019</stp>
        <stp>4/15/2019</stp>
        <stp>[Basic Pricing.xlsm]FX_Curve_History!R191C6</stp>
        <tr r="F191" s="50"/>
      </tp>
      <tp t="e">
        <v>#N/A</v>
        <stp/>
        <stp>##V3_BDPV12</stp>
        <stp>EUBS9 Index</stp>
        <stp>PX_LAST</stp>
        <stp>[Basic Pricing.xlsm]FX_Curve_History!R38C13</stp>
        <tr r="M38" s="50"/>
      </tp>
      <tp t="e">
        <v>#N/A</v>
        <stp/>
        <stp>##V3_BDPV12</stp>
        <stp>JYBS6 Index</stp>
        <stp>PX_LAST</stp>
        <stp>[Basic Pricing.xlsm]FX_Curve_History!R60C13</stp>
        <tr r="M60" s="5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Pricer!$J$3</c:f>
              <c:strCache>
                <c:ptCount val="1"/>
                <c:pt idx="0">
                  <c:v>USD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Pricer!$I$4:$I$16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 formatCode="#,##0">
                  <c:v>5</c:v>
                </c:pt>
                <c:pt idx="4" formatCode="#,##0_);\(#,##0\)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</c:numCache>
            </c:numRef>
          </c:cat>
          <c:val>
            <c:numRef>
              <c:f>Pricer!$J$4:$J$16</c:f>
              <c:numCache>
                <c:formatCode>#,##0.00</c:formatCode>
                <c:ptCount val="13"/>
                <c:pt idx="0">
                  <c:v>2.4436</c:v>
                </c:pt>
                <c:pt idx="1">
                  <c:v>2.3656999999999999</c:v>
                </c:pt>
                <c:pt idx="2">
                  <c:v>2.3397999999999999</c:v>
                </c:pt>
                <c:pt idx="3">
                  <c:v>2.3441999999999998</c:v>
                </c:pt>
                <c:pt idx="4">
                  <c:v>2.3664000000000001</c:v>
                </c:pt>
                <c:pt idx="5">
                  <c:v>2.3929999999999998</c:v>
                </c:pt>
                <c:pt idx="6">
                  <c:v>2.4224999999999999</c:v>
                </c:pt>
                <c:pt idx="7">
                  <c:v>2.4550000000000001</c:v>
                </c:pt>
                <c:pt idx="8">
                  <c:v>2.4864999999999999</c:v>
                </c:pt>
                <c:pt idx="9">
                  <c:v>2.6067999999999998</c:v>
                </c:pt>
                <c:pt idx="10">
                  <c:v>2.66</c:v>
                </c:pt>
                <c:pt idx="11">
                  <c:v>2.6778</c:v>
                </c:pt>
                <c:pt idx="12">
                  <c:v>2.6842000000000001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52-4F11-B493-E6DBAEC8F3F5}"/>
            </c:ext>
          </c:extLst>
        </c:ser>
        <c:ser>
          <c:idx val="2"/>
          <c:order val="1"/>
          <c:tx>
            <c:strRef>
              <c:f>Pricer!$K$3</c:f>
              <c:strCache>
                <c:ptCount val="1"/>
                <c:pt idx="0">
                  <c:v>EUR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Pricer!$I$4:$I$16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 formatCode="#,##0">
                  <c:v>5</c:v>
                </c:pt>
                <c:pt idx="4" formatCode="#,##0_);\(#,##0\)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</c:numCache>
            </c:numRef>
          </c:cat>
          <c:val>
            <c:numRef>
              <c:f>Pricer!$K$4:$K$16</c:f>
              <c:numCache>
                <c:formatCode>#,##0.00</c:formatCode>
                <c:ptCount val="13"/>
                <c:pt idx="0">
                  <c:v>-0.21279999999999999</c:v>
                </c:pt>
                <c:pt idx="1">
                  <c:v>-0.1545</c:v>
                </c:pt>
                <c:pt idx="2">
                  <c:v>-7.5800000000000006E-2</c:v>
                </c:pt>
                <c:pt idx="3">
                  <c:v>1.2999999999999999E-2</c:v>
                </c:pt>
                <c:pt idx="4">
                  <c:v>0.1082</c:v>
                </c:pt>
                <c:pt idx="5">
                  <c:v>0.20749999999999999</c:v>
                </c:pt>
                <c:pt idx="6">
                  <c:v>0.308</c:v>
                </c:pt>
                <c:pt idx="7">
                  <c:v>0.40600000000000003</c:v>
                </c:pt>
                <c:pt idx="8">
                  <c:v>0.49769999999999998</c:v>
                </c:pt>
                <c:pt idx="9">
                  <c:v>0.84430000000000005</c:v>
                </c:pt>
                <c:pt idx="10">
                  <c:v>1.0161</c:v>
                </c:pt>
                <c:pt idx="11">
                  <c:v>1.0777000000000001</c:v>
                </c:pt>
                <c:pt idx="12">
                  <c:v>1.0972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52-4F11-B493-E6DBAEC8F3F5}"/>
            </c:ext>
          </c:extLst>
        </c:ser>
        <c:ser>
          <c:idx val="3"/>
          <c:order val="2"/>
          <c:tx>
            <c:strRef>
              <c:f>Pricer!$L$3</c:f>
              <c:strCache>
                <c:ptCount val="1"/>
                <c:pt idx="0">
                  <c:v>JPY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Pricer!$I$4:$I$16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 formatCode="#,##0">
                  <c:v>5</c:v>
                </c:pt>
                <c:pt idx="4" formatCode="#,##0_);\(#,##0\)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</c:numCache>
            </c:numRef>
          </c:cat>
          <c:val>
            <c:numRef>
              <c:f>Pricer!$L$4:$L$16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52-4F11-B493-E6DBAEC8F3F5}"/>
            </c:ext>
          </c:extLst>
        </c:ser>
        <c:ser>
          <c:idx val="4"/>
          <c:order val="3"/>
          <c:tx>
            <c:strRef>
              <c:f>Pricer!$M$3</c:f>
              <c:strCache>
                <c:ptCount val="1"/>
                <c:pt idx="0">
                  <c:v>GBP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Pricer!$I$4:$I$16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 formatCode="#,##0">
                  <c:v>5</c:v>
                </c:pt>
                <c:pt idx="4" formatCode="#,##0_);\(#,##0\)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15</c:v>
                </c:pt>
                <c:pt idx="10">
                  <c:v>20</c:v>
                </c:pt>
                <c:pt idx="11">
                  <c:v>25</c:v>
                </c:pt>
                <c:pt idx="12">
                  <c:v>30</c:v>
                </c:pt>
              </c:numCache>
            </c:numRef>
          </c:cat>
          <c:val>
            <c:numRef>
              <c:f>Pricer!$M$4:$M$16</c:f>
              <c:numCache>
                <c:formatCode>#,##0.00</c:formatCode>
                <c:ptCount val="13"/>
                <c:pt idx="0">
                  <c:v>1.0155000000000001</c:v>
                </c:pt>
                <c:pt idx="1">
                  <c:v>1.0782499999999999</c:v>
                </c:pt>
                <c:pt idx="2">
                  <c:v>1.1332500000000001</c:v>
                </c:pt>
                <c:pt idx="3">
                  <c:v>1.179</c:v>
                </c:pt>
                <c:pt idx="4">
                  <c:v>1.218</c:v>
                </c:pt>
                <c:pt idx="5">
                  <c:v>1.2525500000000001</c:v>
                </c:pt>
                <c:pt idx="6">
                  <c:v>1.2857499999999999</c:v>
                </c:pt>
                <c:pt idx="7">
                  <c:v>1.3167500000000001</c:v>
                </c:pt>
                <c:pt idx="8">
                  <c:v>1.345</c:v>
                </c:pt>
                <c:pt idx="9">
                  <c:v>1.4428099999999999</c:v>
                </c:pt>
                <c:pt idx="10">
                  <c:v>1.4803999999999999</c:v>
                </c:pt>
                <c:pt idx="11">
                  <c:v>1.4858</c:v>
                </c:pt>
                <c:pt idx="12">
                  <c:v>1.4809000000000001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52-4F11-B493-E6DBAEC8F3F5}"/>
            </c:ext>
          </c:extLst>
        </c:ser>
        <c:ser>
          <c:idx val="0"/>
          <c:order val="4"/>
          <c:tx>
            <c:strRef>
              <c:f>Pricer!$N$3</c:f>
              <c:strCache>
                <c:ptCount val="1"/>
                <c:pt idx="0">
                  <c:v>CHF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Pricer!$N$4:$N$16</c:f>
              <c:numCache>
                <c:formatCode>#,##0.00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F52-4F11-B493-E6DBAEC8F3F5}"/>
            </c:ext>
          </c:extLst>
        </c:ser>
        <c:ser>
          <c:idx val="5"/>
          <c:order val="5"/>
          <c:tx>
            <c:strRef>
              <c:f>Pricer!$O$3</c:f>
              <c:strCache>
                <c:ptCount val="1"/>
                <c:pt idx="0">
                  <c:v>CAD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Pricer!$O$4:$O$16</c:f>
              <c:numCache>
                <c:formatCode>#,##0.00</c:formatCode>
                <c:ptCount val="13"/>
                <c:pt idx="0">
                  <c:v>1.9704999999999999</c:v>
                </c:pt>
                <c:pt idx="1">
                  <c:v>1.9544999999999999</c:v>
                </c:pt>
                <c:pt idx="2">
                  <c:v>1.9575</c:v>
                </c:pt>
                <c:pt idx="3">
                  <c:v>1.9704999999999999</c:v>
                </c:pt>
                <c:pt idx="4">
                  <c:v>2.0028000000000001</c:v>
                </c:pt>
                <c:pt idx="5">
                  <c:v>2.0451000000000001</c:v>
                </c:pt>
                <c:pt idx="6">
                  <c:v>2.0899000000000001</c:v>
                </c:pt>
                <c:pt idx="7">
                  <c:v>2.1347</c:v>
                </c:pt>
                <c:pt idx="8">
                  <c:v>2.1720000000000002</c:v>
                </c:pt>
                <c:pt idx="9">
                  <c:v>2.3679999999999999</c:v>
                </c:pt>
                <c:pt idx="10">
                  <c:v>2.4700000000000002</c:v>
                </c:pt>
                <c:pt idx="11">
                  <c:v>2.4777</c:v>
                </c:pt>
                <c:pt idx="12">
                  <c:v>2.4729999999999999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F52-4F11-B493-E6DBAEC8F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2346528"/>
        <c:axId val="382346856"/>
      </c:lineChart>
      <c:catAx>
        <c:axId val="38234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46856"/>
        <c:crosses val="autoZero"/>
        <c:auto val="1"/>
        <c:lblAlgn val="ctr"/>
        <c:lblOffset val="100"/>
        <c:noMultiLvlLbl val="0"/>
      </c:catAx>
      <c:valAx>
        <c:axId val="382346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4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0</xdr:rowOff>
    </xdr:from>
    <xdr:to>
      <xdr:col>2</xdr:col>
      <xdr:colOff>533400</xdr:colOff>
      <xdr:row>0</xdr:row>
      <xdr:rowOff>363278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2700" y="0"/>
          <a:ext cx="381000" cy="3632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8</xdr:row>
          <xdr:rowOff>190500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8</xdr:row>
          <xdr:rowOff>190500</xdr:rowOff>
        </xdr:from>
        <xdr:to>
          <xdr:col>7</xdr:col>
          <xdr:colOff>180975</xdr:colOff>
          <xdr:row>10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23</xdr:row>
          <xdr:rowOff>190500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24</xdr:row>
          <xdr:rowOff>0</xdr:rowOff>
        </xdr:from>
        <xdr:to>
          <xdr:col>7</xdr:col>
          <xdr:colOff>180975</xdr:colOff>
          <xdr:row>25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38</xdr:row>
          <xdr:rowOff>190500</xdr:rowOff>
        </xdr:from>
        <xdr:to>
          <xdr:col>8</xdr:col>
          <xdr:colOff>0</xdr:colOff>
          <xdr:row>40</xdr:row>
          <xdr:rowOff>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39</xdr:row>
          <xdr:rowOff>0</xdr:rowOff>
        </xdr:from>
        <xdr:to>
          <xdr:col>7</xdr:col>
          <xdr:colOff>180975</xdr:colOff>
          <xdr:row>40</xdr:row>
          <xdr:rowOff>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28575</xdr:colOff>
      <xdr:row>16</xdr:row>
      <xdr:rowOff>33337</xdr:rowOff>
    </xdr:from>
    <xdr:to>
      <xdr:col>14</xdr:col>
      <xdr:colOff>647700</xdr:colOff>
      <xdr:row>31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314325</xdr:colOff>
      <xdr:row>0</xdr:row>
      <xdr:rowOff>0</xdr:rowOff>
    </xdr:from>
    <xdr:to>
      <xdr:col>8</xdr:col>
      <xdr:colOff>571500</xdr:colOff>
      <xdr:row>0</xdr:row>
      <xdr:rowOff>363278</xdr:rowOff>
    </xdr:to>
    <xdr:pic>
      <xdr:nvPicPr>
        <xdr:cNvPr id="10" name="Picture 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15525" y="0"/>
          <a:ext cx="257175" cy="3632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322730</xdr:colOff>
      <xdr:row>0</xdr:row>
      <xdr:rowOff>0</xdr:rowOff>
    </xdr:from>
    <xdr:to>
      <xdr:col>10</xdr:col>
      <xdr:colOff>611854</xdr:colOff>
      <xdr:row>0</xdr:row>
      <xdr:rowOff>385482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00048" y="0"/>
          <a:ext cx="289124" cy="385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257175</xdr:rowOff>
        </xdr:from>
        <xdr:to>
          <xdr:col>4</xdr:col>
          <xdr:colOff>523875</xdr:colOff>
          <xdr:row>5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Get_DFs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4C105-1FBD-441A-9673-6DCEDF2F6984}">
  <sheetPr codeName="Sheet2">
    <tabColor rgb="FFFFC000"/>
    <pageSetUpPr fitToPage="1"/>
  </sheetPr>
  <dimension ref="A1:P56"/>
  <sheetViews>
    <sheetView showGridLines="0" tabSelected="1" zoomScaleNormal="100" workbookViewId="0">
      <selection activeCell="A2" sqref="A2:H2"/>
    </sheetView>
  </sheetViews>
  <sheetFormatPr defaultRowHeight="15" x14ac:dyDescent="0.25"/>
  <cols>
    <col min="1" max="8" width="18" customWidth="1"/>
    <col min="9" max="9" width="13.7109375" customWidth="1"/>
    <col min="10" max="10" width="11.140625" customWidth="1"/>
    <col min="11" max="11" width="9.7109375" customWidth="1"/>
    <col min="12" max="12" width="9.42578125" customWidth="1"/>
    <col min="13" max="13" width="8.5703125" customWidth="1"/>
    <col min="14" max="14" width="10.140625" customWidth="1"/>
    <col min="15" max="15" width="10.28515625" customWidth="1"/>
    <col min="16" max="16" width="11" customWidth="1"/>
    <col min="17" max="17" width="12.28515625" customWidth="1"/>
  </cols>
  <sheetData>
    <row r="1" spans="1:16" ht="32.25" customHeight="1" x14ac:dyDescent="0.25">
      <c r="A1" s="111" t="s">
        <v>720</v>
      </c>
      <c r="B1" s="111"/>
      <c r="C1" s="111"/>
      <c r="D1" s="111"/>
      <c r="E1" s="111"/>
      <c r="F1" s="111"/>
      <c r="G1" s="111"/>
      <c r="H1" s="111"/>
      <c r="I1" s="107" t="s">
        <v>720</v>
      </c>
      <c r="J1" s="108"/>
      <c r="K1" s="108"/>
      <c r="L1" s="108"/>
      <c r="M1" s="108"/>
      <c r="N1" s="108"/>
      <c r="O1" s="108"/>
      <c r="P1" s="88"/>
    </row>
    <row r="2" spans="1:16" ht="28.5" customHeight="1" x14ac:dyDescent="0.25">
      <c r="A2" s="112" t="s">
        <v>694</v>
      </c>
      <c r="B2" s="112"/>
      <c r="C2" s="112"/>
      <c r="D2" s="112"/>
      <c r="E2" s="112"/>
      <c r="F2" s="112"/>
      <c r="G2" s="112"/>
      <c r="H2" s="112"/>
      <c r="I2" s="105" t="s">
        <v>724</v>
      </c>
      <c r="J2" s="106"/>
      <c r="K2" s="106"/>
      <c r="L2" s="106"/>
      <c r="M2" s="106"/>
      <c r="N2" s="106"/>
      <c r="O2" s="106"/>
    </row>
    <row r="3" spans="1:16" ht="30.75" customHeight="1" x14ac:dyDescent="0.35">
      <c r="A3" s="113" t="s">
        <v>716</v>
      </c>
      <c r="B3" s="115"/>
      <c r="C3" s="44"/>
      <c r="D3" s="113" t="s">
        <v>717</v>
      </c>
      <c r="E3" s="114"/>
      <c r="F3" s="114"/>
      <c r="G3" s="115"/>
      <c r="H3" s="44"/>
      <c r="I3" s="90" t="s">
        <v>723</v>
      </c>
      <c r="J3" s="91" t="s">
        <v>12</v>
      </c>
      <c r="K3" s="91" t="s">
        <v>13</v>
      </c>
      <c r="L3" s="91" t="s">
        <v>19</v>
      </c>
      <c r="M3" s="91" t="s">
        <v>14</v>
      </c>
      <c r="N3" s="91" t="s">
        <v>198</v>
      </c>
      <c r="O3" s="92" t="s">
        <v>21</v>
      </c>
    </row>
    <row r="4" spans="1:16" ht="15.75" x14ac:dyDescent="0.25">
      <c r="A4" s="45" t="s">
        <v>719</v>
      </c>
      <c r="B4" s="46">
        <f ca="1">WORKDAY(TODAY(),-1)</f>
        <v>43570</v>
      </c>
      <c r="C4" s="47"/>
      <c r="D4" s="48" t="s">
        <v>688</v>
      </c>
      <c r="E4" s="49" t="str">
        <f ca="1">VLOOKUP(D4,FX_Live!$C$2:$E$16,3,0)</f>
        <v>#N/A Connection</v>
      </c>
      <c r="F4" s="48" t="s">
        <v>692</v>
      </c>
      <c r="G4" s="49" t="str">
        <f ca="1">VLOOKUP(F4,FX_Live!$C$2:$E$16,3,0)</f>
        <v>#N/A Connection</v>
      </c>
      <c r="H4" s="50"/>
      <c r="I4" s="84">
        <v>2</v>
      </c>
      <c r="J4" s="87">
        <f ca="1">Rate_History!F6</f>
        <v>2.4436</v>
      </c>
      <c r="K4" s="87">
        <f ca="1">Rate_History!F31</f>
        <v>-0.21279999999999999</v>
      </c>
      <c r="L4" s="87" t="str">
        <f ca="1">Rate_History!F56</f>
        <v>#N/A Connection</v>
      </c>
      <c r="M4" s="87">
        <f ca="1">Rate_History!F81</f>
        <v>1.0155000000000001</v>
      </c>
      <c r="N4" s="89" t="str">
        <f ca="1">Rate_History!F106</f>
        <v>#N/A Connection</v>
      </c>
      <c r="O4" s="89">
        <f ca="1">Rate_History!F131</f>
        <v>1.9704999999999999</v>
      </c>
    </row>
    <row r="5" spans="1:16" ht="15.75" x14ac:dyDescent="0.25">
      <c r="A5" s="51" t="s">
        <v>658</v>
      </c>
      <c r="B5" s="52" t="s">
        <v>649</v>
      </c>
      <c r="C5" s="50"/>
      <c r="D5" s="48" t="s">
        <v>689</v>
      </c>
      <c r="E5" s="49" t="str">
        <f ca="1">VLOOKUP(D5,FX_Live!$C$2:$E$16,3,0)</f>
        <v>#N/A Connection</v>
      </c>
      <c r="F5" s="53" t="s">
        <v>699</v>
      </c>
      <c r="G5" s="49" t="str">
        <f ca="1">VLOOKUP(F5,FX_Live!$C$2:$E$16,3,0)</f>
        <v>#N/A Connection</v>
      </c>
      <c r="H5" s="50"/>
      <c r="I5" s="84">
        <v>3</v>
      </c>
      <c r="J5" s="87">
        <f ca="1">Rate_History!F7</f>
        <v>2.3656999999999999</v>
      </c>
      <c r="K5" s="87">
        <f ca="1">Rate_History!F32</f>
        <v>-0.1545</v>
      </c>
      <c r="L5" s="87" t="str">
        <f ca="1">Rate_History!F57</f>
        <v>#N/A Connection</v>
      </c>
      <c r="M5" s="87">
        <f ca="1">Rate_History!F82</f>
        <v>1.0782499999999999</v>
      </c>
      <c r="N5" s="89" t="str">
        <f ca="1">Rate_History!F107</f>
        <v>#N/A Connection</v>
      </c>
      <c r="O5" s="89">
        <f ca="1">Rate_History!F132</f>
        <v>1.9544999999999999</v>
      </c>
    </row>
    <row r="6" spans="1:16" ht="15.75" x14ac:dyDescent="0.25">
      <c r="A6" s="51" t="s">
        <v>414</v>
      </c>
      <c r="B6" s="46">
        <f ca="1">WORKDAY(Today,0)</f>
        <v>43570</v>
      </c>
      <c r="C6" s="50"/>
      <c r="D6" s="48" t="s">
        <v>690</v>
      </c>
      <c r="E6" s="54" t="str">
        <f ca="1">VLOOKUP(D6,FX_Live!$C$2:$E$16,3,0)</f>
        <v>#N/A Connection</v>
      </c>
      <c r="F6" s="53" t="s">
        <v>700</v>
      </c>
      <c r="G6" s="54" t="str">
        <f ca="1">VLOOKUP(F6,FX_Live!$C$2:$E$16,3,0)</f>
        <v>#N/A Connection</v>
      </c>
      <c r="H6" s="55"/>
      <c r="I6" s="84">
        <v>4</v>
      </c>
      <c r="J6" s="87">
        <f ca="1">Rate_History!F8</f>
        <v>2.3397999999999999</v>
      </c>
      <c r="K6" s="87">
        <f ca="1">Rate_History!F33</f>
        <v>-7.5800000000000006E-2</v>
      </c>
      <c r="L6" s="87" t="str">
        <f ca="1">Rate_History!F58</f>
        <v>#N/A Connection</v>
      </c>
      <c r="M6" s="87">
        <f ca="1">Rate_History!F83</f>
        <v>1.1332500000000001</v>
      </c>
      <c r="N6" s="89" t="str">
        <f ca="1">Rate_History!F108</f>
        <v>#N/A Connection</v>
      </c>
      <c r="O6" s="89">
        <f ca="1">Rate_History!F133</f>
        <v>1.9575</v>
      </c>
    </row>
    <row r="7" spans="1:16" ht="15.75" x14ac:dyDescent="0.25">
      <c r="A7" s="51" t="s">
        <v>415</v>
      </c>
      <c r="B7" s="46">
        <f ca="1">WORKDAY(Today,0)</f>
        <v>43570</v>
      </c>
      <c r="C7" s="50"/>
      <c r="D7" s="48" t="s">
        <v>691</v>
      </c>
      <c r="E7" s="49" t="str">
        <f ca="1">VLOOKUP(D7,FX_Live!$C$2:$E$16,3,0)</f>
        <v>#N/A Connection</v>
      </c>
      <c r="F7" s="53" t="s">
        <v>701</v>
      </c>
      <c r="G7" s="49" t="str">
        <f ca="1">VLOOKUP(F7,FX_Live!$C$2:$E$16,3,0)</f>
        <v>#N/A Connection</v>
      </c>
      <c r="H7" s="50"/>
      <c r="I7" s="85">
        <v>5</v>
      </c>
      <c r="J7" s="87">
        <f ca="1">Rate_History!F9</f>
        <v>2.3441999999999998</v>
      </c>
      <c r="K7" s="87">
        <f ca="1">Rate_History!F34</f>
        <v>1.2999999999999999E-2</v>
      </c>
      <c r="L7" s="87" t="str">
        <f ca="1">Rate_History!F59</f>
        <v>#N/A Connection</v>
      </c>
      <c r="M7" s="87">
        <f ca="1">Rate_History!F84</f>
        <v>1.179</v>
      </c>
      <c r="N7" s="89" t="str">
        <f ca="1">Rate_History!F109</f>
        <v>#N/A Connection</v>
      </c>
      <c r="O7" s="89">
        <f ca="1">Rate_History!F134</f>
        <v>1.9704999999999999</v>
      </c>
    </row>
    <row r="8" spans="1:16" ht="15.75" x14ac:dyDescent="0.25">
      <c r="A8" s="51" t="s">
        <v>416</v>
      </c>
      <c r="B8" s="46">
        <f ca="1">WORKDAY(Today,0)</f>
        <v>43570</v>
      </c>
      <c r="C8" s="50"/>
      <c r="D8" s="48" t="s">
        <v>698</v>
      </c>
      <c r="E8" s="49" t="str">
        <f ca="1">VLOOKUP(D8,FX_Live!$C$2:$E$16,3,0)</f>
        <v>#N/A Connection</v>
      </c>
      <c r="F8" s="53" t="s">
        <v>702</v>
      </c>
      <c r="G8" s="49" t="str">
        <f ca="1">VLOOKUP(F8,FX_Live!$C$2:$E$16,3,0)</f>
        <v>#N/A Connection</v>
      </c>
      <c r="H8" s="56"/>
      <c r="I8" s="86">
        <v>6</v>
      </c>
      <c r="J8" s="87">
        <f ca="1">Rate_History!F10</f>
        <v>2.3664000000000001</v>
      </c>
      <c r="K8" s="87">
        <f ca="1">Rate_History!F35</f>
        <v>0.1082</v>
      </c>
      <c r="L8" s="87" t="str">
        <f ca="1">Rate_History!F60</f>
        <v>#N/A Connection</v>
      </c>
      <c r="M8" s="87">
        <f ca="1">Rate_History!F85</f>
        <v>1.218</v>
      </c>
      <c r="N8" s="89" t="str">
        <f ca="1">Rate_History!F110</f>
        <v>#N/A Connection</v>
      </c>
      <c r="O8" s="89">
        <f ca="1">Rate_History!F135</f>
        <v>2.0028000000000001</v>
      </c>
    </row>
    <row r="9" spans="1:16" ht="15.75" x14ac:dyDescent="0.25">
      <c r="A9" s="57"/>
      <c r="B9" s="58"/>
      <c r="C9" s="50"/>
      <c r="D9" s="50"/>
      <c r="E9" s="50"/>
      <c r="F9" s="50"/>
      <c r="G9" s="50"/>
      <c r="H9" s="50"/>
      <c r="I9" s="84">
        <v>7</v>
      </c>
      <c r="J9" s="87">
        <f ca="1">Rate_History!F11</f>
        <v>2.3929999999999998</v>
      </c>
      <c r="K9" s="87">
        <f ca="1">Rate_History!F36</f>
        <v>0.20749999999999999</v>
      </c>
      <c r="L9" s="87" t="str">
        <f ca="1">Rate_History!F61</f>
        <v>#N/A Connection</v>
      </c>
      <c r="M9" s="87">
        <f ca="1">Rate_History!F86</f>
        <v>1.2525500000000001</v>
      </c>
      <c r="N9" s="89" t="str">
        <f ca="1">Rate_History!F111</f>
        <v>#N/A Connection</v>
      </c>
      <c r="O9" s="89">
        <f ca="1">Rate_History!F136</f>
        <v>2.0451000000000001</v>
      </c>
    </row>
    <row r="10" spans="1:16" ht="26.25" customHeight="1" x14ac:dyDescent="0.25">
      <c r="A10" s="101" t="s">
        <v>677</v>
      </c>
      <c r="B10" s="102"/>
      <c r="C10" s="102"/>
      <c r="D10" s="102"/>
      <c r="E10" s="102"/>
      <c r="F10" s="102"/>
      <c r="G10" s="102"/>
      <c r="H10" s="102"/>
      <c r="I10" s="84">
        <v>8</v>
      </c>
      <c r="J10" s="87">
        <f ca="1">Rate_History!F12</f>
        <v>2.4224999999999999</v>
      </c>
      <c r="K10" s="87">
        <f ca="1">Rate_History!F37</f>
        <v>0.308</v>
      </c>
      <c r="L10" s="87" t="str">
        <f ca="1">Rate_History!F62</f>
        <v>#N/A Connection</v>
      </c>
      <c r="M10" s="87">
        <f ca="1">Rate_History!F87</f>
        <v>1.2857499999999999</v>
      </c>
      <c r="N10" s="89" t="str">
        <f ca="1">Rate_History!F112</f>
        <v>#N/A Connection</v>
      </c>
      <c r="O10" s="89">
        <f ca="1">Rate_History!F137</f>
        <v>2.0899000000000001</v>
      </c>
    </row>
    <row r="11" spans="1:16" ht="23.25" x14ac:dyDescent="0.25">
      <c r="A11" s="109" t="s">
        <v>718</v>
      </c>
      <c r="B11" s="104"/>
      <c r="C11" s="104" t="s">
        <v>664</v>
      </c>
      <c r="D11" s="110"/>
      <c r="E11" s="103" t="s">
        <v>667</v>
      </c>
      <c r="F11" s="104"/>
      <c r="G11" s="104"/>
      <c r="H11" s="104"/>
      <c r="I11" s="84">
        <v>9</v>
      </c>
      <c r="J11" s="87">
        <f ca="1">Rate_History!F13</f>
        <v>2.4550000000000001</v>
      </c>
      <c r="K11" s="87">
        <f ca="1">Rate_History!F38</f>
        <v>0.40600000000000003</v>
      </c>
      <c r="L11" s="87" t="str">
        <f ca="1">Rate_History!F63</f>
        <v>#N/A Connection</v>
      </c>
      <c r="M11" s="87">
        <f ca="1">Rate_History!F88</f>
        <v>1.3167500000000001</v>
      </c>
      <c r="N11" s="89" t="str">
        <f ca="1">Rate_History!F113</f>
        <v>#N/A Connection</v>
      </c>
      <c r="O11" s="89">
        <f ca="1">Rate_History!F138</f>
        <v>2.1347</v>
      </c>
    </row>
    <row r="12" spans="1:16" ht="15.75" x14ac:dyDescent="0.25">
      <c r="A12" s="45" t="s">
        <v>180</v>
      </c>
      <c r="B12" s="59"/>
      <c r="C12" s="45" t="s">
        <v>180</v>
      </c>
      <c r="D12" s="60"/>
      <c r="E12" s="61" t="s">
        <v>443</v>
      </c>
      <c r="F12" s="62">
        <v>43566</v>
      </c>
      <c r="G12" s="48" t="s">
        <v>678</v>
      </c>
      <c r="H12" s="63"/>
      <c r="I12" s="84">
        <v>10</v>
      </c>
      <c r="J12" s="87">
        <f ca="1">Rate_History!F14</f>
        <v>2.4864999999999999</v>
      </c>
      <c r="K12" s="87">
        <f ca="1">Rate_History!F39</f>
        <v>0.49769999999999998</v>
      </c>
      <c r="L12" s="87" t="str">
        <f ca="1">Rate_History!F64</f>
        <v>#N/A Connection</v>
      </c>
      <c r="M12" s="87">
        <f ca="1">Rate_History!F89</f>
        <v>1.345</v>
      </c>
      <c r="N12" s="89" t="str">
        <f ca="1">Rate_History!F114</f>
        <v>#N/A Connection</v>
      </c>
      <c r="O12" s="89">
        <f ca="1">Rate_History!F139</f>
        <v>2.1720000000000002</v>
      </c>
    </row>
    <row r="13" spans="1:16" ht="15.75" x14ac:dyDescent="0.25">
      <c r="A13" s="45" t="s">
        <v>657</v>
      </c>
      <c r="B13" s="64"/>
      <c r="C13" s="45" t="s">
        <v>657</v>
      </c>
      <c r="D13" s="64"/>
      <c r="E13" s="61" t="s">
        <v>668</v>
      </c>
      <c r="F13" s="63">
        <v>123</v>
      </c>
      <c r="G13" s="48" t="s">
        <v>684</v>
      </c>
      <c r="H13" s="63"/>
      <c r="I13" s="84">
        <v>15</v>
      </c>
      <c r="J13" s="87">
        <f ca="1">Rate_History!$F$19</f>
        <v>2.6067999999999998</v>
      </c>
      <c r="K13" s="87">
        <f ca="1">Rate_History!$F$44</f>
        <v>0.84430000000000005</v>
      </c>
      <c r="L13" s="87" t="str">
        <f ca="1">Rate_History!$F$69</f>
        <v>#N/A Connection</v>
      </c>
      <c r="M13" s="87">
        <f ca="1">Rate_History!$F$94</f>
        <v>1.4428099999999999</v>
      </c>
      <c r="N13" s="89" t="str">
        <f ca="1">Rate_History!$F$119</f>
        <v>#N/A Connection</v>
      </c>
      <c r="O13" s="89">
        <f ca="1">Rate_History!$F$141</f>
        <v>2.3679999999999999</v>
      </c>
    </row>
    <row r="14" spans="1:16" ht="15.75" x14ac:dyDescent="0.25">
      <c r="A14" s="45" t="s">
        <v>659</v>
      </c>
      <c r="B14" s="65"/>
      <c r="C14" s="45" t="s">
        <v>659</v>
      </c>
      <c r="D14" s="65"/>
      <c r="E14" s="66" t="s">
        <v>686</v>
      </c>
      <c r="F14" s="67"/>
      <c r="G14" s="48" t="s">
        <v>679</v>
      </c>
      <c r="H14" s="63"/>
      <c r="I14" s="84">
        <v>20</v>
      </c>
      <c r="J14" s="87">
        <f ca="1">Rate_History!$F$22</f>
        <v>2.66</v>
      </c>
      <c r="K14" s="87">
        <f ca="1">Rate_History!$F$47</f>
        <v>1.0161</v>
      </c>
      <c r="L14" s="87" t="str">
        <f ca="1">Rate_History!$F$72</f>
        <v>#N/A Connection</v>
      </c>
      <c r="M14" s="87">
        <f ca="1">Rate_History!$F$97</f>
        <v>1.4803999999999999</v>
      </c>
      <c r="N14" s="89" t="str">
        <f ca="1">Rate_History!$F$120</f>
        <v>#N/A Connection</v>
      </c>
      <c r="O14" s="89">
        <f ca="1">Rate_History!$F$142</f>
        <v>2.4700000000000002</v>
      </c>
    </row>
    <row r="15" spans="1:16" ht="15.75" x14ac:dyDescent="0.25">
      <c r="A15" s="45" t="s">
        <v>671</v>
      </c>
      <c r="B15" s="59"/>
      <c r="C15" s="45" t="s">
        <v>671</v>
      </c>
      <c r="D15" s="60"/>
      <c r="E15" s="61" t="s">
        <v>669</v>
      </c>
      <c r="F15" s="63"/>
      <c r="G15" s="48" t="s">
        <v>680</v>
      </c>
      <c r="H15" s="63"/>
      <c r="I15" s="84">
        <v>25</v>
      </c>
      <c r="J15" s="87">
        <f ca="1">Rate_History!$F$23</f>
        <v>2.6778</v>
      </c>
      <c r="K15" s="87">
        <f ca="1">Rate_History!$F$48</f>
        <v>1.0777000000000001</v>
      </c>
      <c r="L15" s="87" t="str">
        <f ca="1">Rate_History!$F$73</f>
        <v>#N/A Connection</v>
      </c>
      <c r="M15" s="87">
        <f ca="1">Rate_History!$F$98</f>
        <v>1.4858</v>
      </c>
      <c r="N15" s="89" t="str">
        <f ca="1">Rate_History!$F$121</f>
        <v>#N/A Connection</v>
      </c>
      <c r="O15" s="89">
        <f ca="1">Rate_History!$F$143</f>
        <v>2.4777</v>
      </c>
    </row>
    <row r="16" spans="1:16" ht="15.75" x14ac:dyDescent="0.25">
      <c r="A16" s="45" t="s">
        <v>666</v>
      </c>
      <c r="B16" s="68"/>
      <c r="C16" s="45" t="s">
        <v>666</v>
      </c>
      <c r="D16" s="60"/>
      <c r="E16" s="61" t="s">
        <v>687</v>
      </c>
      <c r="F16" s="69"/>
      <c r="G16" s="48" t="s">
        <v>681</v>
      </c>
      <c r="H16" s="63"/>
      <c r="I16" s="84">
        <v>30</v>
      </c>
      <c r="J16" s="87">
        <f ca="1">Rate_History!$F$24</f>
        <v>2.6842000000000001</v>
      </c>
      <c r="K16" s="87">
        <f ca="1">Rate_History!$F$49</f>
        <v>1.0972</v>
      </c>
      <c r="L16" s="87" t="str">
        <f ca="1">Rate_History!$F$74</f>
        <v>#N/A Connection</v>
      </c>
      <c r="M16" s="87">
        <f ca="1">Rate_History!$F$99</f>
        <v>1.4809000000000001</v>
      </c>
      <c r="N16" s="89" t="str">
        <f ca="1">Rate_History!$F$122</f>
        <v>#N/A Connection</v>
      </c>
      <c r="O16" s="89">
        <f ca="1">Rate_History!$F$144</f>
        <v>2.4729999999999999</v>
      </c>
    </row>
    <row r="17" spans="1:9" ht="15.75" x14ac:dyDescent="0.25">
      <c r="A17" s="45" t="s">
        <v>670</v>
      </c>
      <c r="B17" s="59"/>
      <c r="C17" s="45" t="s">
        <v>670</v>
      </c>
      <c r="D17" s="60"/>
      <c r="E17" s="61"/>
      <c r="F17" s="59"/>
      <c r="G17" s="48" t="s">
        <v>682</v>
      </c>
      <c r="H17" s="63"/>
      <c r="I17" s="83"/>
    </row>
    <row r="18" spans="1:9" ht="15.75" x14ac:dyDescent="0.25">
      <c r="A18" s="45" t="s">
        <v>660</v>
      </c>
      <c r="B18" s="59"/>
      <c r="C18" s="45" t="s">
        <v>660</v>
      </c>
      <c r="D18" s="60"/>
      <c r="E18" s="61"/>
      <c r="F18" s="59"/>
      <c r="G18" s="48" t="s">
        <v>683</v>
      </c>
      <c r="H18" s="63"/>
      <c r="I18" s="83"/>
    </row>
    <row r="19" spans="1:9" ht="16.5" thickBot="1" x14ac:dyDescent="0.3">
      <c r="A19" s="93" t="s">
        <v>672</v>
      </c>
      <c r="B19" s="94"/>
      <c r="C19" s="93" t="s">
        <v>672</v>
      </c>
      <c r="D19" s="95"/>
      <c r="E19" s="96"/>
      <c r="F19" s="94"/>
      <c r="G19" s="97" t="s">
        <v>685</v>
      </c>
      <c r="H19" s="98"/>
      <c r="I19" s="83"/>
    </row>
    <row r="20" spans="1:9" ht="15.75" thickTop="1" x14ac:dyDescent="0.25">
      <c r="A20" s="70"/>
      <c r="B20" s="70"/>
      <c r="C20" s="71"/>
      <c r="D20" s="70"/>
      <c r="E20" s="72"/>
      <c r="F20" s="70"/>
      <c r="G20" s="73"/>
      <c r="H20" s="74"/>
      <c r="I20" s="83"/>
    </row>
    <row r="21" spans="1:9" x14ac:dyDescent="0.25">
      <c r="A21" s="70"/>
      <c r="B21" s="70"/>
      <c r="C21" s="71"/>
      <c r="D21" s="70"/>
      <c r="E21" s="72"/>
      <c r="F21" s="70"/>
      <c r="G21" s="73"/>
      <c r="H21" s="74"/>
      <c r="I21" s="83"/>
    </row>
    <row r="22" spans="1:9" x14ac:dyDescent="0.25">
      <c r="A22" s="70"/>
      <c r="B22" s="70"/>
      <c r="C22" s="71"/>
      <c r="D22" s="70"/>
      <c r="E22" s="72"/>
      <c r="F22" s="70"/>
      <c r="G22" s="73"/>
      <c r="H22" s="74"/>
      <c r="I22" s="83"/>
    </row>
    <row r="23" spans="1:9" x14ac:dyDescent="0.25">
      <c r="A23" s="70"/>
      <c r="B23" s="70"/>
      <c r="C23" s="71"/>
      <c r="D23" s="70"/>
      <c r="E23" s="72"/>
      <c r="F23" s="70"/>
      <c r="G23" s="73"/>
      <c r="H23" s="74"/>
      <c r="I23" s="83"/>
    </row>
    <row r="24" spans="1:9" x14ac:dyDescent="0.25">
      <c r="A24" s="70"/>
      <c r="B24" s="70"/>
      <c r="C24" s="71"/>
      <c r="D24" s="70"/>
      <c r="E24" s="72"/>
      <c r="F24" s="70"/>
      <c r="G24" s="73"/>
      <c r="H24" s="74"/>
      <c r="I24" s="83"/>
    </row>
    <row r="25" spans="1:9" ht="26.25" x14ac:dyDescent="0.25">
      <c r="A25" s="101" t="s">
        <v>695</v>
      </c>
      <c r="B25" s="102"/>
      <c r="C25" s="102"/>
      <c r="D25" s="102"/>
      <c r="E25" s="102"/>
      <c r="F25" s="102"/>
      <c r="G25" s="102"/>
      <c r="H25" s="102"/>
      <c r="I25" s="83"/>
    </row>
    <row r="26" spans="1:9" ht="23.25" x14ac:dyDescent="0.25">
      <c r="A26" s="109" t="s">
        <v>718</v>
      </c>
      <c r="B26" s="104"/>
      <c r="C26" s="104" t="s">
        <v>664</v>
      </c>
      <c r="D26" s="110"/>
      <c r="E26" s="103" t="s">
        <v>667</v>
      </c>
      <c r="F26" s="104"/>
      <c r="G26" s="104"/>
      <c r="H26" s="104"/>
      <c r="I26" s="83"/>
    </row>
    <row r="27" spans="1:9" ht="15.75" x14ac:dyDescent="0.25">
      <c r="A27" s="45" t="s">
        <v>180</v>
      </c>
      <c r="B27" s="59"/>
      <c r="C27" s="45" t="s">
        <v>180</v>
      </c>
      <c r="D27" s="60"/>
      <c r="E27" s="75" t="s">
        <v>443</v>
      </c>
      <c r="F27" s="62"/>
      <c r="G27" s="80" t="s">
        <v>722</v>
      </c>
      <c r="H27" s="63"/>
      <c r="I27" s="83"/>
    </row>
    <row r="28" spans="1:9" ht="15.75" x14ac:dyDescent="0.25">
      <c r="A28" s="45" t="s">
        <v>657</v>
      </c>
      <c r="B28" s="64"/>
      <c r="C28" s="45" t="s">
        <v>657</v>
      </c>
      <c r="D28" s="64"/>
      <c r="E28" s="61"/>
      <c r="F28" s="76"/>
      <c r="G28" s="77"/>
      <c r="H28" s="64"/>
      <c r="I28" s="83"/>
    </row>
    <row r="29" spans="1:9" ht="15.75" x14ac:dyDescent="0.25">
      <c r="A29" s="45" t="s">
        <v>693</v>
      </c>
      <c r="B29" s="65"/>
      <c r="C29" s="45" t="s">
        <v>693</v>
      </c>
      <c r="D29" s="65"/>
      <c r="E29" s="66"/>
      <c r="F29" s="68"/>
      <c r="G29" s="48"/>
      <c r="H29" s="64"/>
      <c r="I29" s="83"/>
    </row>
    <row r="30" spans="1:9" ht="15.75" x14ac:dyDescent="0.25">
      <c r="A30" s="45"/>
      <c r="B30" s="65"/>
      <c r="C30" s="45"/>
      <c r="D30" s="65"/>
      <c r="E30" s="61"/>
      <c r="F30" s="64"/>
      <c r="G30" s="48"/>
      <c r="H30" s="64"/>
      <c r="I30" s="83"/>
    </row>
    <row r="31" spans="1:9" ht="15.75" x14ac:dyDescent="0.25">
      <c r="A31" s="45"/>
      <c r="B31" s="68"/>
      <c r="C31" s="45"/>
      <c r="D31" s="60"/>
      <c r="E31" s="61"/>
      <c r="F31" s="59"/>
      <c r="G31" s="48"/>
      <c r="H31" s="64"/>
      <c r="I31" s="83"/>
    </row>
    <row r="32" spans="1:9" ht="15.75" x14ac:dyDescent="0.25">
      <c r="A32" s="45"/>
      <c r="B32" s="59"/>
      <c r="C32" s="45"/>
      <c r="D32" s="60"/>
      <c r="E32" s="61"/>
      <c r="F32" s="59"/>
      <c r="G32" s="48"/>
      <c r="H32" s="64"/>
      <c r="I32" s="83"/>
    </row>
    <row r="33" spans="1:9" ht="15.75" x14ac:dyDescent="0.25">
      <c r="A33" s="45"/>
      <c r="B33" s="59"/>
      <c r="C33" s="45"/>
      <c r="D33" s="60"/>
      <c r="E33" s="61"/>
      <c r="F33" s="59"/>
      <c r="G33" s="48"/>
      <c r="H33" s="64"/>
      <c r="I33" s="83"/>
    </row>
    <row r="34" spans="1:9" ht="16.5" thickBot="1" x14ac:dyDescent="0.3">
      <c r="A34" s="93"/>
      <c r="B34" s="94"/>
      <c r="C34" s="93"/>
      <c r="D34" s="95"/>
      <c r="E34" s="96"/>
      <c r="F34" s="94"/>
      <c r="G34" s="97"/>
      <c r="H34" s="99"/>
      <c r="I34" s="83"/>
    </row>
    <row r="35" spans="1:9" ht="15.75" thickTop="1" x14ac:dyDescent="0.25">
      <c r="A35" s="70"/>
      <c r="B35" s="70"/>
      <c r="C35" s="71"/>
      <c r="D35" s="70"/>
      <c r="E35" s="72"/>
      <c r="F35" s="70"/>
      <c r="G35" s="73"/>
      <c r="H35" s="74"/>
      <c r="I35" s="83"/>
    </row>
    <row r="36" spans="1:9" x14ac:dyDescent="0.25">
      <c r="A36" s="70"/>
      <c r="B36" s="70"/>
      <c r="C36" s="71"/>
      <c r="D36" s="70"/>
      <c r="E36" s="72"/>
      <c r="F36" s="70"/>
      <c r="G36" s="73"/>
      <c r="H36" s="74"/>
      <c r="I36" s="83"/>
    </row>
    <row r="37" spans="1:9" x14ac:dyDescent="0.25">
      <c r="A37" s="70"/>
      <c r="B37" s="70"/>
      <c r="C37" s="71"/>
      <c r="D37" s="70"/>
      <c r="E37" s="72"/>
      <c r="F37" s="70"/>
      <c r="G37" s="73"/>
      <c r="H37" s="74"/>
      <c r="I37" s="83"/>
    </row>
    <row r="38" spans="1:9" x14ac:dyDescent="0.25">
      <c r="A38" s="70"/>
      <c r="B38" s="70"/>
      <c r="C38" s="71"/>
      <c r="D38" s="70"/>
      <c r="E38" s="72"/>
      <c r="F38" s="70"/>
      <c r="G38" s="73"/>
      <c r="H38" s="74"/>
      <c r="I38" s="83"/>
    </row>
    <row r="39" spans="1:9" x14ac:dyDescent="0.25">
      <c r="A39" s="70"/>
      <c r="B39" s="70"/>
      <c r="C39" s="71"/>
      <c r="D39" s="70"/>
      <c r="E39" s="72"/>
      <c r="F39" s="70"/>
      <c r="G39" s="73"/>
      <c r="H39" s="74"/>
      <c r="I39" s="83"/>
    </row>
    <row r="40" spans="1:9" ht="26.25" x14ac:dyDescent="0.25">
      <c r="A40" s="101" t="s">
        <v>696</v>
      </c>
      <c r="B40" s="102"/>
      <c r="C40" s="102"/>
      <c r="D40" s="102"/>
      <c r="E40" s="102"/>
      <c r="F40" s="102"/>
      <c r="G40" s="102"/>
      <c r="H40" s="102"/>
      <c r="I40" s="83"/>
    </row>
    <row r="41" spans="1:9" ht="23.25" x14ac:dyDescent="0.25">
      <c r="A41" s="109" t="s">
        <v>697</v>
      </c>
      <c r="B41" s="104"/>
      <c r="C41" s="104"/>
      <c r="D41" s="110"/>
      <c r="E41" s="103" t="s">
        <v>667</v>
      </c>
      <c r="F41" s="104"/>
      <c r="G41" s="104"/>
      <c r="H41" s="104"/>
      <c r="I41" s="83"/>
    </row>
    <row r="42" spans="1:9" ht="15.75" x14ac:dyDescent="0.25">
      <c r="A42" s="45" t="s">
        <v>703</v>
      </c>
      <c r="B42" s="59"/>
      <c r="C42" s="81" t="s">
        <v>721</v>
      </c>
      <c r="D42" s="60"/>
      <c r="E42" s="61" t="s">
        <v>443</v>
      </c>
      <c r="F42" s="78"/>
      <c r="G42" s="48" t="s">
        <v>708</v>
      </c>
      <c r="H42" s="64"/>
      <c r="I42" s="83"/>
    </row>
    <row r="43" spans="1:9" ht="15.75" x14ac:dyDescent="0.25">
      <c r="A43" s="45" t="s">
        <v>180</v>
      </c>
      <c r="B43" s="59"/>
      <c r="C43" s="45"/>
      <c r="D43" s="64"/>
      <c r="E43" s="61" t="s">
        <v>668</v>
      </c>
      <c r="F43" s="64"/>
      <c r="G43" s="48" t="s">
        <v>709</v>
      </c>
      <c r="H43" s="64"/>
      <c r="I43" s="83"/>
    </row>
    <row r="44" spans="1:9" ht="15.75" x14ac:dyDescent="0.25">
      <c r="A44" s="45" t="s">
        <v>657</v>
      </c>
      <c r="B44" s="64"/>
      <c r="C44" s="45"/>
      <c r="D44" s="65"/>
      <c r="E44" s="79"/>
      <c r="F44" s="65"/>
      <c r="G44" s="48" t="s">
        <v>710</v>
      </c>
      <c r="H44" s="64"/>
      <c r="I44" s="83"/>
    </row>
    <row r="45" spans="1:9" ht="15.75" x14ac:dyDescent="0.25">
      <c r="A45" s="45" t="s">
        <v>713</v>
      </c>
      <c r="B45" s="68"/>
      <c r="C45" s="45"/>
      <c r="D45" s="65"/>
      <c r="E45" s="61"/>
      <c r="F45" s="64"/>
      <c r="G45" s="48" t="s">
        <v>712</v>
      </c>
      <c r="H45" s="64"/>
      <c r="I45" s="82"/>
    </row>
    <row r="46" spans="1:9" ht="15.75" x14ac:dyDescent="0.25">
      <c r="A46" s="45" t="s">
        <v>714</v>
      </c>
      <c r="B46" s="65"/>
      <c r="C46" s="45"/>
      <c r="D46" s="60"/>
      <c r="E46" s="61"/>
      <c r="F46" s="65"/>
      <c r="G46" s="48" t="s">
        <v>711</v>
      </c>
      <c r="H46" s="64"/>
      <c r="I46" s="82"/>
    </row>
    <row r="47" spans="1:9" ht="15.75" x14ac:dyDescent="0.25">
      <c r="A47" s="45" t="s">
        <v>659</v>
      </c>
      <c r="B47" s="65"/>
      <c r="C47" s="45"/>
      <c r="D47" s="60"/>
      <c r="E47" s="61"/>
      <c r="F47" s="65"/>
      <c r="G47" s="48"/>
      <c r="H47" s="64"/>
      <c r="I47" s="82"/>
    </row>
    <row r="48" spans="1:9" ht="15.75" x14ac:dyDescent="0.25">
      <c r="A48" s="45" t="s">
        <v>715</v>
      </c>
      <c r="B48" s="65"/>
      <c r="C48" s="45"/>
      <c r="D48" s="60"/>
      <c r="E48" s="61"/>
      <c r="F48" s="65"/>
      <c r="G48" s="48"/>
      <c r="H48" s="64"/>
      <c r="I48" s="82"/>
    </row>
    <row r="49" spans="1:9" ht="16.5" thickBot="1" x14ac:dyDescent="0.3">
      <c r="A49" s="93" t="s">
        <v>670</v>
      </c>
      <c r="B49" s="94"/>
      <c r="C49" s="93"/>
      <c r="D49" s="95"/>
      <c r="E49" s="96"/>
      <c r="F49" s="100"/>
      <c r="G49" s="97"/>
      <c r="H49" s="99"/>
      <c r="I49" s="82"/>
    </row>
    <row r="50" spans="1:9" ht="15.75" thickTop="1" x14ac:dyDescent="0.25">
      <c r="F50" s="2"/>
      <c r="H50" s="2"/>
    </row>
    <row r="51" spans="1:9" x14ac:dyDescent="0.25">
      <c r="F51" s="2"/>
      <c r="H51" s="2"/>
    </row>
    <row r="52" spans="1:9" x14ac:dyDescent="0.25">
      <c r="F52" s="2"/>
      <c r="H52" s="2"/>
    </row>
    <row r="53" spans="1:9" x14ac:dyDescent="0.25">
      <c r="F53" s="2"/>
      <c r="H53" s="2"/>
    </row>
    <row r="54" spans="1:9" x14ac:dyDescent="0.25">
      <c r="H54" s="2"/>
    </row>
    <row r="55" spans="1:9" x14ac:dyDescent="0.25">
      <c r="H55" s="2"/>
    </row>
    <row r="56" spans="1:9" x14ac:dyDescent="0.25">
      <c r="H56" s="2"/>
    </row>
  </sheetData>
  <mergeCells count="17">
    <mergeCell ref="E41:H41"/>
    <mergeCell ref="A41:D41"/>
    <mergeCell ref="A1:H1"/>
    <mergeCell ref="A2:H2"/>
    <mergeCell ref="A25:H25"/>
    <mergeCell ref="A26:B26"/>
    <mergeCell ref="C26:D26"/>
    <mergeCell ref="E26:H26"/>
    <mergeCell ref="D3:G3"/>
    <mergeCell ref="A3:B3"/>
    <mergeCell ref="A11:B11"/>
    <mergeCell ref="C11:D11"/>
    <mergeCell ref="A10:H10"/>
    <mergeCell ref="E11:H11"/>
    <mergeCell ref="I2:O2"/>
    <mergeCell ref="I1:O1"/>
    <mergeCell ref="A40:H40"/>
  </mergeCells>
  <pageMargins left="0.7" right="0.7" top="0.75" bottom="0.75" header="0.3" footer="0.3"/>
  <pageSetup scale="46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Pricing_Swap">
                <anchor moveWithCells="1" sizeWithCells="1">
                  <from>
                    <xdr:col>7</xdr:col>
                    <xdr:colOff>190500</xdr:colOff>
                    <xdr:row>8</xdr:row>
                    <xdr:rowOff>190500</xdr:rowOff>
                  </from>
                  <to>
                    <xdr:col>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Clear_Swap">
                <anchor moveWithCells="1" sizeWithCells="1">
                  <from>
                    <xdr:col>6</xdr:col>
                    <xdr:colOff>209550</xdr:colOff>
                    <xdr:row>8</xdr:row>
                    <xdr:rowOff>190500</xdr:rowOff>
                  </from>
                  <to>
                    <xdr:col>7</xdr:col>
                    <xdr:colOff>180975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Pricing_FX">
                <anchor moveWithCells="1" sizeWithCells="1">
                  <from>
                    <xdr:col>7</xdr:col>
                    <xdr:colOff>190500</xdr:colOff>
                    <xdr:row>23</xdr:row>
                    <xdr:rowOff>190500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Clear_FX">
                <anchor moveWithCells="1" sizeWithCells="1">
                  <from>
                    <xdr:col>6</xdr:col>
                    <xdr:colOff>209550</xdr:colOff>
                    <xdr:row>24</xdr:row>
                    <xdr:rowOff>0</xdr:rowOff>
                  </from>
                  <to>
                    <xdr:col>7</xdr:col>
                    <xdr:colOff>180975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8" name="Button 10">
              <controlPr defaultSize="0" print="0" autoFill="0" autoPict="0" macro="[0]!Pricing_OPT">
                <anchor moveWithCells="1" sizeWithCells="1">
                  <from>
                    <xdr:col>7</xdr:col>
                    <xdr:colOff>190500</xdr:colOff>
                    <xdr:row>38</xdr:row>
                    <xdr:rowOff>190500</xdr:rowOff>
                  </from>
                  <to>
                    <xdr:col>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9" name="Button 11">
              <controlPr defaultSize="0" print="0" autoFill="0" autoPict="0" macro="[0]!Clear_OPT">
                <anchor moveWithCells="1" sizeWithCells="1">
                  <from>
                    <xdr:col>6</xdr:col>
                    <xdr:colOff>209550</xdr:colOff>
                    <xdr:row>39</xdr:row>
                    <xdr:rowOff>0</xdr:rowOff>
                  </from>
                  <to>
                    <xdr:col>7</xdr:col>
                    <xdr:colOff>180975</xdr:colOff>
                    <xdr:row>40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018EA3A-559A-4825-AECD-E9AF1814E9CD}">
          <x14:formula1>
            <xm:f>Settings!$A$2:$A$7</xm:f>
          </x14:formula1>
          <xm:sqref>B12 D12 B27 D27 B43</xm:sqref>
        </x14:dataValidation>
        <x14:dataValidation type="list" allowBlank="1" showInputMessage="1" showErrorMessage="1" xr:uid="{B1E6FEF2-099D-4FFF-868B-09239E747227}">
          <x14:formula1>
            <xm:f>Settings!$C$2:$C$4</xm:f>
          </x14:formula1>
          <xm:sqref>B18 D18</xm:sqref>
        </x14:dataValidation>
        <x14:dataValidation type="list" allowBlank="1" showInputMessage="1" showErrorMessage="1" xr:uid="{A5A95644-04A2-47F3-846C-878A3A5739A0}">
          <x14:formula1>
            <xm:f>Settings!$B$2:$B$4</xm:f>
          </x14:formula1>
          <xm:sqref>B17 D17 B49</xm:sqref>
        </x14:dataValidation>
        <x14:dataValidation type="list" allowBlank="1" showInputMessage="1" showErrorMessage="1" xr:uid="{53BA47F5-A0C0-4AC1-812B-9681EDC3ABC2}">
          <x14:formula1>
            <xm:f>Settings!$D$2:$D$4</xm:f>
          </x14:formula1>
          <xm:sqref>B19 D19 B34</xm:sqref>
        </x14:dataValidation>
        <x14:dataValidation type="list" allowBlank="1" showInputMessage="1" showErrorMessage="1" xr:uid="{3760FB21-927E-4233-893F-3086B899B2C0}">
          <x14:formula1>
            <xm:f>Settings!$E$2:$E$4</xm:f>
          </x14:formula1>
          <xm:sqref>B42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8E357-B140-4D73-BEA7-D3D70C82A6D2}">
  <sheetPr codeName="Sheet3">
    <tabColor rgb="FF92D050"/>
  </sheetPr>
  <dimension ref="A1:AF504"/>
  <sheetViews>
    <sheetView showGridLines="0" zoomScale="85" zoomScaleNormal="85" workbookViewId="0">
      <selection activeCell="I7" sqref="I7"/>
    </sheetView>
  </sheetViews>
  <sheetFormatPr defaultRowHeight="15" x14ac:dyDescent="0.25"/>
  <cols>
    <col min="1" max="1" width="8.85546875" customWidth="1"/>
    <col min="2" max="2" width="15.28515625" customWidth="1"/>
    <col min="3" max="3" width="10.140625" customWidth="1"/>
    <col min="4" max="4" width="8" customWidth="1"/>
    <col min="5" max="5" width="9.42578125" customWidth="1"/>
    <col min="6" max="6" width="11" customWidth="1"/>
    <col min="7" max="8" width="9.140625" customWidth="1"/>
    <col min="9" max="9" width="11.28515625" customWidth="1"/>
    <col min="10" max="10" width="9.140625" customWidth="1"/>
    <col min="11" max="11" width="10.28515625" customWidth="1"/>
    <col min="12" max="12" width="8" customWidth="1"/>
    <col min="13" max="13" width="8.7109375" customWidth="1"/>
    <col min="14" max="14" width="9.5703125" customWidth="1"/>
    <col min="15" max="15" width="9" customWidth="1"/>
    <col min="16" max="16" width="8" customWidth="1"/>
    <col min="17" max="17" width="9" customWidth="1"/>
    <col min="18" max="18" width="8" customWidth="1"/>
    <col min="19" max="19" width="9.5703125" customWidth="1"/>
    <col min="20" max="20" width="8" customWidth="1"/>
    <col min="21" max="21" width="10.140625" customWidth="1"/>
    <col min="22" max="22" width="8" customWidth="1"/>
    <col min="23" max="23" width="11.140625" customWidth="1"/>
    <col min="24" max="24" width="8" customWidth="1"/>
    <col min="25" max="25" width="9.28515625" customWidth="1"/>
    <col min="26" max="26" width="8" customWidth="1"/>
    <col min="27" max="27" width="9.28515625" customWidth="1"/>
    <col min="28" max="28" width="8" customWidth="1"/>
    <col min="29" max="29" width="9.28515625" customWidth="1"/>
    <col min="30" max="30" width="8" customWidth="1"/>
    <col min="31" max="31" width="9.28515625" customWidth="1"/>
    <col min="32" max="32" width="8.85546875" customWidth="1"/>
    <col min="33" max="34" width="8" customWidth="1"/>
  </cols>
  <sheetData>
    <row r="1" spans="1:32" ht="32.450000000000003" customHeight="1" x14ac:dyDescent="0.25">
      <c r="A1" s="117" t="s">
        <v>608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</row>
    <row r="2" spans="1:32" ht="28.5" x14ac:dyDescent="0.45">
      <c r="A2" s="118" t="s">
        <v>411</v>
      </c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118"/>
      <c r="AC2" s="118"/>
      <c r="AD2" s="118"/>
      <c r="AE2" s="118"/>
      <c r="AF2" s="118"/>
    </row>
    <row r="3" spans="1:32" ht="21" x14ac:dyDescent="0.35">
      <c r="A3" s="119" t="s">
        <v>441</v>
      </c>
      <c r="B3" s="119"/>
      <c r="C3" s="119"/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19"/>
      <c r="O3" s="119"/>
      <c r="P3" s="119"/>
      <c r="Q3" s="119"/>
      <c r="R3" s="119"/>
      <c r="S3" s="119"/>
      <c r="T3" s="119"/>
      <c r="U3" s="119"/>
      <c r="V3" s="119"/>
      <c r="W3" s="119"/>
      <c r="X3" s="119"/>
      <c r="Y3" s="119"/>
      <c r="Z3" s="119"/>
      <c r="AA3" s="119"/>
      <c r="AB3" s="119"/>
      <c r="AC3" s="119"/>
      <c r="AD3" s="119"/>
      <c r="AE3" s="119"/>
      <c r="AF3" s="119"/>
    </row>
    <row r="4" spans="1:32" ht="15.75" customHeight="1" x14ac:dyDescent="0.25">
      <c r="A4" s="121" t="s">
        <v>413</v>
      </c>
      <c r="B4" s="121"/>
      <c r="C4" s="121"/>
    </row>
    <row r="5" spans="1:32" x14ac:dyDescent="0.25">
      <c r="A5" s="120" t="s">
        <v>412</v>
      </c>
      <c r="B5" s="120"/>
      <c r="C5" s="22">
        <f ca="1">Pre_Date</f>
        <v>43570</v>
      </c>
    </row>
    <row r="6" spans="1:32" x14ac:dyDescent="0.25">
      <c r="A6" s="120" t="s">
        <v>609</v>
      </c>
      <c r="B6" s="120"/>
      <c r="C6" s="22" t="s">
        <v>610</v>
      </c>
    </row>
    <row r="7" spans="1:32" x14ac:dyDescent="0.25">
      <c r="A7" s="120" t="s">
        <v>607</v>
      </c>
      <c r="B7" s="120"/>
      <c r="C7" s="38">
        <v>12</v>
      </c>
    </row>
    <row r="8" spans="1:32" x14ac:dyDescent="0.25">
      <c r="A8" s="120" t="s">
        <v>611</v>
      </c>
      <c r="B8" s="120"/>
      <c r="C8" s="39">
        <v>0</v>
      </c>
    </row>
    <row r="9" spans="1:32" x14ac:dyDescent="0.25">
      <c r="A9" s="120"/>
      <c r="B9" s="120"/>
      <c r="C9" s="22"/>
    </row>
    <row r="10" spans="1:32" ht="21" x14ac:dyDescent="0.35">
      <c r="A10" s="116" t="s">
        <v>442</v>
      </c>
      <c r="B10" s="116"/>
      <c r="C10" s="116"/>
      <c r="D10" s="116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</row>
    <row r="11" spans="1:32" x14ac:dyDescent="0.25">
      <c r="A11" s="21" t="s">
        <v>443</v>
      </c>
      <c r="B11" s="21" t="s">
        <v>444</v>
      </c>
      <c r="C11" s="21" t="s">
        <v>443</v>
      </c>
      <c r="D11" s="21" t="s">
        <v>445</v>
      </c>
      <c r="E11" s="21" t="s">
        <v>443</v>
      </c>
      <c r="F11" s="21" t="s">
        <v>446</v>
      </c>
      <c r="G11" s="21" t="s">
        <v>443</v>
      </c>
      <c r="H11" s="21" t="s">
        <v>447</v>
      </c>
      <c r="I11" s="21" t="s">
        <v>443</v>
      </c>
      <c r="J11" s="21" t="s">
        <v>450</v>
      </c>
      <c r="K11" s="21" t="s">
        <v>443</v>
      </c>
      <c r="L11" s="21" t="s">
        <v>451</v>
      </c>
      <c r="M11" s="21" t="s">
        <v>443</v>
      </c>
      <c r="N11" s="21" t="s">
        <v>448</v>
      </c>
      <c r="O11" s="21" t="s">
        <v>443</v>
      </c>
      <c r="P11" s="21" t="s">
        <v>449</v>
      </c>
      <c r="Q11" s="21" t="s">
        <v>443</v>
      </c>
      <c r="R11" s="21" t="s">
        <v>452</v>
      </c>
      <c r="S11" s="21" t="s">
        <v>443</v>
      </c>
      <c r="T11" s="21" t="s">
        <v>453</v>
      </c>
      <c r="U11" s="21" t="s">
        <v>443</v>
      </c>
      <c r="V11" s="21" t="s">
        <v>454</v>
      </c>
      <c r="W11" s="21" t="s">
        <v>443</v>
      </c>
      <c r="X11" s="21" t="s">
        <v>455</v>
      </c>
      <c r="Y11" s="21" t="s">
        <v>443</v>
      </c>
      <c r="Z11" s="21" t="s">
        <v>456</v>
      </c>
      <c r="AA11" s="21" t="s">
        <v>443</v>
      </c>
      <c r="AB11" s="21" t="s">
        <v>457</v>
      </c>
      <c r="AC11" s="21" t="s">
        <v>443</v>
      </c>
      <c r="AD11" s="21" t="s">
        <v>458</v>
      </c>
      <c r="AE11" s="21" t="s">
        <v>443</v>
      </c>
      <c r="AF11" s="21" t="s">
        <v>459</v>
      </c>
    </row>
    <row r="12" spans="1:32" x14ac:dyDescent="0.25">
      <c r="A12" s="37">
        <v>43565</v>
      </c>
      <c r="B12" s="36">
        <v>1</v>
      </c>
      <c r="C12" s="37">
        <v>43565</v>
      </c>
      <c r="D12" s="36">
        <v>1</v>
      </c>
      <c r="E12" s="37">
        <v>43565</v>
      </c>
      <c r="F12" s="36">
        <v>1</v>
      </c>
      <c r="G12" s="37">
        <v>43565</v>
      </c>
      <c r="H12" s="36">
        <v>1</v>
      </c>
      <c r="I12" s="37">
        <v>43565</v>
      </c>
      <c r="J12" s="36">
        <v>1</v>
      </c>
      <c r="K12" s="37">
        <v>43565</v>
      </c>
      <c r="L12" s="36">
        <v>1</v>
      </c>
      <c r="M12" s="37">
        <v>43565</v>
      </c>
      <c r="N12" s="36">
        <v>1</v>
      </c>
      <c r="O12" s="37">
        <v>43565</v>
      </c>
      <c r="P12" s="36">
        <v>1</v>
      </c>
      <c r="Q12" s="37">
        <v>43565</v>
      </c>
      <c r="R12" s="36">
        <v>1</v>
      </c>
      <c r="S12" s="37">
        <v>43565</v>
      </c>
      <c r="T12" s="36">
        <v>1</v>
      </c>
      <c r="U12" s="37">
        <v>43565</v>
      </c>
      <c r="V12" s="36">
        <v>1</v>
      </c>
      <c r="W12" s="37">
        <v>43565</v>
      </c>
      <c r="X12" s="36">
        <v>1</v>
      </c>
      <c r="Y12" s="37">
        <v>43565</v>
      </c>
      <c r="Z12" s="36">
        <v>1</v>
      </c>
      <c r="AA12" s="37">
        <v>43565</v>
      </c>
      <c r="AB12" s="36">
        <v>1</v>
      </c>
      <c r="AC12" s="37">
        <v>43565</v>
      </c>
      <c r="AD12" s="36">
        <v>1</v>
      </c>
      <c r="AE12" s="37">
        <v>43565</v>
      </c>
      <c r="AF12" s="36">
        <v>1</v>
      </c>
    </row>
    <row r="13" spans="1:32" x14ac:dyDescent="0.25">
      <c r="A13" s="37">
        <v>43951</v>
      </c>
      <c r="B13" s="36">
        <v>0.97374612935692451</v>
      </c>
      <c r="C13" s="37">
        <v>43951</v>
      </c>
      <c r="D13" s="36">
        <v>0.97374612935692451</v>
      </c>
      <c r="E13" s="37">
        <v>43951</v>
      </c>
      <c r="F13" s="36">
        <v>1.003224199301969</v>
      </c>
      <c r="G13" s="37">
        <v>43951</v>
      </c>
      <c r="H13" s="36">
        <v>1.0046902827487623</v>
      </c>
      <c r="I13" s="37">
        <v>43951</v>
      </c>
      <c r="J13" s="36">
        <v>0.98272865455867708</v>
      </c>
      <c r="K13" s="37">
        <v>43951</v>
      </c>
      <c r="L13" s="36">
        <v>0.9841657105485937</v>
      </c>
      <c r="M13" s="37">
        <v>43951</v>
      </c>
      <c r="N13" s="36">
        <v>0.9322668738199944</v>
      </c>
      <c r="O13" s="37">
        <v>43951</v>
      </c>
      <c r="P13" s="36">
        <v>0.93119361792299993</v>
      </c>
      <c r="Q13" s="37">
        <v>43951</v>
      </c>
      <c r="R13" s="36">
        <v>0.99973878511706982</v>
      </c>
      <c r="S13" s="37">
        <v>43951</v>
      </c>
      <c r="T13" s="36">
        <v>1.0018918493388413</v>
      </c>
      <c r="U13" s="37">
        <v>43951</v>
      </c>
      <c r="V13" s="36">
        <v>0.99080419709547862</v>
      </c>
      <c r="W13" s="37">
        <v>43951</v>
      </c>
      <c r="X13" s="36">
        <v>0.99078727718076265</v>
      </c>
      <c r="Y13" s="37">
        <v>43951</v>
      </c>
      <c r="Z13" s="36">
        <v>1.0076458077463344</v>
      </c>
      <c r="AA13" s="37">
        <v>43951</v>
      </c>
      <c r="AB13" s="36">
        <v>1.008753203183304</v>
      </c>
      <c r="AC13" s="37">
        <v>43951</v>
      </c>
      <c r="AD13" s="36">
        <v>0.97900728239159296</v>
      </c>
      <c r="AE13" s="37">
        <v>43951</v>
      </c>
      <c r="AF13" s="36">
        <v>0.98049607181623499</v>
      </c>
    </row>
    <row r="14" spans="1:32" x14ac:dyDescent="0.25">
      <c r="A14" s="37">
        <v>44316</v>
      </c>
      <c r="B14" s="36">
        <v>0.95187051779877674</v>
      </c>
      <c r="C14" s="37">
        <v>44316</v>
      </c>
      <c r="D14" s="36">
        <v>0.95200738983483024</v>
      </c>
      <c r="E14" s="37">
        <v>44316</v>
      </c>
      <c r="F14" s="36">
        <v>1.0044627255980951</v>
      </c>
      <c r="G14" s="37">
        <v>44316</v>
      </c>
      <c r="H14" s="36">
        <v>1.0071315111710235</v>
      </c>
      <c r="I14" s="37">
        <v>44316</v>
      </c>
      <c r="J14" s="36">
        <v>0.97186625689161987</v>
      </c>
      <c r="K14" s="37">
        <v>44316</v>
      </c>
      <c r="L14" s="36">
        <v>0.97521866820066294</v>
      </c>
      <c r="M14" s="37">
        <v>44316</v>
      </c>
      <c r="N14" s="36">
        <v>0.86032322290845087</v>
      </c>
      <c r="O14" s="37">
        <v>44316</v>
      </c>
      <c r="P14" s="36">
        <v>0.86032322290845087</v>
      </c>
      <c r="Q14" s="37">
        <v>44316</v>
      </c>
      <c r="R14" s="36">
        <v>1.000640897916431</v>
      </c>
      <c r="S14" s="37">
        <v>44316</v>
      </c>
      <c r="T14" s="36">
        <v>1.0069334739522557</v>
      </c>
      <c r="U14" s="37">
        <v>44316</v>
      </c>
      <c r="V14" s="36">
        <v>0.97993355171522234</v>
      </c>
      <c r="W14" s="37">
        <v>44316</v>
      </c>
      <c r="X14" s="36">
        <v>0.97934233846130347</v>
      </c>
      <c r="Y14" s="37">
        <v>44316</v>
      </c>
      <c r="Z14" s="36">
        <v>1.0138884413284273</v>
      </c>
      <c r="AA14" s="37">
        <v>44316</v>
      </c>
      <c r="AB14" s="36">
        <v>1.0161352396906951</v>
      </c>
      <c r="AC14" s="37">
        <v>44316</v>
      </c>
      <c r="AD14" s="36">
        <v>0.9609212276768726</v>
      </c>
      <c r="AE14" s="37">
        <v>44316</v>
      </c>
      <c r="AF14" s="36">
        <v>0.96460318534515632</v>
      </c>
    </row>
    <row r="15" spans="1:32" x14ac:dyDescent="0.25">
      <c r="A15" s="37">
        <v>44681</v>
      </c>
      <c r="B15" s="36">
        <v>0.93156413267078342</v>
      </c>
      <c r="C15" s="37">
        <v>44681</v>
      </c>
      <c r="D15" s="36">
        <v>0.93183069026013887</v>
      </c>
      <c r="E15" s="37">
        <v>44681</v>
      </c>
      <c r="F15" s="36">
        <v>1.0049029843399164</v>
      </c>
      <c r="G15" s="37">
        <v>44681</v>
      </c>
      <c r="H15" s="36">
        <v>1.0089149197968574</v>
      </c>
      <c r="I15" s="37">
        <v>44681</v>
      </c>
      <c r="J15" s="36">
        <v>0.92310331805449453</v>
      </c>
      <c r="K15" s="37">
        <v>44681</v>
      </c>
      <c r="L15" s="36">
        <v>0.92856766749060182</v>
      </c>
      <c r="M15" s="37">
        <v>44681</v>
      </c>
      <c r="N15" s="36">
        <v>0.78671603198764595</v>
      </c>
      <c r="O15" s="37">
        <v>44681</v>
      </c>
      <c r="P15" s="36">
        <v>0.78671603198764595</v>
      </c>
      <c r="Q15" s="37">
        <v>44681</v>
      </c>
      <c r="R15" s="36">
        <v>1.0011700437752478</v>
      </c>
      <c r="S15" s="37">
        <v>44681</v>
      </c>
      <c r="T15" s="36">
        <v>1.0120161224495288</v>
      </c>
      <c r="U15" s="37">
        <v>44681</v>
      </c>
      <c r="V15" s="36">
        <v>0.96872982448210065</v>
      </c>
      <c r="W15" s="37">
        <v>44681</v>
      </c>
      <c r="X15" s="36">
        <v>0.96764022622413859</v>
      </c>
      <c r="Y15" s="37">
        <v>44681</v>
      </c>
      <c r="Z15" s="36">
        <v>1.0184341761848479</v>
      </c>
      <c r="AA15" s="37">
        <v>44681</v>
      </c>
      <c r="AB15" s="36">
        <v>1.0221758036993032</v>
      </c>
      <c r="AC15" s="37">
        <v>44681</v>
      </c>
      <c r="AD15" s="36">
        <v>0.9428995029548195</v>
      </c>
      <c r="AE15" s="37">
        <v>44681</v>
      </c>
      <c r="AF15" s="36">
        <v>0.94731017822106267</v>
      </c>
    </row>
    <row r="16" spans="1:32" x14ac:dyDescent="0.25">
      <c r="A16" s="37">
        <v>45046</v>
      </c>
      <c r="B16" s="36">
        <v>0.91114028447402073</v>
      </c>
      <c r="C16" s="37">
        <v>45046</v>
      </c>
      <c r="D16" s="36">
        <v>0.91151780238978564</v>
      </c>
      <c r="E16" s="37">
        <v>45046</v>
      </c>
      <c r="F16" s="36">
        <v>1.003384763818338</v>
      </c>
      <c r="G16" s="37">
        <v>45046</v>
      </c>
      <c r="H16" s="36">
        <v>1.0089210387328522</v>
      </c>
      <c r="I16" s="37">
        <v>45046</v>
      </c>
      <c r="J16" s="36">
        <v>0.87678703706475491</v>
      </c>
      <c r="K16" s="37">
        <v>45046</v>
      </c>
      <c r="L16" s="36">
        <v>0.88056966344304899</v>
      </c>
      <c r="M16" s="37">
        <v>45046</v>
      </c>
      <c r="N16" s="36">
        <v>0.71633884745909349</v>
      </c>
      <c r="O16" s="37">
        <v>45046</v>
      </c>
      <c r="P16" s="36">
        <v>0.71633884745909349</v>
      </c>
      <c r="Q16" s="37">
        <v>45046</v>
      </c>
      <c r="R16" s="36">
        <v>1.0015902370755754</v>
      </c>
      <c r="S16" s="37">
        <v>45046</v>
      </c>
      <c r="T16" s="36">
        <v>1.0176042347718481</v>
      </c>
      <c r="U16" s="37">
        <v>45046</v>
      </c>
      <c r="V16" s="36">
        <v>0.95674877896619404</v>
      </c>
      <c r="W16" s="37">
        <v>45046</v>
      </c>
      <c r="X16" s="36">
        <v>0.95499342401767739</v>
      </c>
      <c r="Y16" s="37">
        <v>45046</v>
      </c>
      <c r="Z16" s="36">
        <v>1.0212598919543787</v>
      </c>
      <c r="AA16" s="37">
        <v>45046</v>
      </c>
      <c r="AB16" s="36">
        <v>1.0262466982329628</v>
      </c>
      <c r="AC16" s="37">
        <v>45046</v>
      </c>
      <c r="AD16" s="36">
        <v>0.92490864952853391</v>
      </c>
      <c r="AE16" s="37">
        <v>45046</v>
      </c>
      <c r="AF16" s="36">
        <v>0.92947698671157808</v>
      </c>
    </row>
    <row r="17" spans="1:32" x14ac:dyDescent="0.25">
      <c r="A17" s="37">
        <v>45412</v>
      </c>
      <c r="B17" s="36">
        <v>0.89022588060590746</v>
      </c>
      <c r="C17" s="37">
        <v>45412</v>
      </c>
      <c r="D17" s="36">
        <v>0.89076958999953804</v>
      </c>
      <c r="E17" s="37">
        <v>45412</v>
      </c>
      <c r="F17" s="36">
        <v>0.9997278832786286</v>
      </c>
      <c r="G17" s="37">
        <v>45412</v>
      </c>
      <c r="H17" s="36">
        <v>1.0070323169384789</v>
      </c>
      <c r="I17" s="37">
        <v>45412</v>
      </c>
      <c r="J17" s="36">
        <v>0.83213866046741414</v>
      </c>
      <c r="K17" s="37">
        <v>45412</v>
      </c>
      <c r="L17" s="36">
        <v>0.83194087598152366</v>
      </c>
      <c r="M17" s="37">
        <v>45412</v>
      </c>
      <c r="N17" s="36">
        <v>0.65121233908109888</v>
      </c>
      <c r="O17" s="37">
        <v>45412</v>
      </c>
      <c r="P17" s="36">
        <v>0.65121233908109888</v>
      </c>
      <c r="Q17" s="37">
        <v>45412</v>
      </c>
      <c r="R17" s="36">
        <v>1.0012687810023646</v>
      </c>
      <c r="S17" s="37">
        <v>45412</v>
      </c>
      <c r="T17" s="36">
        <v>1.0232440112051207</v>
      </c>
      <c r="U17" s="37">
        <v>45412</v>
      </c>
      <c r="V17" s="36">
        <v>0.94442853499600043</v>
      </c>
      <c r="W17" s="37">
        <v>45412</v>
      </c>
      <c r="X17" s="36">
        <v>0.94176434123551567</v>
      </c>
      <c r="Y17" s="37">
        <v>45412</v>
      </c>
      <c r="Z17" s="36">
        <v>1.0222257488442252</v>
      </c>
      <c r="AA17" s="37">
        <v>45412</v>
      </c>
      <c r="AB17" s="36">
        <v>1.0288256681933159</v>
      </c>
      <c r="AC17" s="37">
        <v>45412</v>
      </c>
      <c r="AD17" s="36">
        <v>0.90649877531158618</v>
      </c>
      <c r="AE17" s="37">
        <v>45412</v>
      </c>
      <c r="AF17" s="36">
        <v>0.91085114034895631</v>
      </c>
    </row>
    <row r="18" spans="1:32" x14ac:dyDescent="0.25">
      <c r="A18" s="37">
        <v>45777</v>
      </c>
      <c r="B18" s="36">
        <v>0.86872184815382258</v>
      </c>
      <c r="C18" s="37">
        <v>45777</v>
      </c>
      <c r="D18" s="36">
        <v>0.86938740980304852</v>
      </c>
      <c r="E18" s="37">
        <v>45777</v>
      </c>
      <c r="F18" s="36">
        <v>0.99401072501876975</v>
      </c>
      <c r="G18" s="37">
        <v>45777</v>
      </c>
      <c r="H18" s="36">
        <v>1.0030737129436391</v>
      </c>
      <c r="I18" s="37">
        <v>45777</v>
      </c>
      <c r="J18" s="36">
        <v>0.77943905553251014</v>
      </c>
      <c r="K18" s="37">
        <v>45777</v>
      </c>
      <c r="L18" s="36">
        <v>0.78420914470645398</v>
      </c>
      <c r="M18" s="37">
        <v>45777</v>
      </c>
      <c r="N18" s="36">
        <v>0.59182723736548259</v>
      </c>
      <c r="O18" s="37">
        <v>45777</v>
      </c>
      <c r="P18" s="36">
        <v>0.59182723736548259</v>
      </c>
      <c r="Q18" s="37">
        <v>45777</v>
      </c>
      <c r="R18" s="36">
        <v>1.0002898181168334</v>
      </c>
      <c r="S18" s="37">
        <v>45777</v>
      </c>
      <c r="T18" s="36">
        <v>1.0285555620329982</v>
      </c>
      <c r="U18" s="37">
        <v>45777</v>
      </c>
      <c r="V18" s="36">
        <v>0.9316841933050154</v>
      </c>
      <c r="W18" s="37">
        <v>45777</v>
      </c>
      <c r="X18" s="36">
        <v>0.92800445301346313</v>
      </c>
      <c r="Y18" s="37">
        <v>45777</v>
      </c>
      <c r="Z18" s="36">
        <v>1.0201007389557228</v>
      </c>
      <c r="AA18" s="37">
        <v>45777</v>
      </c>
      <c r="AB18" s="36">
        <v>1.0297024346072705</v>
      </c>
      <c r="AC18" s="37">
        <v>45777</v>
      </c>
      <c r="AD18" s="36">
        <v>0.88751197179504093</v>
      </c>
      <c r="AE18" s="37">
        <v>45777</v>
      </c>
      <c r="AF18" s="36">
        <v>0.89174404647829064</v>
      </c>
    </row>
    <row r="19" spans="1:32" x14ac:dyDescent="0.25">
      <c r="A19" s="37">
        <v>46142</v>
      </c>
      <c r="B19" s="36">
        <v>0.84699959536966352</v>
      </c>
      <c r="C19" s="37">
        <v>46142</v>
      </c>
      <c r="D19" s="36">
        <v>0.84775295878461243</v>
      </c>
      <c r="E19" s="37">
        <v>46142</v>
      </c>
      <c r="F19" s="36">
        <v>0.9862602376995242</v>
      </c>
      <c r="G19" s="37">
        <v>46142</v>
      </c>
      <c r="H19" s="36">
        <v>0.99698401398024084</v>
      </c>
      <c r="I19" s="37">
        <v>46142</v>
      </c>
      <c r="J19" s="36">
        <v>0.73725498925786048</v>
      </c>
      <c r="K19" s="37">
        <v>46142</v>
      </c>
      <c r="L19" s="36">
        <v>0.73666580875902776</v>
      </c>
      <c r="M19" s="37">
        <v>46142</v>
      </c>
      <c r="N19" s="36">
        <v>0.53705755749067718</v>
      </c>
      <c r="O19" s="37">
        <v>46142</v>
      </c>
      <c r="P19" s="36">
        <v>0.53705755749067718</v>
      </c>
      <c r="Q19" s="37">
        <v>46142</v>
      </c>
      <c r="R19" s="36">
        <v>0.99855773063489051</v>
      </c>
      <c r="S19" s="37">
        <v>46142</v>
      </c>
      <c r="T19" s="36">
        <v>1.0332214266054238</v>
      </c>
      <c r="U19" s="37">
        <v>46142</v>
      </c>
      <c r="V19" s="36">
        <v>0.91868337222019358</v>
      </c>
      <c r="W19" s="37">
        <v>46142</v>
      </c>
      <c r="X19" s="36">
        <v>0.91357824091891315</v>
      </c>
      <c r="Y19" s="37">
        <v>46142</v>
      </c>
      <c r="Z19" s="36">
        <v>1.0166462855038021</v>
      </c>
      <c r="AA19" s="37">
        <v>46142</v>
      </c>
      <c r="AB19" s="36">
        <v>1.0300382399343995</v>
      </c>
      <c r="AC19" s="37">
        <v>46142</v>
      </c>
      <c r="AD19" s="36">
        <v>0.86779732072631799</v>
      </c>
      <c r="AE19" s="37">
        <v>46142</v>
      </c>
      <c r="AF19" s="36">
        <v>0.87214020303343864</v>
      </c>
    </row>
    <row r="20" spans="1:32" x14ac:dyDescent="0.25">
      <c r="A20" s="37">
        <v>46507</v>
      </c>
      <c r="B20" s="36">
        <v>0.82514607515969074</v>
      </c>
      <c r="C20" s="37">
        <v>46507</v>
      </c>
      <c r="D20" s="36">
        <v>0.82595232670145524</v>
      </c>
      <c r="E20" s="37">
        <v>46507</v>
      </c>
      <c r="F20" s="36">
        <v>0.97614925877411018</v>
      </c>
      <c r="G20" s="37">
        <v>46507</v>
      </c>
      <c r="H20" s="36">
        <v>0.98866112399041028</v>
      </c>
      <c r="I20" s="37">
        <v>46507</v>
      </c>
      <c r="J20" s="36">
        <v>0.68060699073191455</v>
      </c>
      <c r="K20" s="37">
        <v>46507</v>
      </c>
      <c r="L20" s="36">
        <v>0.6899411572721047</v>
      </c>
      <c r="M20" s="37">
        <v>46507</v>
      </c>
      <c r="N20" s="36">
        <v>0.48623837657568358</v>
      </c>
      <c r="O20" s="37">
        <v>46507</v>
      </c>
      <c r="P20" s="36">
        <v>0.48623837657568358</v>
      </c>
      <c r="Q20" s="37">
        <v>46507</v>
      </c>
      <c r="R20" s="36">
        <v>0.99602150457971261</v>
      </c>
      <c r="S20" s="37">
        <v>46507</v>
      </c>
      <c r="T20" s="36">
        <v>1.0370872649730483</v>
      </c>
      <c r="U20" s="37">
        <v>46507</v>
      </c>
      <c r="V20" s="36">
        <v>0.90539315019283073</v>
      </c>
      <c r="W20" s="37">
        <v>46507</v>
      </c>
      <c r="X20" s="36">
        <v>0.89931226566470679</v>
      </c>
      <c r="Y20" s="37">
        <v>46507</v>
      </c>
      <c r="Z20" s="36">
        <v>1.0110319642796206</v>
      </c>
      <c r="AA20" s="37">
        <v>46507</v>
      </c>
      <c r="AB20" s="36">
        <v>1.0278455038877361</v>
      </c>
      <c r="AC20" s="37">
        <v>46507</v>
      </c>
      <c r="AD20" s="36">
        <v>0.84783107298477012</v>
      </c>
      <c r="AE20" s="37">
        <v>46507</v>
      </c>
      <c r="AF20" s="36">
        <v>0.8517437444041871</v>
      </c>
    </row>
    <row r="21" spans="1:32" x14ac:dyDescent="0.25">
      <c r="A21" s="37">
        <v>46873</v>
      </c>
      <c r="B21" s="36">
        <v>0.8031294133973228</v>
      </c>
      <c r="C21" s="37">
        <v>46873</v>
      </c>
      <c r="D21" s="36">
        <v>0.80405596028042903</v>
      </c>
      <c r="E21" s="37">
        <v>46873</v>
      </c>
      <c r="F21" s="36">
        <v>0.96455677397846995</v>
      </c>
      <c r="G21" s="37">
        <v>46873</v>
      </c>
      <c r="H21" s="36">
        <v>0.9785805649893925</v>
      </c>
      <c r="I21" s="37">
        <v>46873</v>
      </c>
      <c r="J21" s="36">
        <v>0.6422642793980532</v>
      </c>
      <c r="K21" s="37">
        <v>46873</v>
      </c>
      <c r="L21" s="36">
        <v>0.6470720063602946</v>
      </c>
      <c r="M21" s="37">
        <v>46873</v>
      </c>
      <c r="N21" s="36">
        <v>0.4416339343619673</v>
      </c>
      <c r="O21" s="37">
        <v>46873</v>
      </c>
      <c r="P21" s="36">
        <v>0.4416339343619673</v>
      </c>
      <c r="Q21" s="37">
        <v>46873</v>
      </c>
      <c r="R21" s="36">
        <v>0.9925754369472789</v>
      </c>
      <c r="S21" s="37">
        <v>46873</v>
      </c>
      <c r="T21" s="36">
        <v>1.0391317186441189</v>
      </c>
      <c r="U21" s="37">
        <v>46873</v>
      </c>
      <c r="V21" s="36">
        <v>0.89187246913717277</v>
      </c>
      <c r="W21" s="37">
        <v>46873</v>
      </c>
      <c r="X21" s="36">
        <v>0.8844295978526856</v>
      </c>
      <c r="Y21" s="37">
        <v>46873</v>
      </c>
      <c r="Z21" s="36">
        <v>1.0036685946518609</v>
      </c>
      <c r="AA21" s="37">
        <v>46873</v>
      </c>
      <c r="AB21" s="36">
        <v>1.0239867974062202</v>
      </c>
      <c r="AC21" s="37">
        <v>46873</v>
      </c>
      <c r="AD21" s="36">
        <v>0.82744657048455439</v>
      </c>
      <c r="AE21" s="37">
        <v>46873</v>
      </c>
      <c r="AF21" s="36">
        <v>0.83132181233869296</v>
      </c>
    </row>
    <row r="22" spans="1:32" x14ac:dyDescent="0.25">
      <c r="A22" s="37">
        <v>47238</v>
      </c>
      <c r="B22" s="36">
        <v>0.781190682874908</v>
      </c>
      <c r="C22" s="37">
        <v>47238</v>
      </c>
      <c r="D22" s="36">
        <v>0.78218267893298021</v>
      </c>
      <c r="E22" s="37">
        <v>47238</v>
      </c>
      <c r="F22" s="36">
        <v>0.95178256148094798</v>
      </c>
      <c r="G22" s="37">
        <v>47238</v>
      </c>
      <c r="H22" s="36">
        <v>0.96718857945730186</v>
      </c>
      <c r="I22" s="37">
        <v>47238</v>
      </c>
      <c r="J22" s="36">
        <v>0.60587570115554223</v>
      </c>
      <c r="K22" s="37">
        <v>47238</v>
      </c>
      <c r="L22" s="36">
        <v>0.60384206169720922</v>
      </c>
      <c r="M22" s="37">
        <v>47238</v>
      </c>
      <c r="N22" s="36">
        <v>0.40165071432644456</v>
      </c>
      <c r="O22" s="37">
        <v>47238</v>
      </c>
      <c r="P22" s="36">
        <v>0.40165071432644456</v>
      </c>
      <c r="Q22" s="37">
        <v>47238</v>
      </c>
      <c r="R22" s="36">
        <v>0.98825091938038601</v>
      </c>
      <c r="S22" s="37">
        <v>47238</v>
      </c>
      <c r="T22" s="36">
        <v>1.0401832709201757</v>
      </c>
      <c r="U22" s="37">
        <v>47238</v>
      </c>
      <c r="V22" s="36">
        <v>0.87803213936756963</v>
      </c>
      <c r="W22" s="37">
        <v>47238</v>
      </c>
      <c r="X22" s="36">
        <v>0.8694157371066128</v>
      </c>
      <c r="Y22" s="37">
        <v>47238</v>
      </c>
      <c r="Z22" s="36">
        <v>0.99497313919583019</v>
      </c>
      <c r="AA22" s="37">
        <v>47238</v>
      </c>
      <c r="AB22" s="36">
        <v>1.0180515236768815</v>
      </c>
      <c r="AC22" s="37">
        <v>47238</v>
      </c>
      <c r="AD22" s="36">
        <v>0.80609384280329122</v>
      </c>
      <c r="AE22" s="37">
        <v>47238</v>
      </c>
      <c r="AF22" s="36">
        <v>0.81039275498021401</v>
      </c>
    </row>
    <row r="23" spans="1:32" x14ac:dyDescent="0.25">
      <c r="A23" s="37">
        <v>47603</v>
      </c>
      <c r="B23" s="36">
        <v>0.75927016997404762</v>
      </c>
      <c r="C23" s="37">
        <v>47603</v>
      </c>
      <c r="D23" s="36">
        <v>0.76045799304147588</v>
      </c>
      <c r="E23" s="37">
        <v>47603</v>
      </c>
      <c r="F23" s="36">
        <v>0.93763439989211539</v>
      </c>
      <c r="G23" s="37">
        <v>47603</v>
      </c>
      <c r="H23" s="36">
        <v>0.95441192163396538</v>
      </c>
      <c r="I23" s="37">
        <v>47603</v>
      </c>
      <c r="J23" s="36">
        <v>0.56605988016260633</v>
      </c>
      <c r="K23" s="37">
        <v>47603</v>
      </c>
      <c r="L23" s="36">
        <v>0.56427203324239472</v>
      </c>
      <c r="M23" s="37">
        <v>47603</v>
      </c>
      <c r="N23" s="36">
        <v>0.36343234495483168</v>
      </c>
      <c r="O23" s="37">
        <v>47603</v>
      </c>
      <c r="P23" s="36">
        <v>0.36343234495483168</v>
      </c>
      <c r="Q23" s="37">
        <v>47603</v>
      </c>
      <c r="R23" s="36">
        <v>0.98324166763978038</v>
      </c>
      <c r="S23" s="37">
        <v>47603</v>
      </c>
      <c r="T23" s="36">
        <v>1.0404134984791169</v>
      </c>
      <c r="U23" s="37">
        <v>47603</v>
      </c>
      <c r="V23" s="36">
        <v>0.8642614592862029</v>
      </c>
      <c r="W23" s="37">
        <v>47603</v>
      </c>
      <c r="X23" s="36">
        <v>0.85447408607207076</v>
      </c>
      <c r="Y23" s="37">
        <v>47603</v>
      </c>
      <c r="Z23" s="36">
        <v>0.98589399490169705</v>
      </c>
      <c r="AA23" s="37">
        <v>47603</v>
      </c>
      <c r="AB23" s="36">
        <v>1.0112069583188892</v>
      </c>
      <c r="AC23" s="37">
        <v>47603</v>
      </c>
      <c r="AD23" s="36">
        <v>0.7850355116429294</v>
      </c>
      <c r="AE23" s="37">
        <v>47603</v>
      </c>
      <c r="AF23" s="36">
        <v>0.78919915871611024</v>
      </c>
    </row>
    <row r="24" spans="1:32" x14ac:dyDescent="0.25">
      <c r="A24" s="37">
        <v>47968</v>
      </c>
      <c r="B24" s="36">
        <v>0.73805149966879779</v>
      </c>
      <c r="C24" s="37">
        <v>47968</v>
      </c>
      <c r="D24" s="36">
        <v>0.7388935830497213</v>
      </c>
      <c r="E24" s="37">
        <v>47968</v>
      </c>
      <c r="F24" s="36">
        <v>0.92347656732538763</v>
      </c>
      <c r="G24" s="37">
        <v>47968</v>
      </c>
      <c r="H24" s="36">
        <v>0.94021207049511069</v>
      </c>
      <c r="I24" s="37">
        <v>47968</v>
      </c>
      <c r="J24" s="36">
        <v>0.52783124567078776</v>
      </c>
      <c r="K24" s="37">
        <v>47968</v>
      </c>
      <c r="L24" s="36">
        <v>0.52626047354126138</v>
      </c>
      <c r="M24" s="37">
        <v>47968</v>
      </c>
      <c r="N24" s="36">
        <v>0.32547158678190169</v>
      </c>
      <c r="O24" s="37">
        <v>47968</v>
      </c>
      <c r="P24" s="36">
        <v>0.32547158678190169</v>
      </c>
      <c r="Q24" s="37">
        <v>47968</v>
      </c>
      <c r="R24" s="36">
        <v>0.97756540778247436</v>
      </c>
      <c r="S24" s="37">
        <v>47968</v>
      </c>
      <c r="T24" s="36">
        <v>1.0398067287779618</v>
      </c>
      <c r="U24" s="37">
        <v>47968</v>
      </c>
      <c r="V24" s="36">
        <v>0.85037412212071151</v>
      </c>
      <c r="W24" s="37">
        <v>47968</v>
      </c>
      <c r="X24" s="36">
        <v>0.83915971863786543</v>
      </c>
      <c r="Y24" s="37">
        <v>47968</v>
      </c>
      <c r="Z24" s="36">
        <v>0.97551135070732109</v>
      </c>
      <c r="AA24" s="37">
        <v>47968</v>
      </c>
      <c r="AB24" s="36">
        <v>1.0048165166942757</v>
      </c>
      <c r="AC24" s="37">
        <v>47968</v>
      </c>
      <c r="AD24" s="36">
        <v>0.76383303266551827</v>
      </c>
      <c r="AE24" s="37">
        <v>47968</v>
      </c>
      <c r="AF24" s="36">
        <v>0.76781100060962015</v>
      </c>
    </row>
    <row r="25" spans="1:32" x14ac:dyDescent="0.25">
      <c r="A25" s="37">
        <v>48334</v>
      </c>
      <c r="B25" s="36">
        <v>0.71686330126427933</v>
      </c>
      <c r="C25" s="37">
        <v>48334</v>
      </c>
      <c r="D25" s="36">
        <v>0.7128778451368456</v>
      </c>
      <c r="E25" s="37">
        <v>48334</v>
      </c>
      <c r="F25" s="36">
        <v>0.90846024089625477</v>
      </c>
      <c r="G25" s="37">
        <v>48334</v>
      </c>
      <c r="H25" s="36">
        <v>0.92621734955171753</v>
      </c>
      <c r="I25" s="37">
        <v>48334</v>
      </c>
      <c r="J25" s="36">
        <v>0.49435947301134731</v>
      </c>
      <c r="K25" s="37">
        <v>48334</v>
      </c>
      <c r="L25" s="36">
        <v>0.4922405779313242</v>
      </c>
      <c r="M25" s="37">
        <v>48334</v>
      </c>
      <c r="N25" s="36">
        <v>0.29186279448489555</v>
      </c>
      <c r="O25" s="37">
        <v>48334</v>
      </c>
      <c r="P25" s="36">
        <v>0.29186279448489555</v>
      </c>
      <c r="Q25" s="37">
        <v>48334</v>
      </c>
      <c r="R25" s="36">
        <v>0.97141753627675365</v>
      </c>
      <c r="S25" s="37">
        <v>48334</v>
      </c>
      <c r="T25" s="36">
        <v>1.0386492728264782</v>
      </c>
      <c r="U25" s="37">
        <v>48334</v>
      </c>
      <c r="V25" s="36">
        <v>0.8367371857180983</v>
      </c>
      <c r="W25" s="37">
        <v>48334</v>
      </c>
      <c r="X25" s="36">
        <v>0.82531887224590617</v>
      </c>
      <c r="Y25" s="37">
        <v>48334</v>
      </c>
      <c r="Z25" s="36">
        <v>0.96531093292426318</v>
      </c>
      <c r="AA25" s="37">
        <v>48334</v>
      </c>
      <c r="AB25" s="36">
        <v>0.99632972246971352</v>
      </c>
      <c r="AC25" s="37">
        <v>48334</v>
      </c>
      <c r="AD25" s="36">
        <v>0.74340575073838799</v>
      </c>
      <c r="AE25" s="37">
        <v>48334</v>
      </c>
      <c r="AF25" s="36">
        <v>0.74774147554753945</v>
      </c>
    </row>
    <row r="26" spans="1:32" x14ac:dyDescent="0.25">
      <c r="A26" s="37">
        <v>48699</v>
      </c>
      <c r="B26" s="36">
        <v>0.69259312692768993</v>
      </c>
      <c r="C26" s="37">
        <v>48699</v>
      </c>
      <c r="D26" s="36">
        <v>0.69390123582843444</v>
      </c>
      <c r="E26" s="37">
        <v>48699</v>
      </c>
      <c r="F26" s="36">
        <v>0.89425264486265998</v>
      </c>
      <c r="G26" s="37">
        <v>48699</v>
      </c>
      <c r="H26" s="36">
        <v>0.91202435375555246</v>
      </c>
      <c r="I26" s="37">
        <v>48699</v>
      </c>
      <c r="J26" s="36">
        <v>0.46194852354563049</v>
      </c>
      <c r="K26" s="37">
        <v>48699</v>
      </c>
      <c r="L26" s="36">
        <v>0.4598653203275333</v>
      </c>
      <c r="M26" s="37">
        <v>48699</v>
      </c>
      <c r="N26" s="36">
        <v>0.25834582948924728</v>
      </c>
      <c r="O26" s="37">
        <v>48699</v>
      </c>
      <c r="P26" s="36">
        <v>0.25834582948924728</v>
      </c>
      <c r="Q26" s="37">
        <v>48699</v>
      </c>
      <c r="R26" s="36">
        <v>0.96464324146394076</v>
      </c>
      <c r="S26" s="37">
        <v>48699</v>
      </c>
      <c r="T26" s="36">
        <v>1.036038048894026</v>
      </c>
      <c r="U26" s="37">
        <v>48699</v>
      </c>
      <c r="V26" s="36">
        <v>0.8234807292291656</v>
      </c>
      <c r="W26" s="37">
        <v>48699</v>
      </c>
      <c r="X26" s="36">
        <v>0.81176588251598736</v>
      </c>
      <c r="Y26" s="37">
        <v>48699</v>
      </c>
      <c r="Z26" s="36">
        <v>0.95502154315388554</v>
      </c>
      <c r="AA26" s="37">
        <v>48699</v>
      </c>
      <c r="AB26" s="36">
        <v>0.98865338175711825</v>
      </c>
      <c r="AC26" s="37">
        <v>48699</v>
      </c>
      <c r="AD26" s="36">
        <v>0.72300419228647828</v>
      </c>
      <c r="AE26" s="37">
        <v>48699</v>
      </c>
      <c r="AF26" s="36">
        <v>0.72769111639429063</v>
      </c>
    </row>
    <row r="27" spans="1:32" x14ac:dyDescent="0.25">
      <c r="A27" s="37">
        <v>49064</v>
      </c>
      <c r="B27" s="36">
        <v>0.67761793902687906</v>
      </c>
      <c r="C27" s="37">
        <v>49064</v>
      </c>
      <c r="D27" s="36">
        <v>0.67907898569493019</v>
      </c>
      <c r="E27" s="37">
        <v>49064</v>
      </c>
      <c r="F27" s="36">
        <v>0.87966674381645282</v>
      </c>
      <c r="G27" s="37">
        <v>49064</v>
      </c>
      <c r="H27" s="36">
        <v>0.89717402868731966</v>
      </c>
      <c r="I27" s="37">
        <v>49064</v>
      </c>
      <c r="J27" s="36">
        <v>0.43120897920480822</v>
      </c>
      <c r="K27" s="37">
        <v>49064</v>
      </c>
      <c r="L27" s="36">
        <v>0.42899576126394467</v>
      </c>
      <c r="M27" s="37">
        <v>49064</v>
      </c>
      <c r="N27" s="36">
        <v>0.2253803777155885</v>
      </c>
      <c r="O27" s="37">
        <v>49064</v>
      </c>
      <c r="P27" s="36">
        <v>0.2253803777155885</v>
      </c>
      <c r="Q27" s="37">
        <v>49064</v>
      </c>
      <c r="R27" s="36">
        <v>0.95730006141962709</v>
      </c>
      <c r="S27" s="37">
        <v>49064</v>
      </c>
      <c r="T27" s="36">
        <v>1.0316739114512421</v>
      </c>
      <c r="U27" s="37">
        <v>49064</v>
      </c>
      <c r="V27" s="36">
        <v>0.81053489439289439</v>
      </c>
      <c r="W27" s="37">
        <v>49064</v>
      </c>
      <c r="X27" s="36">
        <v>0.79793723613892631</v>
      </c>
      <c r="Y27" s="37">
        <v>49064</v>
      </c>
      <c r="Z27" s="36">
        <v>0.94526775977430444</v>
      </c>
      <c r="AA27" s="37">
        <v>49064</v>
      </c>
      <c r="AB27" s="36">
        <v>0.98150557254746784</v>
      </c>
      <c r="AC27" s="37">
        <v>49064</v>
      </c>
      <c r="AD27" s="36">
        <v>0.70268104507644724</v>
      </c>
      <c r="AE27" s="37">
        <v>49064</v>
      </c>
      <c r="AF27" s="36">
        <v>0.70774107879224013</v>
      </c>
    </row>
    <row r="28" spans="1:32" x14ac:dyDescent="0.25">
      <c r="A28" s="37">
        <v>49429</v>
      </c>
      <c r="B28" s="36">
        <v>0.65847601898132513</v>
      </c>
      <c r="C28" s="37">
        <v>49429</v>
      </c>
      <c r="D28" s="36">
        <v>0.66018310892915621</v>
      </c>
      <c r="E28" s="37">
        <v>49429</v>
      </c>
      <c r="F28" s="36">
        <v>0.86554421334222942</v>
      </c>
      <c r="G28" s="37">
        <v>49429</v>
      </c>
      <c r="H28" s="36">
        <v>0.88274977869659055</v>
      </c>
      <c r="I28" s="37">
        <v>49429</v>
      </c>
      <c r="J28" s="36">
        <v>0.39887699660396991</v>
      </c>
      <c r="K28" s="37">
        <v>49429</v>
      </c>
      <c r="L28" s="36">
        <v>0.39952638186672318</v>
      </c>
      <c r="M28" s="37">
        <v>49429</v>
      </c>
      <c r="N28" s="36">
        <v>0.20192852902124778</v>
      </c>
      <c r="O28" s="37">
        <v>49429</v>
      </c>
      <c r="P28" s="36">
        <v>0.20192852902124778</v>
      </c>
      <c r="Q28" s="37">
        <v>49429</v>
      </c>
      <c r="R28" s="36">
        <v>0.95031329813611554</v>
      </c>
      <c r="S28" s="37">
        <v>49429</v>
      </c>
      <c r="T28" s="36">
        <v>1.0290724535451081</v>
      </c>
      <c r="U28" s="37">
        <v>49429</v>
      </c>
      <c r="V28" s="36">
        <v>0.79786477874367501</v>
      </c>
      <c r="W28" s="37">
        <v>49429</v>
      </c>
      <c r="X28" s="36">
        <v>0.78497903588824292</v>
      </c>
      <c r="Y28" s="37">
        <v>49429</v>
      </c>
      <c r="Z28" s="36">
        <v>0.93675267982581722</v>
      </c>
      <c r="AA28" s="37">
        <v>49429</v>
      </c>
      <c r="AB28" s="36">
        <v>0.97501231624165996</v>
      </c>
      <c r="AC28" s="37">
        <v>49429</v>
      </c>
      <c r="AD28" s="36">
        <v>0.68383635251811681</v>
      </c>
      <c r="AE28" s="37">
        <v>49429</v>
      </c>
      <c r="AF28" s="36">
        <v>0.68976512655084865</v>
      </c>
    </row>
    <row r="29" spans="1:32" x14ac:dyDescent="0.25">
      <c r="A29" s="37">
        <v>49795</v>
      </c>
      <c r="B29" s="36">
        <v>0.64011980119978518</v>
      </c>
      <c r="C29" s="37">
        <v>49795</v>
      </c>
      <c r="D29" s="36">
        <v>0.64174575418576929</v>
      </c>
      <c r="E29" s="37">
        <v>49795</v>
      </c>
      <c r="F29" s="36">
        <v>0.8517165584825972</v>
      </c>
      <c r="G29" s="37">
        <v>49795</v>
      </c>
      <c r="H29" s="36">
        <v>0.86827961707025147</v>
      </c>
      <c r="I29" s="37">
        <v>49795</v>
      </c>
      <c r="J29" s="36">
        <v>0.36811131148233833</v>
      </c>
      <c r="K29" s="37">
        <v>49795</v>
      </c>
      <c r="L29" s="36">
        <v>0.37140204445956593</v>
      </c>
      <c r="M29" s="37">
        <v>49795</v>
      </c>
      <c r="N29" s="36">
        <v>0.17841242868664858</v>
      </c>
      <c r="O29" s="37">
        <v>49795</v>
      </c>
      <c r="P29" s="36">
        <v>0.17841242868664858</v>
      </c>
      <c r="Q29" s="37">
        <v>49795</v>
      </c>
      <c r="R29" s="36">
        <v>0.9428299083665308</v>
      </c>
      <c r="S29" s="37">
        <v>49795</v>
      </c>
      <c r="T29" s="36">
        <v>1.0250690416771018</v>
      </c>
      <c r="U29" s="37">
        <v>49795</v>
      </c>
      <c r="V29" s="36">
        <v>0.78557321284495685</v>
      </c>
      <c r="W29" s="37">
        <v>49795</v>
      </c>
      <c r="X29" s="36">
        <v>0.77301707870788605</v>
      </c>
      <c r="Y29" s="37">
        <v>49795</v>
      </c>
      <c r="Z29" s="36">
        <v>0.9276713841589409</v>
      </c>
      <c r="AA29" s="37">
        <v>49795</v>
      </c>
      <c r="AB29" s="36">
        <v>0.96788242887684073</v>
      </c>
      <c r="AC29" s="37">
        <v>49795</v>
      </c>
      <c r="AD29" s="36">
        <v>0.66510132190905047</v>
      </c>
      <c r="AE29" s="37">
        <v>49795</v>
      </c>
      <c r="AF29" s="36">
        <v>0.67193517453692053</v>
      </c>
    </row>
    <row r="30" spans="1:32" x14ac:dyDescent="0.25">
      <c r="A30" s="37">
        <v>50160</v>
      </c>
      <c r="B30" s="36">
        <v>0.62252217975359958</v>
      </c>
      <c r="C30" s="37">
        <v>50160</v>
      </c>
      <c r="D30" s="36">
        <v>0.62418413162381803</v>
      </c>
      <c r="E30" s="37">
        <v>50160</v>
      </c>
      <c r="F30" s="36">
        <v>0.83931016221419252</v>
      </c>
      <c r="G30" s="37">
        <v>50160</v>
      </c>
      <c r="H30" s="36">
        <v>0.85476408037383289</v>
      </c>
      <c r="I30" s="37">
        <v>50160</v>
      </c>
      <c r="J30" s="36">
        <v>0.34346144962479974</v>
      </c>
      <c r="K30" s="37">
        <v>50160</v>
      </c>
      <c r="L30" s="36">
        <v>0.34470549796969147</v>
      </c>
      <c r="M30" s="37">
        <v>50160</v>
      </c>
      <c r="N30" s="36">
        <v>0.15496057999230783</v>
      </c>
      <c r="O30" s="37">
        <v>50160</v>
      </c>
      <c r="P30" s="36">
        <v>0.15496057999230783</v>
      </c>
      <c r="Q30" s="37">
        <v>50160</v>
      </c>
      <c r="R30" s="36">
        <v>0.93484069259193647</v>
      </c>
      <c r="S30" s="37">
        <v>50160</v>
      </c>
      <c r="T30" s="36">
        <v>1.020669161492936</v>
      </c>
      <c r="U30" s="37">
        <v>50160</v>
      </c>
      <c r="V30" s="36">
        <v>0.77362379396768921</v>
      </c>
      <c r="W30" s="37">
        <v>50160</v>
      </c>
      <c r="X30" s="36">
        <v>0.76101544601275417</v>
      </c>
      <c r="Y30" s="37">
        <v>50160</v>
      </c>
      <c r="Z30" s="36">
        <v>0.91805661315745468</v>
      </c>
      <c r="AA30" s="37">
        <v>50160</v>
      </c>
      <c r="AB30" s="36">
        <v>0.96015184375963591</v>
      </c>
      <c r="AC30" s="37">
        <v>50160</v>
      </c>
      <c r="AD30" s="36">
        <v>0.64657200945824489</v>
      </c>
      <c r="AE30" s="37">
        <v>50160</v>
      </c>
      <c r="AF30" s="36">
        <v>0.65433871556638934</v>
      </c>
    </row>
    <row r="31" spans="1:32" x14ac:dyDescent="0.25">
      <c r="A31" s="37">
        <v>50525</v>
      </c>
      <c r="B31" s="36">
        <v>0.60526992127560475</v>
      </c>
      <c r="C31" s="37">
        <v>50525</v>
      </c>
      <c r="D31" s="36">
        <v>0.60696397245756772</v>
      </c>
      <c r="E31" s="37">
        <v>50525</v>
      </c>
      <c r="F31" s="36">
        <v>0.82656195292207568</v>
      </c>
      <c r="G31" s="37">
        <v>50525</v>
      </c>
      <c r="H31" s="36">
        <v>0.84071315266011049</v>
      </c>
      <c r="I31" s="37">
        <v>50525</v>
      </c>
      <c r="J31" s="36">
        <v>0.32013855399036789</v>
      </c>
      <c r="K31" s="37">
        <v>50525</v>
      </c>
      <c r="L31" s="36">
        <v>0.31932240801069239</v>
      </c>
      <c r="M31" s="37">
        <v>50525</v>
      </c>
      <c r="N31" s="36">
        <v>0.13150873129796711</v>
      </c>
      <c r="O31" s="37">
        <v>50525</v>
      </c>
      <c r="P31" s="36">
        <v>0.13150873129796711</v>
      </c>
      <c r="Q31" s="37">
        <v>50525</v>
      </c>
      <c r="R31" s="36">
        <v>0.92637725278139849</v>
      </c>
      <c r="S31" s="37">
        <v>50525</v>
      </c>
      <c r="T31" s="36">
        <v>1.0156203888956878</v>
      </c>
      <c r="U31" s="37">
        <v>50525</v>
      </c>
      <c r="V31" s="36">
        <v>0.76174384741206513</v>
      </c>
      <c r="W31" s="37">
        <v>50525</v>
      </c>
      <c r="X31" s="36">
        <v>0.74914151015550734</v>
      </c>
      <c r="Y31" s="37">
        <v>50525</v>
      </c>
      <c r="Z31" s="36">
        <v>0.90790500381172845</v>
      </c>
      <c r="AA31" s="37">
        <v>50525</v>
      </c>
      <c r="AB31" s="36">
        <v>0.95181449220796521</v>
      </c>
      <c r="AC31" s="37">
        <v>50525</v>
      </c>
      <c r="AD31" s="36">
        <v>0.62820973349917286</v>
      </c>
      <c r="AE31" s="37">
        <v>50525</v>
      </c>
      <c r="AF31" s="36">
        <v>0.63693571559090356</v>
      </c>
    </row>
    <row r="32" spans="1:32" x14ac:dyDescent="0.25">
      <c r="A32" s="37">
        <v>50890</v>
      </c>
      <c r="B32" s="36">
        <v>0.58840479604311335</v>
      </c>
      <c r="C32" s="37">
        <v>50890</v>
      </c>
      <c r="D32" s="36">
        <v>0.59012736218227901</v>
      </c>
      <c r="E32" s="37">
        <v>50890</v>
      </c>
      <c r="F32" s="36">
        <v>0.81364717475783888</v>
      </c>
      <c r="G32" s="37">
        <v>50890</v>
      </c>
      <c r="H32" s="36">
        <v>0.82632304755337993</v>
      </c>
      <c r="I32" s="37">
        <v>50890</v>
      </c>
      <c r="J32" s="36">
        <v>0.29822784712829381</v>
      </c>
      <c r="K32" s="37">
        <v>50890</v>
      </c>
      <c r="L32" s="36">
        <v>0.29547458766669826</v>
      </c>
      <c r="M32" s="37">
        <v>50890</v>
      </c>
      <c r="N32" s="36">
        <v>0.10859138967645121</v>
      </c>
      <c r="O32" s="37">
        <v>50890</v>
      </c>
      <c r="P32" s="36">
        <v>0.10859138967645121</v>
      </c>
      <c r="Q32" s="37">
        <v>50890</v>
      </c>
      <c r="R32" s="36">
        <v>0.91757122916202083</v>
      </c>
      <c r="S32" s="37">
        <v>50890</v>
      </c>
      <c r="T32" s="36">
        <v>1.0100148542517535</v>
      </c>
      <c r="U32" s="37">
        <v>50890</v>
      </c>
      <c r="V32" s="36">
        <v>0.74998425027340632</v>
      </c>
      <c r="W32" s="37">
        <v>50890</v>
      </c>
      <c r="X32" s="36">
        <v>0.73742765965751522</v>
      </c>
      <c r="Y32" s="37">
        <v>50890</v>
      </c>
      <c r="Z32" s="36">
        <v>0.89748453372539105</v>
      </c>
      <c r="AA32" s="37">
        <v>50890</v>
      </c>
      <c r="AB32" s="36">
        <v>0.94309495691504142</v>
      </c>
      <c r="AC32" s="37">
        <v>50890</v>
      </c>
      <c r="AD32" s="36">
        <v>0.61019043669520467</v>
      </c>
      <c r="AE32" s="37">
        <v>50890</v>
      </c>
      <c r="AF32" s="36">
        <v>0.62003453659164365</v>
      </c>
    </row>
    <row r="33" spans="1:32" x14ac:dyDescent="0.25">
      <c r="A33" s="37">
        <v>51256</v>
      </c>
      <c r="B33" s="36">
        <v>0.57268387671069398</v>
      </c>
      <c r="C33" s="37">
        <v>51256</v>
      </c>
      <c r="D33" s="36">
        <v>0.57443425378795199</v>
      </c>
      <c r="E33" s="37">
        <v>51256</v>
      </c>
      <c r="F33" s="36">
        <v>0.80318362062157012</v>
      </c>
      <c r="G33" s="37">
        <v>51256</v>
      </c>
      <c r="H33" s="36">
        <v>0.81444175183422174</v>
      </c>
      <c r="I33" s="37">
        <v>51256</v>
      </c>
      <c r="J33" s="36">
        <v>0.28002828034090566</v>
      </c>
      <c r="K33" s="37">
        <v>51256</v>
      </c>
      <c r="L33" s="36">
        <v>0.27740833552674005</v>
      </c>
      <c r="M33" s="37">
        <v>51256</v>
      </c>
      <c r="N33" s="36">
        <v>9.4856768774546255E-2</v>
      </c>
      <c r="O33" s="37">
        <v>51256</v>
      </c>
      <c r="P33" s="36">
        <v>9.4856768774546255E-2</v>
      </c>
      <c r="Q33" s="37">
        <v>51256</v>
      </c>
      <c r="R33" s="36">
        <v>0.91049125348847537</v>
      </c>
      <c r="S33" s="37">
        <v>51256</v>
      </c>
      <c r="T33" s="36">
        <v>1.0053155698859437</v>
      </c>
      <c r="U33" s="37">
        <v>51256</v>
      </c>
      <c r="V33" s="36">
        <v>0.7391704061930563</v>
      </c>
      <c r="W33" s="37">
        <v>51256</v>
      </c>
      <c r="X33" s="36">
        <v>0.7264233841777209</v>
      </c>
      <c r="Y33" s="37">
        <v>51256</v>
      </c>
      <c r="Z33" s="36">
        <v>0.89116060006471398</v>
      </c>
      <c r="AA33" s="37">
        <v>51256</v>
      </c>
      <c r="AB33" s="36">
        <v>0.93760855745775662</v>
      </c>
      <c r="AC33" s="37">
        <v>51256</v>
      </c>
      <c r="AD33" s="36">
        <v>0.59534848542152863</v>
      </c>
      <c r="AE33" s="37">
        <v>51256</v>
      </c>
      <c r="AF33" s="36">
        <v>0.60872501393566214</v>
      </c>
    </row>
    <row r="34" spans="1:32" x14ac:dyDescent="0.25">
      <c r="A34" s="37">
        <v>51621</v>
      </c>
      <c r="B34" s="36">
        <v>0.55733317182187259</v>
      </c>
      <c r="C34" s="37">
        <v>51621</v>
      </c>
      <c r="D34" s="36">
        <v>0.55910828920160538</v>
      </c>
      <c r="E34" s="37">
        <v>51621</v>
      </c>
      <c r="F34" s="36">
        <v>0.79263402092693558</v>
      </c>
      <c r="G34" s="37">
        <v>51621</v>
      </c>
      <c r="H34" s="36">
        <v>0.80232699482633885</v>
      </c>
      <c r="I34" s="37">
        <v>51621</v>
      </c>
      <c r="J34" s="36">
        <v>0.26298424887041372</v>
      </c>
      <c r="K34" s="37">
        <v>51621</v>
      </c>
      <c r="L34" s="36">
        <v>0.26049126713706156</v>
      </c>
      <c r="M34" s="37">
        <v>51621</v>
      </c>
      <c r="N34" s="36">
        <v>8.115967415925851E-2</v>
      </c>
      <c r="O34" s="37">
        <v>51621</v>
      </c>
      <c r="P34" s="36">
        <v>8.115967415925851E-2</v>
      </c>
      <c r="Q34" s="37">
        <v>51621</v>
      </c>
      <c r="R34" s="36">
        <v>0.90317503839247448</v>
      </c>
      <c r="S34" s="37">
        <v>51621</v>
      </c>
      <c r="T34" s="36">
        <v>1.0001462759541309</v>
      </c>
      <c r="U34" s="37">
        <v>51621</v>
      </c>
      <c r="V34" s="36">
        <v>0.7284909203154134</v>
      </c>
      <c r="W34" s="37">
        <v>51621</v>
      </c>
      <c r="X34" s="36">
        <v>0.71558413985343561</v>
      </c>
      <c r="Y34" s="37">
        <v>51621</v>
      </c>
      <c r="Z34" s="36">
        <v>0.88473194938213606</v>
      </c>
      <c r="AA34" s="37">
        <v>51621</v>
      </c>
      <c r="AB34" s="36">
        <v>0.93189592681077293</v>
      </c>
      <c r="AC34" s="37">
        <v>51621</v>
      </c>
      <c r="AD34" s="36">
        <v>0.58087695392892924</v>
      </c>
      <c r="AE34" s="37">
        <v>51621</v>
      </c>
      <c r="AF34" s="36">
        <v>0.59792048234553963</v>
      </c>
    </row>
    <row r="35" spans="1:32" x14ac:dyDescent="0.25">
      <c r="A35" s="37">
        <v>51986</v>
      </c>
      <c r="B35" s="36">
        <v>0.54234319794764863</v>
      </c>
      <c r="C35" s="37">
        <v>51986</v>
      </c>
      <c r="D35" s="36">
        <v>0.54414010848174943</v>
      </c>
      <c r="E35" s="37">
        <v>51986</v>
      </c>
      <c r="F35" s="36">
        <v>0.7819956437265696</v>
      </c>
      <c r="G35" s="37">
        <v>51986</v>
      </c>
      <c r="H35" s="36">
        <v>0.78997652371847515</v>
      </c>
      <c r="I35" s="37">
        <v>51986</v>
      </c>
      <c r="J35" s="36">
        <v>0.24697760908198133</v>
      </c>
      <c r="K35" s="37">
        <v>51986</v>
      </c>
      <c r="L35" s="36">
        <v>0.2446058447588759</v>
      </c>
      <c r="M35" s="37">
        <v>51986</v>
      </c>
      <c r="N35" s="36">
        <v>6.746257954397078E-2</v>
      </c>
      <c r="O35" s="37">
        <v>51986</v>
      </c>
      <c r="P35" s="36">
        <v>6.746257954397078E-2</v>
      </c>
      <c r="Q35" s="37">
        <v>51986</v>
      </c>
      <c r="R35" s="36">
        <v>0.89560935242195128</v>
      </c>
      <c r="S35" s="37">
        <v>51986</v>
      </c>
      <c r="T35" s="36">
        <v>0.99449842480967343</v>
      </c>
      <c r="U35" s="37">
        <v>51986</v>
      </c>
      <c r="V35" s="36">
        <v>0.71794368622141003</v>
      </c>
      <c r="W35" s="37">
        <v>51986</v>
      </c>
      <c r="X35" s="36">
        <v>0.7049074697129426</v>
      </c>
      <c r="Y35" s="37">
        <v>51986</v>
      </c>
      <c r="Z35" s="36">
        <v>0.87819495968969896</v>
      </c>
      <c r="AA35" s="37">
        <v>51986</v>
      </c>
      <c r="AB35" s="36">
        <v>0.92595186661359596</v>
      </c>
      <c r="AC35" s="37">
        <v>51986</v>
      </c>
      <c r="AD35" s="36">
        <v>0.56673211350154229</v>
      </c>
      <c r="AE35" s="37">
        <v>51986</v>
      </c>
      <c r="AF35" s="36">
        <v>0.58757718547794924</v>
      </c>
    </row>
    <row r="36" spans="1:32" x14ac:dyDescent="0.25">
      <c r="A36" s="37">
        <v>52351</v>
      </c>
      <c r="B36" s="36">
        <v>0.52770608732864988</v>
      </c>
      <c r="C36" s="37">
        <v>52351</v>
      </c>
      <c r="D36" s="36">
        <v>0.52952197289873448</v>
      </c>
      <c r="E36" s="37">
        <v>52351</v>
      </c>
      <c r="F36" s="36">
        <v>0.77127456933539795</v>
      </c>
      <c r="G36" s="37">
        <v>52351</v>
      </c>
      <c r="H36" s="36">
        <v>0.77740201461045522</v>
      </c>
      <c r="I36" s="37">
        <v>52351</v>
      </c>
      <c r="J36" s="36">
        <v>0.23194521972267967</v>
      </c>
      <c r="K36" s="37">
        <v>52351</v>
      </c>
      <c r="L36" s="36">
        <v>0.22968915598510922</v>
      </c>
      <c r="M36" s="37">
        <v>52351</v>
      </c>
      <c r="N36" s="36">
        <v>5.3765484928683042E-2</v>
      </c>
      <c r="O36" s="37">
        <v>52351</v>
      </c>
      <c r="P36" s="36">
        <v>5.3765484928683042E-2</v>
      </c>
      <c r="Q36" s="37">
        <v>52351</v>
      </c>
      <c r="R36" s="36">
        <v>0.8877976283201986</v>
      </c>
      <c r="S36" s="37">
        <v>52351</v>
      </c>
      <c r="T36" s="36">
        <v>0.98837604370531218</v>
      </c>
      <c r="U36" s="37">
        <v>52351</v>
      </c>
      <c r="V36" s="36">
        <v>0.70752723959521502</v>
      </c>
      <c r="W36" s="37">
        <v>52351</v>
      </c>
      <c r="X36" s="36">
        <v>0.69439093020289488</v>
      </c>
      <c r="Y36" s="37">
        <v>52351</v>
      </c>
      <c r="Z36" s="36">
        <v>0.87154150939307473</v>
      </c>
      <c r="AA36" s="37">
        <v>52351</v>
      </c>
      <c r="AB36" s="36">
        <v>0.91977292280142486</v>
      </c>
      <c r="AC36" s="37">
        <v>52351</v>
      </c>
      <c r="AD36" s="36">
        <v>0.55290290951854593</v>
      </c>
      <c r="AE36" s="37">
        <v>52351</v>
      </c>
      <c r="AF36" s="36">
        <v>0.57767526786951162</v>
      </c>
    </row>
    <row r="37" spans="1:32" x14ac:dyDescent="0.25">
      <c r="A37" s="37">
        <v>52717</v>
      </c>
      <c r="B37" s="36">
        <v>0.51343536347523755</v>
      </c>
      <c r="C37" s="37">
        <v>52717</v>
      </c>
      <c r="D37" s="36">
        <v>0.5152649326553258</v>
      </c>
      <c r="E37" s="37">
        <v>52717</v>
      </c>
      <c r="F37" s="36">
        <v>0.76057669405141015</v>
      </c>
      <c r="G37" s="37">
        <v>52717</v>
      </c>
      <c r="H37" s="36">
        <v>0.76475568860852206</v>
      </c>
      <c r="I37" s="37">
        <v>52717</v>
      </c>
      <c r="J37" s="36">
        <v>0.2177905974833205</v>
      </c>
      <c r="K37" s="37">
        <v>52717</v>
      </c>
      <c r="L37" s="36">
        <v>0.21564523349888168</v>
      </c>
      <c r="M37" s="37">
        <v>52717</v>
      </c>
      <c r="N37" s="36">
        <v>4.0454129693033698E-2</v>
      </c>
      <c r="O37" s="37">
        <v>52717</v>
      </c>
      <c r="P37" s="36">
        <v>4.0454129693033698E-2</v>
      </c>
      <c r="Q37" s="37">
        <v>52717</v>
      </c>
      <c r="R37" s="36">
        <v>0.87980963496441489</v>
      </c>
      <c r="S37" s="37">
        <v>52717</v>
      </c>
      <c r="T37" s="36">
        <v>0.98190415732468173</v>
      </c>
      <c r="U37" s="37">
        <v>52717</v>
      </c>
      <c r="V37" s="36">
        <v>0.69726036981602735</v>
      </c>
      <c r="W37" s="37">
        <v>52717</v>
      </c>
      <c r="X37" s="36">
        <v>0.68399695599754073</v>
      </c>
      <c r="Y37" s="37">
        <v>52717</v>
      </c>
      <c r="Z37" s="36">
        <v>0.86489998979556271</v>
      </c>
      <c r="AA37" s="37">
        <v>52717</v>
      </c>
      <c r="AB37" s="36">
        <v>0.91344487717758405</v>
      </c>
      <c r="AC37" s="37">
        <v>52717</v>
      </c>
      <c r="AD37" s="36">
        <v>0.53939404649230505</v>
      </c>
      <c r="AE37" s="37">
        <v>52717</v>
      </c>
      <c r="AF37" s="36">
        <v>0.56801453524425138</v>
      </c>
    </row>
    <row r="38" spans="1:32" x14ac:dyDescent="0.25">
      <c r="A38" s="37">
        <v>53082</v>
      </c>
      <c r="B38" s="36">
        <v>0.49990239425884542</v>
      </c>
      <c r="C38" s="37">
        <v>53082</v>
      </c>
      <c r="D38" s="36">
        <v>0.50169811240712547</v>
      </c>
      <c r="E38" s="37">
        <v>53082</v>
      </c>
      <c r="F38" s="36">
        <v>0.75175638187274774</v>
      </c>
      <c r="G38" s="37">
        <v>53082</v>
      </c>
      <c r="H38" s="36">
        <v>0.75466939037843472</v>
      </c>
      <c r="I38" s="37">
        <v>53082</v>
      </c>
      <c r="J38" s="36">
        <v>0.20453468706968675</v>
      </c>
      <c r="K38" s="37">
        <v>53082</v>
      </c>
      <c r="L38" s="36">
        <v>0.20249463672217766</v>
      </c>
      <c r="M38" s="37">
        <v>53082</v>
      </c>
      <c r="N38" s="36">
        <v>3.448163348691119E-2</v>
      </c>
      <c r="O38" s="37">
        <v>53082</v>
      </c>
      <c r="P38" s="36">
        <v>3.448163348691119E-2</v>
      </c>
      <c r="Q38" s="37">
        <v>53082</v>
      </c>
      <c r="R38" s="36">
        <v>0.87307653163055454</v>
      </c>
      <c r="S38" s="37">
        <v>53082</v>
      </c>
      <c r="T38" s="36">
        <v>0.97743224029129927</v>
      </c>
      <c r="U38" s="37">
        <v>53082</v>
      </c>
      <c r="V38" s="36">
        <v>0.68748995050725714</v>
      </c>
      <c r="W38" s="37">
        <v>53082</v>
      </c>
      <c r="X38" s="36">
        <v>0.67314186790823138</v>
      </c>
      <c r="Y38" s="37">
        <v>53082</v>
      </c>
      <c r="Z38" s="36">
        <v>0.86006035848666174</v>
      </c>
      <c r="AA38" s="37">
        <v>53082</v>
      </c>
      <c r="AB38" s="36">
        <v>0.90825064912113118</v>
      </c>
      <c r="AC38" s="37">
        <v>53082</v>
      </c>
      <c r="AD38" s="36">
        <v>0.52685578455368465</v>
      </c>
      <c r="AE38" s="37">
        <v>53082</v>
      </c>
      <c r="AF38" s="36">
        <v>0.55580269200489052</v>
      </c>
    </row>
    <row r="39" spans="1:32" x14ac:dyDescent="0.25">
      <c r="A39" s="37">
        <v>53447</v>
      </c>
      <c r="B39" s="36">
        <v>0.48671048672449496</v>
      </c>
      <c r="C39" s="37">
        <v>53447</v>
      </c>
      <c r="D39" s="36">
        <v>0.4884687630467221</v>
      </c>
      <c r="E39" s="37">
        <v>53447</v>
      </c>
      <c r="F39" s="36">
        <v>0.74297477240454746</v>
      </c>
      <c r="G39" s="37">
        <v>53447</v>
      </c>
      <c r="H39" s="36">
        <v>0.74454064591111391</v>
      </c>
      <c r="I39" s="37">
        <v>53447</v>
      </c>
      <c r="J39" s="36">
        <v>0.19208560285940979</v>
      </c>
      <c r="K39" s="37">
        <v>53447</v>
      </c>
      <c r="L39" s="36">
        <v>0.19014599690402786</v>
      </c>
      <c r="M39" s="37">
        <v>53447</v>
      </c>
      <c r="N39" s="36">
        <v>2.8509137280788681E-2</v>
      </c>
      <c r="O39" s="37">
        <v>53447</v>
      </c>
      <c r="P39" s="36">
        <v>2.8509137280788681E-2</v>
      </c>
      <c r="Q39" s="37">
        <v>53447</v>
      </c>
      <c r="R39" s="36">
        <v>0.86621280761776953</v>
      </c>
      <c r="S39" s="37">
        <v>53447</v>
      </c>
      <c r="T39" s="36">
        <v>0.97268641721170079</v>
      </c>
      <c r="U39" s="37">
        <v>53447</v>
      </c>
      <c r="V39" s="36">
        <v>0.67786467897472635</v>
      </c>
      <c r="W39" s="37">
        <v>53447</v>
      </c>
      <c r="X39" s="36">
        <v>0.66240945329303325</v>
      </c>
      <c r="Y39" s="37">
        <v>53447</v>
      </c>
      <c r="Z39" s="36">
        <v>0.85524709318642356</v>
      </c>
      <c r="AA39" s="37">
        <v>53447</v>
      </c>
      <c r="AB39" s="36">
        <v>0.90293262979690647</v>
      </c>
      <c r="AC39" s="37">
        <v>53447</v>
      </c>
      <c r="AD39" s="36">
        <v>0.51463611265505393</v>
      </c>
      <c r="AE39" s="37">
        <v>53447</v>
      </c>
      <c r="AF39" s="36">
        <v>0.54388467541021401</v>
      </c>
    </row>
    <row r="40" spans="1:32" x14ac:dyDescent="0.25">
      <c r="A40" s="37">
        <v>53812</v>
      </c>
      <c r="B40" s="36">
        <v>0.47385119485839094</v>
      </c>
      <c r="C40" s="37">
        <v>53812</v>
      </c>
      <c r="D40" s="36">
        <v>0.47556868308460232</v>
      </c>
      <c r="E40" s="37">
        <v>53812</v>
      </c>
      <c r="F40" s="36">
        <v>0.73423357413778179</v>
      </c>
      <c r="G40" s="37">
        <v>53812</v>
      </c>
      <c r="H40" s="36">
        <v>0.73437401068873442</v>
      </c>
      <c r="I40" s="37">
        <v>53812</v>
      </c>
      <c r="J40" s="36">
        <v>0.18039423705814656</v>
      </c>
      <c r="K40" s="37">
        <v>53812</v>
      </c>
      <c r="L40" s="36">
        <v>0.17855040866209124</v>
      </c>
      <c r="M40" s="37">
        <v>53812</v>
      </c>
      <c r="N40" s="36">
        <v>2.2536641074666172E-2</v>
      </c>
      <c r="O40" s="37">
        <v>53812</v>
      </c>
      <c r="P40" s="36">
        <v>2.2536641074666172E-2</v>
      </c>
      <c r="Q40" s="37">
        <v>53812</v>
      </c>
      <c r="R40" s="36">
        <v>0.85921972687101233</v>
      </c>
      <c r="S40" s="37">
        <v>53812</v>
      </c>
      <c r="T40" s="36">
        <v>0.96766864801271002</v>
      </c>
      <c r="U40" s="37">
        <v>53812</v>
      </c>
      <c r="V40" s="36">
        <v>0.6683823576831831</v>
      </c>
      <c r="W40" s="37">
        <v>53812</v>
      </c>
      <c r="X40" s="36">
        <v>0.65179882658094634</v>
      </c>
      <c r="Y40" s="37">
        <v>53812</v>
      </c>
      <c r="Z40" s="36">
        <v>0.85044986114379484</v>
      </c>
      <c r="AA40" s="37">
        <v>53812</v>
      </c>
      <c r="AB40" s="36">
        <v>0.89748537363105374</v>
      </c>
      <c r="AC40" s="37">
        <v>53812</v>
      </c>
      <c r="AD40" s="36">
        <v>0.5027231865154218</v>
      </c>
      <c r="AE40" s="37">
        <v>53812</v>
      </c>
      <c r="AF40" s="36">
        <v>0.53224971957766942</v>
      </c>
    </row>
    <row r="41" spans="1:32" x14ac:dyDescent="0.25">
      <c r="A41" s="37">
        <v>54178</v>
      </c>
      <c r="B41" s="36">
        <v>0.46131568637264442</v>
      </c>
      <c r="C41" s="37">
        <v>54178</v>
      </c>
      <c r="D41" s="36">
        <v>0.46298911936150516</v>
      </c>
      <c r="E41" s="37">
        <v>54178</v>
      </c>
      <c r="F41" s="36">
        <v>0.72552729242316782</v>
      </c>
      <c r="G41" s="37">
        <v>54178</v>
      </c>
      <c r="H41" s="36">
        <v>0.7241625243025881</v>
      </c>
      <c r="I41" s="37">
        <v>54178</v>
      </c>
      <c r="J41" s="36">
        <v>0.1693855502537002</v>
      </c>
      <c r="K41" s="37">
        <v>54178</v>
      </c>
      <c r="L41" s="36">
        <v>0.16763327115779716</v>
      </c>
      <c r="M41" s="37">
        <v>54178</v>
      </c>
      <c r="N41" s="36">
        <v>1.6547781865239215E-2</v>
      </c>
      <c r="O41" s="37">
        <v>54178</v>
      </c>
      <c r="P41" s="36">
        <v>1.6547781865239215E-2</v>
      </c>
      <c r="Q41" s="37">
        <v>54178</v>
      </c>
      <c r="R41" s="36">
        <v>0.85208436298719126</v>
      </c>
      <c r="S41" s="37">
        <v>54178</v>
      </c>
      <c r="T41" s="36">
        <v>0.96236757491053049</v>
      </c>
      <c r="U41" s="37">
        <v>54178</v>
      </c>
      <c r="V41" s="36">
        <v>0.65904114690476656</v>
      </c>
      <c r="W41" s="37">
        <v>54178</v>
      </c>
      <c r="X41" s="36">
        <v>0.64130718171600476</v>
      </c>
      <c r="Y41" s="37">
        <v>54178</v>
      </c>
      <c r="Z41" s="36">
        <v>0.84569037824860349</v>
      </c>
      <c r="AA41" s="37">
        <v>54178</v>
      </c>
      <c r="AB41" s="36">
        <v>0.89191970208489868</v>
      </c>
      <c r="AC41" s="37">
        <v>54178</v>
      </c>
      <c r="AD41" s="36">
        <v>0.49108848274458983</v>
      </c>
      <c r="AE41" s="37">
        <v>54178</v>
      </c>
      <c r="AF41" s="36">
        <v>0.52087076341295679</v>
      </c>
    </row>
    <row r="42" spans="1:32" x14ac:dyDescent="0.25">
      <c r="A42" s="37">
        <v>54543</v>
      </c>
      <c r="B42" s="36">
        <v>0.44912825341080637</v>
      </c>
      <c r="C42" s="37">
        <v>54543</v>
      </c>
      <c r="D42" s="36">
        <v>0.45076073265740074</v>
      </c>
      <c r="E42" s="37">
        <v>54543</v>
      </c>
      <c r="F42" s="36">
        <v>0.71692902735034836</v>
      </c>
      <c r="G42" s="37">
        <v>54543</v>
      </c>
      <c r="H42" s="36">
        <v>0.71407928342900751</v>
      </c>
      <c r="I42" s="37">
        <v>54543</v>
      </c>
      <c r="J42" s="36">
        <v>0.15907583208646364</v>
      </c>
      <c r="K42" s="37">
        <v>54543</v>
      </c>
      <c r="L42" s="36">
        <v>0.15741056639596207</v>
      </c>
      <c r="M42" s="37">
        <v>54543</v>
      </c>
      <c r="N42" s="36">
        <v>1.084637099359205E-2</v>
      </c>
      <c r="O42" s="37">
        <v>54543</v>
      </c>
      <c r="P42" s="36">
        <v>1.084637099359205E-2</v>
      </c>
      <c r="Q42" s="37">
        <v>54543</v>
      </c>
      <c r="R42" s="36">
        <v>0.84494441952579957</v>
      </c>
      <c r="S42" s="37">
        <v>54543</v>
      </c>
      <c r="T42" s="36">
        <v>0.95691813338669296</v>
      </c>
      <c r="U42" s="37">
        <v>54543</v>
      </c>
      <c r="V42" s="36">
        <v>0.64987398520798767</v>
      </c>
      <c r="W42" s="37">
        <v>54543</v>
      </c>
      <c r="X42" s="36">
        <v>0.63096393134419959</v>
      </c>
      <c r="Y42" s="37">
        <v>54543</v>
      </c>
      <c r="Z42" s="36">
        <v>0.84085990377375708</v>
      </c>
      <c r="AA42" s="37">
        <v>54543</v>
      </c>
      <c r="AB42" s="36">
        <v>0.88627766848723399</v>
      </c>
      <c r="AC42" s="37">
        <v>54543</v>
      </c>
      <c r="AD42" s="36">
        <v>0.47977532950271212</v>
      </c>
      <c r="AE42" s="37">
        <v>54543</v>
      </c>
      <c r="AF42" s="36">
        <v>0.50977907422992397</v>
      </c>
    </row>
    <row r="43" spans="1:32" x14ac:dyDescent="0.25">
      <c r="A43" s="37">
        <v>54908</v>
      </c>
      <c r="B43" s="36">
        <v>0.43778926540122126</v>
      </c>
      <c r="C43" s="37">
        <v>54908</v>
      </c>
      <c r="D43" s="36">
        <v>0.43947932563828979</v>
      </c>
      <c r="E43" s="37">
        <v>54908</v>
      </c>
      <c r="F43" s="36">
        <v>0.70947934404961099</v>
      </c>
      <c r="G43" s="37">
        <v>54908</v>
      </c>
      <c r="H43" s="36">
        <v>0.70660589030584586</v>
      </c>
      <c r="I43" s="37">
        <v>54908</v>
      </c>
      <c r="J43" s="36">
        <v>0.1493936189722179</v>
      </c>
      <c r="K43" s="37">
        <v>54908</v>
      </c>
      <c r="L43" s="36">
        <v>0.14781126826412272</v>
      </c>
      <c r="M43" s="37">
        <v>54908</v>
      </c>
      <c r="N43" s="36">
        <v>9.8211821416445445E-3</v>
      </c>
      <c r="O43" s="37">
        <v>54908</v>
      </c>
      <c r="P43" s="36">
        <v>9.8211821416445445E-3</v>
      </c>
      <c r="Q43" s="37">
        <v>54908</v>
      </c>
      <c r="R43" s="36">
        <v>0.83944064481168224</v>
      </c>
      <c r="S43" s="37">
        <v>54908</v>
      </c>
      <c r="T43" s="36">
        <v>0.95304049718523653</v>
      </c>
      <c r="U43" s="37">
        <v>54908</v>
      </c>
      <c r="V43" s="36">
        <v>0.64146687116249612</v>
      </c>
      <c r="W43" s="37">
        <v>54908</v>
      </c>
      <c r="X43" s="36">
        <v>0.62120188668725063</v>
      </c>
      <c r="Y43" s="37">
        <v>54908</v>
      </c>
      <c r="Z43" s="36">
        <v>0.83435390789635022</v>
      </c>
      <c r="AA43" s="37">
        <v>54908</v>
      </c>
      <c r="AB43" s="36">
        <v>0.88112970452174433</v>
      </c>
      <c r="AC43" s="37">
        <v>54908</v>
      </c>
      <c r="AD43" s="36">
        <v>0.46872658884835683</v>
      </c>
      <c r="AE43" s="37">
        <v>54908</v>
      </c>
      <c r="AF43" s="36">
        <v>0.4987254203809896</v>
      </c>
    </row>
    <row r="44" spans="1:32" x14ac:dyDescent="0.25">
      <c r="A44" s="37">
        <v>55273</v>
      </c>
      <c r="B44" s="36">
        <v>0.42675936348405874</v>
      </c>
      <c r="C44" s="37">
        <v>55273</v>
      </c>
      <c r="D44" s="36">
        <v>0.42850621640750797</v>
      </c>
      <c r="E44" s="37">
        <v>55273</v>
      </c>
      <c r="F44" s="36">
        <v>0.70212035046014731</v>
      </c>
      <c r="G44" s="37">
        <v>55273</v>
      </c>
      <c r="H44" s="36">
        <v>0.69922015123578107</v>
      </c>
      <c r="I44" s="37">
        <v>55273</v>
      </c>
      <c r="J44" s="36">
        <v>0.14030071756899767</v>
      </c>
      <c r="K44" s="37">
        <v>55273</v>
      </c>
      <c r="L44" s="36">
        <v>0.13879735983472646</v>
      </c>
      <c r="M44" s="37">
        <v>55273</v>
      </c>
      <c r="N44" s="36">
        <v>8.7959932896970391E-3</v>
      </c>
      <c r="O44" s="37">
        <v>55273</v>
      </c>
      <c r="P44" s="36">
        <v>8.7959932896970391E-3</v>
      </c>
      <c r="Q44" s="37">
        <v>55273</v>
      </c>
      <c r="R44" s="36">
        <v>0.83391349742620435</v>
      </c>
      <c r="S44" s="37">
        <v>55273</v>
      </c>
      <c r="T44" s="36">
        <v>0.94901504807235959</v>
      </c>
      <c r="U44" s="37">
        <v>55273</v>
      </c>
      <c r="V44" s="36">
        <v>0.6332182209970082</v>
      </c>
      <c r="W44" s="37">
        <v>55273</v>
      </c>
      <c r="X44" s="36">
        <v>0.61157480551036025</v>
      </c>
      <c r="Y44" s="37">
        <v>55273</v>
      </c>
      <c r="Z44" s="36">
        <v>0.82777122442412243</v>
      </c>
      <c r="AA44" s="37">
        <v>55273</v>
      </c>
      <c r="AB44" s="36">
        <v>0.87589414455749914</v>
      </c>
      <c r="AC44" s="37">
        <v>55273</v>
      </c>
      <c r="AD44" s="36">
        <v>0.45795352499003306</v>
      </c>
      <c r="AE44" s="37">
        <v>55273</v>
      </c>
      <c r="AF44" s="36">
        <v>0.48792261819868532</v>
      </c>
    </row>
    <row r="45" spans="1:32" x14ac:dyDescent="0.25">
      <c r="A45" s="37">
        <v>55639</v>
      </c>
      <c r="B45" s="36">
        <v>0.4160309687106829</v>
      </c>
      <c r="C45" s="37">
        <v>55639</v>
      </c>
      <c r="D45" s="36">
        <v>0.4178339506857322</v>
      </c>
      <c r="E45" s="37">
        <v>55639</v>
      </c>
      <c r="F45" s="36">
        <v>0.6948481348478156</v>
      </c>
      <c r="G45" s="37">
        <v>55639</v>
      </c>
      <c r="H45" s="36">
        <v>0.69191807880965428</v>
      </c>
      <c r="I45" s="37">
        <v>55639</v>
      </c>
      <c r="J45" s="36">
        <v>0.13173876634846993</v>
      </c>
      <c r="K45" s="37">
        <v>55639</v>
      </c>
      <c r="L45" s="36">
        <v>0.13031084964467501</v>
      </c>
      <c r="M45" s="37">
        <v>55639</v>
      </c>
      <c r="N45" s="36">
        <v>7.7679957011688554E-3</v>
      </c>
      <c r="O45" s="37">
        <v>55639</v>
      </c>
      <c r="P45" s="36">
        <v>7.7679957011688554E-3</v>
      </c>
      <c r="Q45" s="37">
        <v>55639</v>
      </c>
      <c r="R45" s="36">
        <v>0.82835252502383738</v>
      </c>
      <c r="S45" s="37">
        <v>55639</v>
      </c>
      <c r="T45" s="36">
        <v>0.94483273483411734</v>
      </c>
      <c r="U45" s="37">
        <v>55639</v>
      </c>
      <c r="V45" s="36">
        <v>0.62512729340525086</v>
      </c>
      <c r="W45" s="37">
        <v>55639</v>
      </c>
      <c r="X45" s="36">
        <v>0.60208022425544694</v>
      </c>
      <c r="Y45" s="37">
        <v>55639</v>
      </c>
      <c r="Z45" s="36">
        <v>0.82112988220356353</v>
      </c>
      <c r="AA45" s="37">
        <v>55639</v>
      </c>
      <c r="AB45" s="36">
        <v>0.8705831678835213</v>
      </c>
      <c r="AC45" s="37">
        <v>55639</v>
      </c>
      <c r="AD45" s="36">
        <v>0.44743047638196154</v>
      </c>
      <c r="AE45" s="37">
        <v>55639</v>
      </c>
      <c r="AF45" s="36">
        <v>0.47734597129145556</v>
      </c>
    </row>
    <row r="46" spans="1:32" x14ac:dyDescent="0.25">
      <c r="A46" s="37">
        <v>56004</v>
      </c>
      <c r="B46" s="36">
        <v>0.40559375629111905</v>
      </c>
      <c r="C46" s="37">
        <v>56004</v>
      </c>
      <c r="D46" s="36">
        <v>0.4074519130489424</v>
      </c>
      <c r="E46" s="37">
        <v>56004</v>
      </c>
      <c r="F46" s="36">
        <v>0.68766384518216861</v>
      </c>
      <c r="G46" s="37">
        <v>56004</v>
      </c>
      <c r="H46" s="36">
        <v>0.68470122977167214</v>
      </c>
      <c r="I46" s="37">
        <v>56004</v>
      </c>
      <c r="J46" s="36">
        <v>0.12372043449715253</v>
      </c>
      <c r="K46" s="37">
        <v>56004</v>
      </c>
      <c r="L46" s="36">
        <v>0.12236416141279378</v>
      </c>
      <c r="M46" s="37">
        <v>56004</v>
      </c>
      <c r="N46" s="36">
        <v>6.7428068492213483E-3</v>
      </c>
      <c r="O46" s="37">
        <v>56004</v>
      </c>
      <c r="P46" s="36">
        <v>6.7428068492213483E-3</v>
      </c>
      <c r="Q46" s="37">
        <v>56004</v>
      </c>
      <c r="R46" s="36">
        <v>0.82278460862369951</v>
      </c>
      <c r="S46" s="37">
        <v>56004</v>
      </c>
      <c r="T46" s="36">
        <v>0.94051629955903215</v>
      </c>
      <c r="U46" s="37">
        <v>56004</v>
      </c>
      <c r="V46" s="36">
        <v>0.61718665138581108</v>
      </c>
      <c r="W46" s="37">
        <v>56004</v>
      </c>
      <c r="X46" s="36">
        <v>0.59271783505617737</v>
      </c>
      <c r="Y46" s="37">
        <v>56004</v>
      </c>
      <c r="Z46" s="36">
        <v>0.81443170737990656</v>
      </c>
      <c r="AA46" s="37">
        <v>56004</v>
      </c>
      <c r="AB46" s="36">
        <v>0.86520040787533681</v>
      </c>
      <c r="AC46" s="37">
        <v>56004</v>
      </c>
      <c r="AD46" s="36">
        <v>0.43719784513965881</v>
      </c>
      <c r="AE46" s="37">
        <v>56004</v>
      </c>
      <c r="AF46" s="36">
        <v>0.46703751418854861</v>
      </c>
    </row>
    <row r="47" spans="1:32" x14ac:dyDescent="0.25">
      <c r="A47" s="37">
        <v>56369</v>
      </c>
      <c r="B47" s="36">
        <v>0.39544063216796693</v>
      </c>
      <c r="C47" s="37">
        <v>56369</v>
      </c>
      <c r="D47" s="36">
        <v>0.39735313876403061</v>
      </c>
      <c r="E47" s="37">
        <v>56369</v>
      </c>
      <c r="F47" s="36">
        <v>0.68056583043038721</v>
      </c>
      <c r="G47" s="37">
        <v>56369</v>
      </c>
      <c r="H47" s="36">
        <v>0.67756786648616452</v>
      </c>
      <c r="I47" s="37">
        <v>56369</v>
      </c>
      <c r="J47" s="36">
        <v>0.11619014156907645</v>
      </c>
      <c r="K47" s="37">
        <v>56369</v>
      </c>
      <c r="L47" s="36">
        <v>0.11490208251334279</v>
      </c>
      <c r="M47" s="37">
        <v>56369</v>
      </c>
      <c r="N47" s="36">
        <v>5.7176179972738437E-3</v>
      </c>
      <c r="O47" s="37">
        <v>56369</v>
      </c>
      <c r="P47" s="36">
        <v>5.7176179972738437E-3</v>
      </c>
      <c r="Q47" s="37">
        <v>56369</v>
      </c>
      <c r="R47" s="36">
        <v>0.81719660247862613</v>
      </c>
      <c r="S47" s="37">
        <v>56369</v>
      </c>
      <c r="T47" s="36">
        <v>0.93605626522800189</v>
      </c>
      <c r="U47" s="37">
        <v>56369</v>
      </c>
      <c r="V47" s="36">
        <v>0.60939565334020895</v>
      </c>
      <c r="W47" s="37">
        <v>56369</v>
      </c>
      <c r="X47" s="36">
        <v>0.58348522219885102</v>
      </c>
      <c r="Y47" s="37">
        <v>56369</v>
      </c>
      <c r="Z47" s="36">
        <v>0.80767179273286938</v>
      </c>
      <c r="AA47" s="37">
        <v>56369</v>
      </c>
      <c r="AB47" s="36">
        <v>0.85974120037828761</v>
      </c>
      <c r="AC47" s="37">
        <v>56369</v>
      </c>
      <c r="AD47" s="36">
        <v>0.42722312259801259</v>
      </c>
      <c r="AE47" s="37">
        <v>56369</v>
      </c>
      <c r="AF47" s="36">
        <v>0.45696573353437658</v>
      </c>
    </row>
    <row r="48" spans="1:32" x14ac:dyDescent="0.25">
      <c r="A48" s="37">
        <v>56734</v>
      </c>
      <c r="B48" s="36">
        <v>0.38556373006792111</v>
      </c>
      <c r="C48" s="37">
        <v>56734</v>
      </c>
      <c r="D48" s="36">
        <v>0.38752975300894732</v>
      </c>
      <c r="E48" s="37">
        <v>56734</v>
      </c>
      <c r="F48" s="36">
        <v>0.67355409219048745</v>
      </c>
      <c r="G48" s="37">
        <v>56734</v>
      </c>
      <c r="H48" s="36">
        <v>0.67051806333143749</v>
      </c>
      <c r="I48" s="37">
        <v>56734</v>
      </c>
      <c r="J48" s="36">
        <v>0.10911818288314158</v>
      </c>
      <c r="K48" s="37">
        <v>56734</v>
      </c>
      <c r="L48" s="36">
        <v>0.10789506023225726</v>
      </c>
      <c r="M48" s="37">
        <v>56734</v>
      </c>
      <c r="N48" s="36">
        <v>4.6924291453263375E-3</v>
      </c>
      <c r="O48" s="37">
        <v>56734</v>
      </c>
      <c r="P48" s="36">
        <v>4.6924291453263375E-3</v>
      </c>
      <c r="Q48" s="37">
        <v>56734</v>
      </c>
      <c r="R48" s="36">
        <v>0.81158777239219337</v>
      </c>
      <c r="S48" s="37">
        <v>56734</v>
      </c>
      <c r="T48" s="36">
        <v>0.93145343347130272</v>
      </c>
      <c r="U48" s="37">
        <v>56734</v>
      </c>
      <c r="V48" s="36">
        <v>0.60175147916711547</v>
      </c>
      <c r="W48" s="37">
        <v>56734</v>
      </c>
      <c r="X48" s="36">
        <v>0.57438069815529491</v>
      </c>
      <c r="Y48" s="37">
        <v>56734</v>
      </c>
      <c r="Z48" s="36">
        <v>0.80084152692260457</v>
      </c>
      <c r="AA48" s="37">
        <v>56734</v>
      </c>
      <c r="AB48" s="36">
        <v>0.8541990837779021</v>
      </c>
      <c r="AC48" s="37">
        <v>56734</v>
      </c>
      <c r="AD48" s="36">
        <v>0.41749672546476585</v>
      </c>
      <c r="AE48" s="37">
        <v>56734</v>
      </c>
      <c r="AF48" s="36">
        <v>0.44712217099163587</v>
      </c>
    </row>
    <row r="49" spans="1:32" x14ac:dyDescent="0.25">
      <c r="A49" s="37">
        <v>57100</v>
      </c>
      <c r="B49" s="36">
        <v>0.37595647017910594</v>
      </c>
      <c r="C49" s="37">
        <v>57100</v>
      </c>
      <c r="D49" s="36">
        <v>0.3779753180535193</v>
      </c>
      <c r="E49" s="37">
        <v>57100</v>
      </c>
      <c r="F49" s="36">
        <v>0.66662497404436805</v>
      </c>
      <c r="G49" s="37">
        <v>57100</v>
      </c>
      <c r="H49" s="36">
        <v>0.66354806226835283</v>
      </c>
      <c r="I49" s="37">
        <v>57100</v>
      </c>
      <c r="J49" s="36">
        <v>0.10245916805195503</v>
      </c>
      <c r="K49" s="37">
        <v>57100</v>
      </c>
      <c r="L49" s="36">
        <v>0.10129801451605928</v>
      </c>
      <c r="M49" s="37">
        <v>57100</v>
      </c>
      <c r="N49" s="36">
        <v>3.6644315567981537E-3</v>
      </c>
      <c r="O49" s="37">
        <v>57100</v>
      </c>
      <c r="P49" s="36">
        <v>3.6644315567981537E-3</v>
      </c>
      <c r="Q49" s="37">
        <v>57100</v>
      </c>
      <c r="R49" s="36">
        <v>0.80594742783163209</v>
      </c>
      <c r="S49" s="37">
        <v>57100</v>
      </c>
      <c r="T49" s="36">
        <v>0.92669761242118642</v>
      </c>
      <c r="U49" s="37">
        <v>57100</v>
      </c>
      <c r="V49" s="36">
        <v>0.59425383405188437</v>
      </c>
      <c r="W49" s="37">
        <v>57100</v>
      </c>
      <c r="X49" s="36">
        <v>0.56540181881157314</v>
      </c>
      <c r="Y49" s="37">
        <v>57100</v>
      </c>
      <c r="Z49" s="36">
        <v>0.79395862309240406</v>
      </c>
      <c r="AA49" s="37">
        <v>57100</v>
      </c>
      <c r="AB49" s="36">
        <v>0.84858625020539413</v>
      </c>
      <c r="AC49" s="37">
        <v>57100</v>
      </c>
      <c r="AD49" s="36">
        <v>0.40799557636177436</v>
      </c>
      <c r="AE49" s="37">
        <v>57100</v>
      </c>
      <c r="AF49" s="36">
        <v>0.43748437411785063</v>
      </c>
    </row>
    <row r="50" spans="1:32" x14ac:dyDescent="0.25">
      <c r="A50" s="37">
        <v>57465</v>
      </c>
      <c r="B50" s="36">
        <v>0.36660928391338143</v>
      </c>
      <c r="C50" s="37">
        <v>57465</v>
      </c>
      <c r="D50" s="36">
        <v>0.36867996067299125</v>
      </c>
      <c r="E50" s="37">
        <v>57465</v>
      </c>
      <c r="F50" s="36">
        <v>0.65977942603605821</v>
      </c>
      <c r="G50" s="37">
        <v>57465</v>
      </c>
      <c r="H50" s="36">
        <v>0.65665925206916098</v>
      </c>
      <c r="I50" s="37">
        <v>57465</v>
      </c>
      <c r="J50" s="36">
        <v>9.6222950472102026E-2</v>
      </c>
      <c r="K50" s="37">
        <v>57465</v>
      </c>
      <c r="L50" s="36">
        <v>9.5120603026051478E-2</v>
      </c>
      <c r="M50" s="37">
        <v>57465</v>
      </c>
      <c r="N50" s="36">
        <v>2.6392427048506483E-3</v>
      </c>
      <c r="O50" s="37">
        <v>57465</v>
      </c>
      <c r="P50" s="36">
        <v>2.6392427048506483E-3</v>
      </c>
      <c r="Q50" s="37">
        <v>57465</v>
      </c>
      <c r="R50" s="36">
        <v>0.80030290006756921</v>
      </c>
      <c r="S50" s="37">
        <v>57465</v>
      </c>
      <c r="T50" s="36">
        <v>0.9218146108745946</v>
      </c>
      <c r="U50" s="37">
        <v>57465</v>
      </c>
      <c r="V50" s="36">
        <v>0.58689509271185247</v>
      </c>
      <c r="W50" s="37">
        <v>57465</v>
      </c>
      <c r="X50" s="36">
        <v>0.55654848786043754</v>
      </c>
      <c r="Y50" s="37">
        <v>57465</v>
      </c>
      <c r="Z50" s="36">
        <v>0.78702592344524491</v>
      </c>
      <c r="AA50" s="37">
        <v>57465</v>
      </c>
      <c r="AB50" s="36">
        <v>0.84290721675565372</v>
      </c>
      <c r="AC50" s="37">
        <v>57465</v>
      </c>
      <c r="AD50" s="36">
        <v>0.39875611877779804</v>
      </c>
      <c r="AE50" s="37">
        <v>57465</v>
      </c>
      <c r="AF50" s="36">
        <v>0.42809062612050497</v>
      </c>
    </row>
    <row r="51" spans="1:32" x14ac:dyDescent="0.25">
      <c r="A51" s="37">
        <v>57830</v>
      </c>
      <c r="B51" s="36">
        <v>0.35751602742639566</v>
      </c>
      <c r="C51" s="37">
        <v>57830</v>
      </c>
      <c r="D51" s="36">
        <v>0.35963768339652596</v>
      </c>
      <c r="E51" s="37">
        <v>57830</v>
      </c>
      <c r="F51" s="36">
        <v>0.65301595516078681</v>
      </c>
      <c r="G51" s="37">
        <v>57830</v>
      </c>
      <c r="H51" s="36">
        <v>0.64985002852146734</v>
      </c>
      <c r="I51" s="37">
        <v>57830</v>
      </c>
      <c r="J51" s="36">
        <v>9.0366302729118553E-2</v>
      </c>
      <c r="K51" s="37">
        <v>57830</v>
      </c>
      <c r="L51" s="36">
        <v>8.9319905856646939E-2</v>
      </c>
      <c r="M51" s="37">
        <v>57830</v>
      </c>
      <c r="N51" s="36">
        <v>1.6140538529031412E-3</v>
      </c>
      <c r="O51" s="37">
        <v>57830</v>
      </c>
      <c r="P51" s="36">
        <v>1.6140538529031412E-3</v>
      </c>
      <c r="Q51" s="37">
        <v>57830</v>
      </c>
      <c r="R51" s="36">
        <v>0.79464081122562502</v>
      </c>
      <c r="S51" s="37">
        <v>57830</v>
      </c>
      <c r="T51" s="36">
        <v>0.91679362962494715</v>
      </c>
      <c r="U51" s="37">
        <v>57830</v>
      </c>
      <c r="V51" s="36">
        <v>0.57967505527760199</v>
      </c>
      <c r="W51" s="37">
        <v>57830</v>
      </c>
      <c r="X51" s="36">
        <v>0.54781830517480412</v>
      </c>
      <c r="Y51" s="37">
        <v>57830</v>
      </c>
      <c r="Z51" s="36">
        <v>0.78003797718723689</v>
      </c>
      <c r="AA51" s="37">
        <v>57830</v>
      </c>
      <c r="AB51" s="36">
        <v>0.83715679573984292</v>
      </c>
      <c r="AC51" s="37">
        <v>57830</v>
      </c>
      <c r="AD51" s="36">
        <v>0.38974905163808465</v>
      </c>
      <c r="AE51" s="37">
        <v>57830</v>
      </c>
      <c r="AF51" s="36">
        <v>0.41891223943142103</v>
      </c>
    </row>
    <row r="52" spans="1:32" x14ac:dyDescent="0.25">
      <c r="A52" s="37">
        <v>58195</v>
      </c>
      <c r="B52" s="36">
        <v>0.34864725170070021</v>
      </c>
      <c r="C52" s="37">
        <v>58195</v>
      </c>
      <c r="D52" s="36">
        <v>0.35081588984552908</v>
      </c>
      <c r="E52" s="37">
        <v>58195</v>
      </c>
      <c r="F52" s="36">
        <v>0.64632126342775109</v>
      </c>
      <c r="G52" s="37">
        <v>58195</v>
      </c>
      <c r="H52" s="36">
        <v>0.64311128539736084</v>
      </c>
      <c r="I52" s="37">
        <v>58195</v>
      </c>
      <c r="J52" s="36">
        <v>8.4866122155527787E-2</v>
      </c>
      <c r="K52" s="37">
        <v>58195</v>
      </c>
      <c r="L52" s="36">
        <v>8.3872950007005939E-2</v>
      </c>
      <c r="M52" s="37">
        <v>58195</v>
      </c>
      <c r="N52" s="36">
        <v>6.1734196497088584E-4</v>
      </c>
      <c r="O52" s="37">
        <v>58195</v>
      </c>
      <c r="P52" s="36">
        <v>6.1734196497088584E-4</v>
      </c>
      <c r="Q52" s="37">
        <v>58195</v>
      </c>
      <c r="R52" s="36">
        <v>0.78902337130725519</v>
      </c>
      <c r="S52" s="37">
        <v>58195</v>
      </c>
      <c r="T52" s="36">
        <v>0.91181265370628239</v>
      </c>
      <c r="U52" s="37">
        <v>58195</v>
      </c>
      <c r="V52" s="36">
        <v>0.57253830937059036</v>
      </c>
      <c r="W52" s="37">
        <v>58195</v>
      </c>
      <c r="X52" s="36">
        <v>0.53922625241124367</v>
      </c>
      <c r="Y52" s="37">
        <v>58195</v>
      </c>
      <c r="Z52" s="36">
        <v>0.77311141041851461</v>
      </c>
      <c r="AA52" s="37">
        <v>58195</v>
      </c>
      <c r="AB52" s="36">
        <v>0.83144837472483546</v>
      </c>
      <c r="AC52" s="37">
        <v>58195</v>
      </c>
      <c r="AD52" s="36">
        <v>0.38094123432973126</v>
      </c>
      <c r="AE52" s="37">
        <v>58195</v>
      </c>
      <c r="AF52" s="36">
        <v>0.40992714691395538</v>
      </c>
    </row>
    <row r="53" spans="1:32" x14ac:dyDescent="0.25">
      <c r="A53" s="37"/>
      <c r="B53" s="36"/>
      <c r="C53" s="37"/>
      <c r="D53" s="36"/>
      <c r="E53" s="37"/>
      <c r="F53" s="36"/>
      <c r="G53" s="37"/>
      <c r="H53" s="36"/>
      <c r="I53" s="37"/>
      <c r="J53" s="36"/>
      <c r="K53" s="37"/>
      <c r="L53" s="36"/>
      <c r="M53" s="37"/>
      <c r="N53" s="36"/>
      <c r="O53" s="37"/>
      <c r="P53" s="36"/>
      <c r="Q53" s="37"/>
      <c r="R53" s="36"/>
      <c r="S53" s="37"/>
      <c r="T53" s="36"/>
      <c r="U53" s="37"/>
      <c r="V53" s="36"/>
      <c r="W53" s="37"/>
      <c r="X53" s="36"/>
      <c r="Y53" s="37"/>
      <c r="Z53" s="36"/>
      <c r="AA53" s="37"/>
      <c r="AB53" s="36"/>
      <c r="AC53" s="37"/>
      <c r="AD53" s="36"/>
      <c r="AE53" s="37"/>
      <c r="AF53" s="36"/>
    </row>
    <row r="54" spans="1:32" x14ac:dyDescent="0.25">
      <c r="A54" s="37"/>
      <c r="B54" s="36"/>
      <c r="C54" s="37"/>
      <c r="D54" s="36"/>
      <c r="E54" s="37"/>
      <c r="F54" s="36"/>
      <c r="G54" s="37"/>
      <c r="H54" s="36"/>
      <c r="I54" s="37"/>
      <c r="J54" s="36"/>
      <c r="K54" s="37"/>
      <c r="L54" s="36"/>
      <c r="M54" s="37"/>
      <c r="N54" s="36"/>
      <c r="O54" s="37"/>
      <c r="P54" s="36"/>
      <c r="Q54" s="37"/>
      <c r="R54" s="36"/>
      <c r="S54" s="37"/>
      <c r="T54" s="36"/>
      <c r="U54" s="37"/>
      <c r="V54" s="36"/>
      <c r="W54" s="37"/>
      <c r="X54" s="36"/>
      <c r="Y54" s="37"/>
      <c r="Z54" s="36"/>
      <c r="AA54" s="37"/>
      <c r="AB54" s="36"/>
      <c r="AC54" s="37"/>
      <c r="AD54" s="36"/>
      <c r="AE54" s="37"/>
      <c r="AF54" s="36"/>
    </row>
    <row r="55" spans="1:32" x14ac:dyDescent="0.25">
      <c r="A55" s="37"/>
      <c r="B55" s="36"/>
      <c r="C55" s="37"/>
      <c r="D55" s="36"/>
      <c r="E55" s="37"/>
      <c r="F55" s="36"/>
      <c r="G55" s="37"/>
      <c r="H55" s="36"/>
      <c r="I55" s="37"/>
      <c r="J55" s="36"/>
      <c r="K55" s="37"/>
      <c r="L55" s="36"/>
      <c r="M55" s="37"/>
      <c r="N55" s="36"/>
      <c r="O55" s="37"/>
      <c r="P55" s="36"/>
      <c r="Q55" s="37"/>
      <c r="R55" s="36"/>
      <c r="S55" s="37"/>
      <c r="T55" s="36"/>
      <c r="U55" s="37"/>
      <c r="V55" s="36"/>
      <c r="W55" s="37"/>
      <c r="X55" s="36"/>
      <c r="Y55" s="37"/>
      <c r="Z55" s="36"/>
      <c r="AA55" s="37"/>
      <c r="AB55" s="36"/>
      <c r="AC55" s="37"/>
      <c r="AD55" s="36"/>
      <c r="AE55" s="37"/>
      <c r="AF55" s="36"/>
    </row>
    <row r="56" spans="1:32" x14ac:dyDescent="0.25">
      <c r="A56" s="37"/>
      <c r="B56" s="36"/>
      <c r="C56" s="37"/>
      <c r="D56" s="36"/>
      <c r="E56" s="37"/>
      <c r="F56" s="36"/>
      <c r="G56" s="37"/>
      <c r="H56" s="36"/>
      <c r="I56" s="37"/>
      <c r="J56" s="36"/>
      <c r="K56" s="37"/>
      <c r="L56" s="36"/>
      <c r="M56" s="37"/>
      <c r="N56" s="36"/>
      <c r="O56" s="37"/>
      <c r="P56" s="36"/>
      <c r="Q56" s="37"/>
      <c r="R56" s="36"/>
      <c r="S56" s="37"/>
      <c r="T56" s="36"/>
      <c r="U56" s="37"/>
      <c r="V56" s="36"/>
      <c r="W56" s="37"/>
      <c r="X56" s="36"/>
      <c r="Y56" s="37"/>
      <c r="Z56" s="36"/>
      <c r="AA56" s="37"/>
      <c r="AB56" s="36"/>
      <c r="AC56" s="37"/>
      <c r="AD56" s="36"/>
      <c r="AE56" s="37"/>
      <c r="AF56" s="36"/>
    </row>
    <row r="57" spans="1:32" x14ac:dyDescent="0.25">
      <c r="A57" s="37"/>
      <c r="B57" s="36"/>
      <c r="C57" s="37"/>
      <c r="D57" s="36"/>
      <c r="E57" s="37"/>
      <c r="F57" s="36"/>
      <c r="G57" s="37"/>
      <c r="H57" s="36"/>
      <c r="I57" s="37"/>
      <c r="J57" s="36"/>
      <c r="K57" s="37"/>
      <c r="L57" s="36"/>
      <c r="M57" s="37"/>
      <c r="N57" s="36"/>
      <c r="O57" s="37"/>
      <c r="P57" s="36"/>
      <c r="Q57" s="37"/>
      <c r="R57" s="36"/>
      <c r="S57" s="37"/>
      <c r="T57" s="36"/>
      <c r="U57" s="37"/>
      <c r="V57" s="36"/>
      <c r="W57" s="37"/>
      <c r="X57" s="36"/>
      <c r="Y57" s="37"/>
      <c r="Z57" s="36"/>
      <c r="AA57" s="37"/>
      <c r="AB57" s="36"/>
      <c r="AC57" s="37"/>
      <c r="AD57" s="36"/>
      <c r="AE57" s="37"/>
      <c r="AF57" s="36"/>
    </row>
    <row r="58" spans="1:32" x14ac:dyDescent="0.25">
      <c r="A58" s="37"/>
      <c r="B58" s="36"/>
      <c r="C58" s="37"/>
      <c r="D58" s="36"/>
      <c r="E58" s="37"/>
      <c r="F58" s="36"/>
      <c r="G58" s="37"/>
      <c r="H58" s="36"/>
      <c r="I58" s="37"/>
      <c r="J58" s="36"/>
      <c r="K58" s="37"/>
      <c r="L58" s="36"/>
      <c r="M58" s="37"/>
      <c r="N58" s="36"/>
      <c r="O58" s="37"/>
      <c r="P58" s="36"/>
      <c r="Q58" s="37"/>
      <c r="R58" s="36"/>
      <c r="S58" s="37"/>
      <c r="T58" s="36"/>
      <c r="U58" s="37"/>
      <c r="V58" s="36"/>
      <c r="W58" s="37"/>
      <c r="X58" s="36"/>
      <c r="Y58" s="37"/>
      <c r="Z58" s="36"/>
      <c r="AA58" s="37"/>
      <c r="AB58" s="36"/>
      <c r="AC58" s="37"/>
      <c r="AD58" s="36"/>
      <c r="AE58" s="37"/>
      <c r="AF58" s="36"/>
    </row>
    <row r="59" spans="1:32" x14ac:dyDescent="0.25">
      <c r="A59" s="37"/>
      <c r="B59" s="36"/>
      <c r="C59" s="37"/>
      <c r="D59" s="36"/>
      <c r="E59" s="37"/>
      <c r="F59" s="36"/>
      <c r="G59" s="37"/>
      <c r="H59" s="36"/>
      <c r="I59" s="37"/>
      <c r="J59" s="36"/>
      <c r="K59" s="37"/>
      <c r="L59" s="36"/>
      <c r="M59" s="37"/>
      <c r="N59" s="36"/>
      <c r="O59" s="37"/>
      <c r="P59" s="36"/>
      <c r="Q59" s="37"/>
      <c r="R59" s="36"/>
      <c r="S59" s="37"/>
      <c r="T59" s="36"/>
      <c r="U59" s="37"/>
      <c r="V59" s="36"/>
      <c r="W59" s="37"/>
      <c r="X59" s="36"/>
      <c r="Y59" s="37"/>
      <c r="Z59" s="36"/>
      <c r="AA59" s="37"/>
      <c r="AB59" s="36"/>
      <c r="AC59" s="37"/>
      <c r="AD59" s="36"/>
      <c r="AE59" s="37"/>
      <c r="AF59" s="36"/>
    </row>
    <row r="60" spans="1:32" x14ac:dyDescent="0.25">
      <c r="A60" s="37"/>
      <c r="B60" s="36"/>
      <c r="C60" s="37"/>
      <c r="D60" s="36"/>
      <c r="E60" s="37"/>
      <c r="F60" s="36"/>
      <c r="G60" s="37"/>
      <c r="H60" s="36"/>
      <c r="I60" s="37"/>
      <c r="J60" s="36"/>
      <c r="K60" s="37"/>
      <c r="L60" s="36"/>
      <c r="M60" s="37"/>
      <c r="N60" s="36"/>
      <c r="O60" s="37"/>
      <c r="P60" s="36"/>
      <c r="Q60" s="37"/>
      <c r="R60" s="36"/>
      <c r="S60" s="37"/>
      <c r="T60" s="36"/>
      <c r="U60" s="37"/>
      <c r="V60" s="36"/>
      <c r="W60" s="37"/>
      <c r="X60" s="36"/>
      <c r="Y60" s="37"/>
      <c r="Z60" s="36"/>
      <c r="AA60" s="37"/>
      <c r="AB60" s="36"/>
      <c r="AC60" s="37"/>
      <c r="AD60" s="36"/>
      <c r="AE60" s="37"/>
      <c r="AF60" s="36"/>
    </row>
    <row r="61" spans="1:32" x14ac:dyDescent="0.25">
      <c r="A61" s="37"/>
      <c r="B61" s="36"/>
      <c r="C61" s="37"/>
      <c r="D61" s="36"/>
      <c r="E61" s="37"/>
      <c r="F61" s="36"/>
      <c r="G61" s="37"/>
      <c r="H61" s="36"/>
      <c r="I61" s="37"/>
      <c r="J61" s="36"/>
      <c r="K61" s="37"/>
      <c r="L61" s="36"/>
      <c r="M61" s="37"/>
      <c r="N61" s="36"/>
      <c r="O61" s="37"/>
      <c r="P61" s="36"/>
      <c r="Q61" s="37"/>
      <c r="R61" s="36"/>
      <c r="S61" s="37"/>
      <c r="T61" s="36"/>
      <c r="U61" s="37"/>
      <c r="V61" s="36"/>
      <c r="W61" s="37"/>
      <c r="X61" s="36"/>
      <c r="Y61" s="37"/>
      <c r="Z61" s="36"/>
      <c r="AA61" s="37"/>
      <c r="AB61" s="36"/>
      <c r="AC61" s="37"/>
      <c r="AD61" s="36"/>
      <c r="AE61" s="37"/>
      <c r="AF61" s="36"/>
    </row>
    <row r="62" spans="1:32" x14ac:dyDescent="0.25">
      <c r="A62" s="37"/>
      <c r="B62" s="36"/>
      <c r="C62" s="37"/>
      <c r="D62" s="36"/>
      <c r="E62" s="37"/>
      <c r="F62" s="36"/>
      <c r="G62" s="37"/>
      <c r="H62" s="36"/>
      <c r="I62" s="37"/>
      <c r="J62" s="36"/>
      <c r="K62" s="37"/>
      <c r="L62" s="36"/>
      <c r="M62" s="37"/>
      <c r="N62" s="36"/>
      <c r="O62" s="37"/>
      <c r="P62" s="36"/>
      <c r="Q62" s="37"/>
      <c r="R62" s="36"/>
      <c r="S62" s="37"/>
      <c r="T62" s="36"/>
      <c r="U62" s="37"/>
      <c r="V62" s="36"/>
      <c r="W62" s="37"/>
      <c r="X62" s="36"/>
      <c r="Y62" s="37"/>
      <c r="Z62" s="36"/>
      <c r="AA62" s="37"/>
      <c r="AB62" s="36"/>
      <c r="AC62" s="37"/>
      <c r="AD62" s="36"/>
      <c r="AE62" s="37"/>
      <c r="AF62" s="36"/>
    </row>
    <row r="63" spans="1:32" x14ac:dyDescent="0.25">
      <c r="A63" s="37"/>
      <c r="B63" s="36"/>
      <c r="C63" s="37"/>
      <c r="D63" s="36"/>
      <c r="E63" s="37"/>
      <c r="F63" s="36"/>
      <c r="G63" s="37"/>
      <c r="H63" s="36"/>
      <c r="I63" s="37"/>
      <c r="J63" s="36"/>
      <c r="K63" s="37"/>
      <c r="L63" s="36"/>
      <c r="M63" s="37"/>
      <c r="N63" s="36"/>
      <c r="O63" s="37"/>
      <c r="P63" s="36"/>
      <c r="Q63" s="37"/>
      <c r="R63" s="36"/>
      <c r="S63" s="37"/>
      <c r="T63" s="36"/>
      <c r="U63" s="37"/>
      <c r="V63" s="36"/>
      <c r="W63" s="37"/>
      <c r="X63" s="36"/>
      <c r="Y63" s="37"/>
      <c r="Z63" s="36"/>
      <c r="AA63" s="37"/>
      <c r="AB63" s="36"/>
      <c r="AC63" s="37"/>
      <c r="AD63" s="36"/>
      <c r="AE63" s="37"/>
      <c r="AF63" s="36"/>
    </row>
    <row r="64" spans="1:32" x14ac:dyDescent="0.25">
      <c r="A64" s="37"/>
      <c r="B64" s="36"/>
      <c r="C64" s="37"/>
      <c r="D64" s="36"/>
      <c r="E64" s="37"/>
      <c r="F64" s="36"/>
      <c r="G64" s="37"/>
      <c r="H64" s="36"/>
      <c r="I64" s="37"/>
      <c r="J64" s="36"/>
      <c r="K64" s="37"/>
      <c r="L64" s="36"/>
      <c r="M64" s="37"/>
      <c r="N64" s="36"/>
      <c r="O64" s="37"/>
      <c r="P64" s="36"/>
      <c r="Q64" s="37"/>
      <c r="R64" s="36"/>
      <c r="S64" s="37"/>
      <c r="T64" s="36"/>
      <c r="U64" s="37"/>
      <c r="V64" s="36"/>
      <c r="W64" s="37"/>
      <c r="X64" s="36"/>
      <c r="Y64" s="37"/>
      <c r="Z64" s="36"/>
      <c r="AA64" s="37"/>
      <c r="AB64" s="36"/>
      <c r="AC64" s="37"/>
      <c r="AD64" s="36"/>
      <c r="AE64" s="37"/>
      <c r="AF64" s="36"/>
    </row>
    <row r="65" spans="1:32" x14ac:dyDescent="0.25">
      <c r="A65" s="37"/>
      <c r="B65" s="36"/>
      <c r="C65" s="37"/>
      <c r="D65" s="36"/>
      <c r="E65" s="37"/>
      <c r="F65" s="36"/>
      <c r="G65" s="37"/>
      <c r="H65" s="36"/>
      <c r="I65" s="37"/>
      <c r="J65" s="36"/>
      <c r="K65" s="37"/>
      <c r="L65" s="36"/>
      <c r="M65" s="37"/>
      <c r="N65" s="36"/>
      <c r="O65" s="37"/>
      <c r="P65" s="36"/>
      <c r="Q65" s="37"/>
      <c r="R65" s="36"/>
      <c r="S65" s="37"/>
      <c r="T65" s="36"/>
      <c r="U65" s="37"/>
      <c r="V65" s="36"/>
      <c r="W65" s="37"/>
      <c r="X65" s="36"/>
      <c r="Y65" s="37"/>
      <c r="Z65" s="36"/>
      <c r="AA65" s="37"/>
      <c r="AB65" s="36"/>
      <c r="AC65" s="37"/>
      <c r="AD65" s="36"/>
      <c r="AE65" s="37"/>
      <c r="AF65" s="36"/>
    </row>
    <row r="66" spans="1:32" x14ac:dyDescent="0.25">
      <c r="A66" s="37"/>
      <c r="B66" s="36"/>
      <c r="C66" s="37"/>
      <c r="D66" s="36"/>
      <c r="E66" s="37"/>
      <c r="F66" s="36"/>
      <c r="G66" s="37"/>
      <c r="H66" s="36"/>
      <c r="I66" s="37"/>
      <c r="J66" s="36"/>
      <c r="K66" s="37"/>
      <c r="L66" s="36"/>
      <c r="M66" s="37"/>
      <c r="N66" s="36"/>
      <c r="O66" s="37"/>
      <c r="P66" s="36"/>
      <c r="Q66" s="37"/>
      <c r="R66" s="36"/>
      <c r="S66" s="37"/>
      <c r="T66" s="36"/>
      <c r="U66" s="37"/>
      <c r="V66" s="36"/>
      <c r="W66" s="37"/>
      <c r="X66" s="36"/>
      <c r="Y66" s="37"/>
      <c r="Z66" s="36"/>
      <c r="AA66" s="37"/>
      <c r="AB66" s="36"/>
      <c r="AC66" s="37"/>
      <c r="AD66" s="36"/>
      <c r="AE66" s="37"/>
      <c r="AF66" s="36"/>
    </row>
    <row r="67" spans="1:32" x14ac:dyDescent="0.25">
      <c r="A67" s="37"/>
      <c r="B67" s="36"/>
      <c r="C67" s="37"/>
      <c r="D67" s="36"/>
      <c r="E67" s="37"/>
      <c r="F67" s="36"/>
      <c r="G67" s="37"/>
      <c r="H67" s="36"/>
      <c r="I67" s="37"/>
      <c r="J67" s="36"/>
      <c r="K67" s="37"/>
      <c r="L67" s="36"/>
      <c r="M67" s="37"/>
      <c r="N67" s="36"/>
      <c r="O67" s="37"/>
      <c r="P67" s="36"/>
      <c r="Q67" s="37"/>
      <c r="R67" s="36"/>
      <c r="S67" s="37"/>
      <c r="T67" s="36"/>
      <c r="U67" s="37"/>
      <c r="V67" s="36"/>
      <c r="W67" s="37"/>
      <c r="X67" s="36"/>
      <c r="Y67" s="37"/>
      <c r="Z67" s="36"/>
      <c r="AA67" s="37"/>
      <c r="AB67" s="36"/>
      <c r="AC67" s="37"/>
      <c r="AD67" s="36"/>
      <c r="AE67" s="37"/>
      <c r="AF67" s="36"/>
    </row>
    <row r="68" spans="1:32" x14ac:dyDescent="0.25">
      <c r="A68" s="37"/>
      <c r="B68" s="36"/>
      <c r="C68" s="37"/>
      <c r="D68" s="36"/>
      <c r="E68" s="37"/>
      <c r="F68" s="36"/>
      <c r="G68" s="37"/>
      <c r="H68" s="36"/>
      <c r="I68" s="37"/>
      <c r="J68" s="36"/>
      <c r="K68" s="37"/>
      <c r="L68" s="36"/>
      <c r="M68" s="37"/>
      <c r="N68" s="36"/>
      <c r="O68" s="37"/>
      <c r="P68" s="36"/>
      <c r="Q68" s="37"/>
      <c r="R68" s="36"/>
      <c r="S68" s="37"/>
      <c r="T68" s="36"/>
      <c r="U68" s="37"/>
      <c r="V68" s="36"/>
      <c r="W68" s="37"/>
      <c r="X68" s="36"/>
      <c r="Y68" s="37"/>
      <c r="Z68" s="36"/>
      <c r="AA68" s="37"/>
      <c r="AB68" s="36"/>
      <c r="AC68" s="37"/>
      <c r="AD68" s="36"/>
      <c r="AE68" s="37"/>
      <c r="AF68" s="36"/>
    </row>
    <row r="69" spans="1:32" x14ac:dyDescent="0.25">
      <c r="A69" s="37"/>
      <c r="B69" s="36"/>
      <c r="C69" s="37"/>
      <c r="D69" s="36"/>
      <c r="E69" s="37"/>
      <c r="F69" s="36"/>
      <c r="G69" s="37"/>
      <c r="H69" s="36"/>
      <c r="I69" s="37"/>
      <c r="J69" s="36"/>
      <c r="K69" s="37"/>
      <c r="L69" s="36"/>
      <c r="M69" s="37"/>
      <c r="N69" s="36"/>
      <c r="O69" s="37"/>
      <c r="P69" s="36"/>
      <c r="Q69" s="37"/>
      <c r="R69" s="36"/>
      <c r="S69" s="37"/>
      <c r="T69" s="36"/>
      <c r="U69" s="37"/>
      <c r="V69" s="36"/>
      <c r="W69" s="37"/>
      <c r="X69" s="36"/>
      <c r="Y69" s="37"/>
      <c r="Z69" s="36"/>
      <c r="AA69" s="37"/>
      <c r="AB69" s="36"/>
      <c r="AC69" s="37"/>
      <c r="AD69" s="36"/>
      <c r="AE69" s="37"/>
      <c r="AF69" s="36"/>
    </row>
    <row r="70" spans="1:32" x14ac:dyDescent="0.25">
      <c r="A70" s="37"/>
      <c r="B70" s="36"/>
      <c r="C70" s="37"/>
      <c r="D70" s="36"/>
      <c r="E70" s="37"/>
      <c r="F70" s="36"/>
      <c r="G70" s="37"/>
      <c r="H70" s="36"/>
      <c r="I70" s="37"/>
      <c r="J70" s="36"/>
      <c r="K70" s="37"/>
      <c r="L70" s="36"/>
      <c r="M70" s="37"/>
      <c r="N70" s="36"/>
      <c r="O70" s="37"/>
      <c r="P70" s="36"/>
      <c r="Q70" s="37"/>
      <c r="R70" s="36"/>
      <c r="S70" s="37"/>
      <c r="T70" s="36"/>
      <c r="U70" s="37"/>
      <c r="V70" s="36"/>
      <c r="W70" s="37"/>
      <c r="X70" s="36"/>
      <c r="Y70" s="37"/>
      <c r="Z70" s="36"/>
      <c r="AA70" s="37"/>
      <c r="AB70" s="36"/>
      <c r="AC70" s="37"/>
      <c r="AD70" s="36"/>
      <c r="AE70" s="37"/>
      <c r="AF70" s="36"/>
    </row>
    <row r="71" spans="1:32" x14ac:dyDescent="0.25">
      <c r="A71" s="37"/>
      <c r="B71" s="36"/>
      <c r="C71" s="37"/>
      <c r="D71" s="36"/>
      <c r="E71" s="37"/>
      <c r="F71" s="36"/>
      <c r="G71" s="37"/>
      <c r="H71" s="36"/>
      <c r="I71" s="37"/>
      <c r="J71" s="36"/>
      <c r="K71" s="37"/>
      <c r="L71" s="36"/>
      <c r="M71" s="37"/>
      <c r="N71" s="36"/>
      <c r="O71" s="37"/>
      <c r="P71" s="36"/>
      <c r="Q71" s="37"/>
      <c r="R71" s="36"/>
      <c r="S71" s="37"/>
      <c r="T71" s="36"/>
      <c r="U71" s="37"/>
      <c r="V71" s="36"/>
      <c r="W71" s="37"/>
      <c r="X71" s="36"/>
      <c r="Y71" s="37"/>
      <c r="Z71" s="36"/>
      <c r="AA71" s="37"/>
      <c r="AB71" s="36"/>
      <c r="AC71" s="37"/>
      <c r="AD71" s="36"/>
      <c r="AE71" s="37"/>
      <c r="AF71" s="36"/>
    </row>
    <row r="72" spans="1:32" x14ac:dyDescent="0.25">
      <c r="A72" s="37"/>
      <c r="B72" s="36"/>
      <c r="C72" s="37"/>
      <c r="D72" s="36"/>
      <c r="E72" s="37"/>
      <c r="F72" s="36"/>
      <c r="G72" s="37"/>
      <c r="H72" s="36"/>
      <c r="I72" s="37"/>
      <c r="J72" s="36"/>
      <c r="K72" s="37"/>
      <c r="L72" s="36"/>
      <c r="M72" s="37"/>
      <c r="N72" s="36"/>
      <c r="O72" s="37"/>
      <c r="P72" s="36"/>
      <c r="Q72" s="37"/>
      <c r="R72" s="36"/>
      <c r="S72" s="37"/>
      <c r="T72" s="36"/>
      <c r="U72" s="37"/>
      <c r="V72" s="36"/>
      <c r="W72" s="37"/>
      <c r="X72" s="36"/>
      <c r="Y72" s="37"/>
      <c r="Z72" s="36"/>
      <c r="AA72" s="37"/>
      <c r="AB72" s="36"/>
      <c r="AC72" s="37"/>
      <c r="AD72" s="36"/>
      <c r="AE72" s="37"/>
      <c r="AF72" s="36"/>
    </row>
    <row r="73" spans="1:32" x14ac:dyDescent="0.25">
      <c r="A73" s="37"/>
      <c r="B73" s="36"/>
      <c r="C73" s="37"/>
      <c r="D73" s="36"/>
      <c r="E73" s="37"/>
      <c r="F73" s="36"/>
      <c r="G73" s="37"/>
      <c r="H73" s="36"/>
      <c r="I73" s="37"/>
      <c r="J73" s="36"/>
      <c r="K73" s="37"/>
      <c r="L73" s="36"/>
      <c r="M73" s="37"/>
      <c r="N73" s="36"/>
      <c r="O73" s="37"/>
      <c r="P73" s="36"/>
      <c r="Q73" s="37"/>
      <c r="R73" s="36"/>
      <c r="S73" s="37"/>
      <c r="T73" s="36"/>
      <c r="U73" s="37"/>
      <c r="V73" s="36"/>
      <c r="W73" s="37"/>
      <c r="X73" s="36"/>
      <c r="Y73" s="37"/>
      <c r="Z73" s="36"/>
      <c r="AA73" s="37"/>
      <c r="AB73" s="36"/>
      <c r="AC73" s="37"/>
      <c r="AD73" s="36"/>
      <c r="AE73" s="37"/>
      <c r="AF73" s="36"/>
    </row>
    <row r="74" spans="1:32" x14ac:dyDescent="0.25">
      <c r="A74" s="37"/>
      <c r="B74" s="36"/>
      <c r="C74" s="37"/>
      <c r="D74" s="36"/>
      <c r="E74" s="37"/>
      <c r="F74" s="36"/>
      <c r="G74" s="37"/>
      <c r="H74" s="36"/>
      <c r="I74" s="37"/>
      <c r="J74" s="36"/>
      <c r="K74" s="37"/>
      <c r="L74" s="36"/>
      <c r="M74" s="37"/>
      <c r="N74" s="36"/>
      <c r="O74" s="37"/>
      <c r="P74" s="36"/>
      <c r="Q74" s="37"/>
      <c r="R74" s="36"/>
      <c r="S74" s="37"/>
      <c r="T74" s="36"/>
      <c r="U74" s="37"/>
      <c r="V74" s="36"/>
      <c r="W74" s="37"/>
      <c r="X74" s="36"/>
      <c r="Y74" s="37"/>
      <c r="Z74" s="36"/>
      <c r="AA74" s="37"/>
      <c r="AB74" s="36"/>
      <c r="AC74" s="37"/>
      <c r="AD74" s="36"/>
      <c r="AE74" s="37"/>
      <c r="AF74" s="36"/>
    </row>
    <row r="75" spans="1:32" x14ac:dyDescent="0.25">
      <c r="A75" s="37"/>
      <c r="B75" s="36"/>
      <c r="C75" s="37"/>
      <c r="D75" s="36"/>
      <c r="E75" s="37"/>
      <c r="F75" s="36"/>
      <c r="G75" s="37"/>
      <c r="H75" s="36"/>
      <c r="I75" s="37"/>
      <c r="J75" s="36"/>
      <c r="K75" s="37"/>
      <c r="L75" s="36"/>
      <c r="M75" s="37"/>
      <c r="N75" s="36"/>
      <c r="O75" s="37"/>
      <c r="P75" s="36"/>
      <c r="Q75" s="37"/>
      <c r="R75" s="36"/>
      <c r="S75" s="37"/>
      <c r="T75" s="36"/>
      <c r="U75" s="37"/>
      <c r="V75" s="36"/>
      <c r="W75" s="37"/>
      <c r="X75" s="36"/>
      <c r="Y75" s="37"/>
      <c r="Z75" s="36"/>
      <c r="AA75" s="37"/>
      <c r="AB75" s="36"/>
      <c r="AC75" s="37"/>
      <c r="AD75" s="36"/>
      <c r="AE75" s="37"/>
      <c r="AF75" s="36"/>
    </row>
    <row r="76" spans="1:32" x14ac:dyDescent="0.25">
      <c r="A76" s="37"/>
      <c r="B76" s="36"/>
      <c r="C76" s="37"/>
      <c r="D76" s="36"/>
      <c r="E76" s="37"/>
      <c r="F76" s="36"/>
      <c r="G76" s="37"/>
      <c r="H76" s="36"/>
      <c r="I76" s="37"/>
      <c r="J76" s="36"/>
      <c r="K76" s="37"/>
      <c r="L76" s="36"/>
      <c r="M76" s="37"/>
      <c r="N76" s="36"/>
      <c r="O76" s="37"/>
      <c r="P76" s="36"/>
      <c r="Q76" s="37"/>
      <c r="R76" s="36"/>
      <c r="S76" s="37"/>
      <c r="T76" s="36"/>
      <c r="U76" s="37"/>
      <c r="V76" s="36"/>
      <c r="W76" s="37"/>
      <c r="X76" s="36"/>
      <c r="Y76" s="37"/>
      <c r="Z76" s="36"/>
      <c r="AA76" s="37"/>
      <c r="AB76" s="36"/>
      <c r="AC76" s="37"/>
      <c r="AD76" s="36"/>
      <c r="AE76" s="37"/>
      <c r="AF76" s="36"/>
    </row>
    <row r="77" spans="1:32" x14ac:dyDescent="0.25">
      <c r="A77" s="37"/>
      <c r="B77" s="36"/>
      <c r="C77" s="37"/>
      <c r="D77" s="36"/>
      <c r="E77" s="37"/>
      <c r="F77" s="36"/>
      <c r="G77" s="37"/>
      <c r="H77" s="36"/>
      <c r="I77" s="37"/>
      <c r="J77" s="36"/>
      <c r="K77" s="37"/>
      <c r="L77" s="36"/>
      <c r="M77" s="37"/>
      <c r="N77" s="36"/>
      <c r="O77" s="37"/>
      <c r="P77" s="36"/>
      <c r="Q77" s="37"/>
      <c r="R77" s="36"/>
      <c r="S77" s="37"/>
      <c r="T77" s="36"/>
      <c r="U77" s="37"/>
      <c r="V77" s="36"/>
      <c r="W77" s="37"/>
      <c r="X77" s="36"/>
      <c r="Y77" s="37"/>
      <c r="Z77" s="36"/>
      <c r="AA77" s="37"/>
      <c r="AB77" s="36"/>
      <c r="AC77" s="37"/>
      <c r="AD77" s="36"/>
      <c r="AE77" s="37"/>
      <c r="AF77" s="36"/>
    </row>
    <row r="78" spans="1:32" x14ac:dyDescent="0.25">
      <c r="A78" s="37"/>
      <c r="B78" s="36"/>
      <c r="C78" s="37"/>
      <c r="D78" s="36"/>
      <c r="E78" s="37"/>
      <c r="F78" s="36"/>
      <c r="G78" s="37"/>
      <c r="H78" s="36"/>
      <c r="I78" s="37"/>
      <c r="J78" s="36"/>
      <c r="K78" s="37"/>
      <c r="L78" s="36"/>
      <c r="M78" s="37"/>
      <c r="N78" s="36"/>
      <c r="O78" s="37"/>
      <c r="P78" s="36"/>
      <c r="Q78" s="37"/>
      <c r="R78" s="36"/>
      <c r="S78" s="37"/>
      <c r="T78" s="36"/>
      <c r="U78" s="37"/>
      <c r="V78" s="36"/>
      <c r="W78" s="37"/>
      <c r="X78" s="36"/>
      <c r="Y78" s="37"/>
      <c r="Z78" s="36"/>
      <c r="AA78" s="37"/>
      <c r="AB78" s="36"/>
      <c r="AC78" s="37"/>
      <c r="AD78" s="36"/>
      <c r="AE78" s="37"/>
      <c r="AF78" s="36"/>
    </row>
    <row r="79" spans="1:32" x14ac:dyDescent="0.25">
      <c r="A79" s="37"/>
      <c r="B79" s="36"/>
      <c r="C79" s="37"/>
      <c r="D79" s="36"/>
      <c r="E79" s="37"/>
      <c r="F79" s="36"/>
      <c r="G79" s="37"/>
      <c r="H79" s="36"/>
      <c r="I79" s="37"/>
      <c r="J79" s="36"/>
      <c r="K79" s="37"/>
      <c r="L79" s="36"/>
      <c r="M79" s="37"/>
      <c r="N79" s="36"/>
      <c r="O79" s="37"/>
      <c r="P79" s="36"/>
      <c r="Q79" s="37"/>
      <c r="R79" s="36"/>
      <c r="S79" s="37"/>
      <c r="T79" s="36"/>
      <c r="U79" s="37"/>
      <c r="V79" s="36"/>
      <c r="W79" s="37"/>
      <c r="X79" s="36"/>
      <c r="Y79" s="37"/>
      <c r="Z79" s="36"/>
      <c r="AA79" s="37"/>
      <c r="AB79" s="36"/>
      <c r="AC79" s="37"/>
      <c r="AD79" s="36"/>
      <c r="AE79" s="37"/>
      <c r="AF79" s="36"/>
    </row>
    <row r="80" spans="1:32" x14ac:dyDescent="0.25">
      <c r="A80" s="37"/>
      <c r="B80" s="36"/>
      <c r="C80" s="37"/>
      <c r="D80" s="36"/>
      <c r="E80" s="37"/>
      <c r="F80" s="36"/>
      <c r="G80" s="37"/>
      <c r="H80" s="36"/>
      <c r="I80" s="37"/>
      <c r="J80" s="36"/>
      <c r="K80" s="37"/>
      <c r="L80" s="36"/>
      <c r="M80" s="37"/>
      <c r="N80" s="36"/>
      <c r="O80" s="37"/>
      <c r="P80" s="36"/>
      <c r="Q80" s="37"/>
      <c r="R80" s="36"/>
      <c r="S80" s="37"/>
      <c r="T80" s="36"/>
      <c r="U80" s="37"/>
      <c r="V80" s="36"/>
      <c r="W80" s="37"/>
      <c r="X80" s="36"/>
      <c r="Y80" s="37"/>
      <c r="Z80" s="36"/>
      <c r="AA80" s="37"/>
      <c r="AB80" s="36"/>
      <c r="AC80" s="37"/>
      <c r="AD80" s="36"/>
      <c r="AE80" s="37"/>
      <c r="AF80" s="36"/>
    </row>
    <row r="81" spans="1:32" x14ac:dyDescent="0.25">
      <c r="A81" s="37"/>
      <c r="B81" s="36"/>
      <c r="C81" s="37"/>
      <c r="D81" s="36"/>
      <c r="E81" s="37"/>
      <c r="F81" s="36"/>
      <c r="G81" s="37"/>
      <c r="H81" s="36"/>
      <c r="I81" s="37"/>
      <c r="J81" s="36"/>
      <c r="K81" s="37"/>
      <c r="L81" s="36"/>
      <c r="M81" s="37"/>
      <c r="N81" s="36"/>
      <c r="O81" s="37"/>
      <c r="P81" s="36"/>
      <c r="Q81" s="37"/>
      <c r="R81" s="36"/>
      <c r="S81" s="37"/>
      <c r="T81" s="36"/>
      <c r="U81" s="37"/>
      <c r="V81" s="36"/>
      <c r="W81" s="37"/>
      <c r="X81" s="36"/>
      <c r="Y81" s="37"/>
      <c r="Z81" s="36"/>
      <c r="AA81" s="37"/>
      <c r="AB81" s="36"/>
      <c r="AC81" s="37"/>
      <c r="AD81" s="36"/>
      <c r="AE81" s="37"/>
      <c r="AF81" s="36"/>
    </row>
    <row r="82" spans="1:32" x14ac:dyDescent="0.25">
      <c r="A82" s="37"/>
      <c r="B82" s="36"/>
      <c r="C82" s="37"/>
      <c r="D82" s="36"/>
      <c r="E82" s="37"/>
      <c r="F82" s="36"/>
      <c r="G82" s="37"/>
      <c r="H82" s="36"/>
      <c r="I82" s="37"/>
      <c r="J82" s="36"/>
      <c r="K82" s="37"/>
      <c r="L82" s="36"/>
      <c r="M82" s="37"/>
      <c r="N82" s="36"/>
      <c r="O82" s="37"/>
      <c r="P82" s="36"/>
      <c r="Q82" s="37"/>
      <c r="R82" s="36"/>
      <c r="S82" s="37"/>
      <c r="T82" s="36"/>
      <c r="U82" s="37"/>
      <c r="V82" s="36"/>
      <c r="W82" s="37"/>
      <c r="X82" s="36"/>
      <c r="Y82" s="37"/>
      <c r="Z82" s="36"/>
      <c r="AA82" s="37"/>
      <c r="AB82" s="36"/>
      <c r="AC82" s="37"/>
      <c r="AD82" s="36"/>
      <c r="AE82" s="37"/>
      <c r="AF82" s="36"/>
    </row>
    <row r="83" spans="1:32" x14ac:dyDescent="0.25">
      <c r="A83" s="37"/>
      <c r="B83" s="36"/>
      <c r="C83" s="37"/>
      <c r="D83" s="36"/>
      <c r="E83" s="37"/>
      <c r="F83" s="36"/>
      <c r="G83" s="37"/>
      <c r="H83" s="36"/>
      <c r="I83" s="37"/>
      <c r="J83" s="36"/>
      <c r="K83" s="37"/>
      <c r="L83" s="36"/>
      <c r="M83" s="37"/>
      <c r="N83" s="36"/>
      <c r="O83" s="37"/>
      <c r="P83" s="36"/>
      <c r="Q83" s="37"/>
      <c r="R83" s="36"/>
      <c r="S83" s="37"/>
      <c r="T83" s="36"/>
      <c r="U83" s="37"/>
      <c r="V83" s="36"/>
      <c r="W83" s="37"/>
      <c r="X83" s="36"/>
      <c r="Y83" s="37"/>
      <c r="Z83" s="36"/>
      <c r="AA83" s="37"/>
      <c r="AB83" s="36"/>
      <c r="AC83" s="37"/>
      <c r="AD83" s="36"/>
      <c r="AE83" s="37"/>
      <c r="AF83" s="36"/>
    </row>
    <row r="84" spans="1:32" x14ac:dyDescent="0.25">
      <c r="A84" s="37"/>
      <c r="B84" s="36"/>
      <c r="C84" s="37"/>
      <c r="D84" s="36"/>
      <c r="E84" s="37"/>
      <c r="F84" s="36"/>
      <c r="G84" s="37"/>
      <c r="H84" s="36"/>
      <c r="I84" s="37"/>
      <c r="J84" s="36"/>
      <c r="K84" s="37"/>
      <c r="L84" s="36"/>
      <c r="M84" s="37"/>
      <c r="N84" s="36"/>
      <c r="O84" s="37"/>
      <c r="P84" s="36"/>
      <c r="Q84" s="37"/>
      <c r="R84" s="36"/>
      <c r="S84" s="37"/>
      <c r="T84" s="36"/>
      <c r="U84" s="37"/>
      <c r="V84" s="36"/>
      <c r="W84" s="37"/>
      <c r="X84" s="36"/>
      <c r="Y84" s="37"/>
      <c r="Z84" s="36"/>
      <c r="AA84" s="37"/>
      <c r="AB84" s="36"/>
      <c r="AC84" s="37"/>
      <c r="AD84" s="36"/>
      <c r="AE84" s="37"/>
      <c r="AF84" s="36"/>
    </row>
    <row r="85" spans="1:32" x14ac:dyDescent="0.25">
      <c r="A85" s="37"/>
      <c r="B85" s="36"/>
      <c r="C85" s="37"/>
      <c r="D85" s="36"/>
      <c r="E85" s="37"/>
      <c r="F85" s="36"/>
      <c r="G85" s="37"/>
      <c r="H85" s="36"/>
      <c r="I85" s="37"/>
      <c r="J85" s="36"/>
      <c r="K85" s="37"/>
      <c r="L85" s="36"/>
      <c r="M85" s="37"/>
      <c r="N85" s="36"/>
      <c r="O85" s="37"/>
      <c r="P85" s="36"/>
      <c r="Q85" s="37"/>
      <c r="R85" s="36"/>
      <c r="S85" s="37"/>
      <c r="T85" s="36"/>
      <c r="U85" s="37"/>
      <c r="V85" s="36"/>
      <c r="W85" s="37"/>
      <c r="X85" s="36"/>
      <c r="Y85" s="37"/>
      <c r="Z85" s="36"/>
      <c r="AA85" s="37"/>
      <c r="AB85" s="36"/>
      <c r="AC85" s="37"/>
      <c r="AD85" s="36"/>
      <c r="AE85" s="37"/>
      <c r="AF85" s="36"/>
    </row>
    <row r="86" spans="1:32" x14ac:dyDescent="0.25">
      <c r="A86" s="37"/>
      <c r="B86" s="36"/>
      <c r="C86" s="37"/>
      <c r="D86" s="36"/>
      <c r="E86" s="37"/>
      <c r="F86" s="36"/>
      <c r="G86" s="37"/>
      <c r="H86" s="36"/>
      <c r="I86" s="37"/>
      <c r="J86" s="36"/>
      <c r="K86" s="37"/>
      <c r="L86" s="36"/>
      <c r="M86" s="37"/>
      <c r="N86" s="36"/>
      <c r="O86" s="37"/>
      <c r="P86" s="36"/>
      <c r="Q86" s="37"/>
      <c r="R86" s="36"/>
      <c r="S86" s="37"/>
      <c r="T86" s="36"/>
      <c r="U86" s="37"/>
      <c r="V86" s="36"/>
      <c r="W86" s="37"/>
      <c r="X86" s="36"/>
      <c r="Y86" s="37"/>
      <c r="Z86" s="36"/>
      <c r="AA86" s="37"/>
      <c r="AB86" s="36"/>
      <c r="AC86" s="37"/>
      <c r="AD86" s="36"/>
      <c r="AE86" s="37"/>
      <c r="AF86" s="36"/>
    </row>
    <row r="87" spans="1:32" x14ac:dyDescent="0.25">
      <c r="A87" s="37"/>
      <c r="B87" s="36"/>
      <c r="C87" s="37"/>
      <c r="D87" s="36"/>
      <c r="E87" s="37"/>
      <c r="F87" s="36"/>
      <c r="G87" s="37"/>
      <c r="H87" s="36"/>
      <c r="I87" s="37"/>
      <c r="J87" s="36"/>
      <c r="K87" s="37"/>
      <c r="L87" s="36"/>
      <c r="M87" s="37"/>
      <c r="N87" s="36"/>
      <c r="O87" s="37"/>
      <c r="P87" s="36"/>
      <c r="Q87" s="37"/>
      <c r="R87" s="36"/>
      <c r="S87" s="37"/>
      <c r="T87" s="36"/>
      <c r="U87" s="37"/>
      <c r="V87" s="36"/>
      <c r="W87" s="37"/>
      <c r="X87" s="36"/>
      <c r="Y87" s="37"/>
      <c r="Z87" s="36"/>
      <c r="AA87" s="37"/>
      <c r="AB87" s="36"/>
      <c r="AC87" s="37"/>
      <c r="AD87" s="36"/>
      <c r="AE87" s="37"/>
      <c r="AF87" s="36"/>
    </row>
    <row r="88" spans="1:32" x14ac:dyDescent="0.25">
      <c r="A88" s="37"/>
      <c r="B88" s="36"/>
      <c r="C88" s="37"/>
      <c r="D88" s="36"/>
      <c r="E88" s="37"/>
      <c r="F88" s="36"/>
      <c r="G88" s="37"/>
      <c r="H88" s="36"/>
      <c r="I88" s="37"/>
      <c r="J88" s="36"/>
      <c r="K88" s="37"/>
      <c r="L88" s="36"/>
      <c r="M88" s="37"/>
      <c r="N88" s="36"/>
      <c r="O88" s="37"/>
      <c r="P88" s="36"/>
      <c r="Q88" s="37"/>
      <c r="R88" s="36"/>
      <c r="S88" s="37"/>
      <c r="T88" s="36"/>
      <c r="U88" s="37"/>
      <c r="V88" s="36"/>
      <c r="W88" s="37"/>
      <c r="X88" s="36"/>
      <c r="Y88" s="37"/>
      <c r="Z88" s="36"/>
      <c r="AA88" s="37"/>
      <c r="AB88" s="36"/>
      <c r="AC88" s="37"/>
      <c r="AD88" s="36"/>
      <c r="AE88" s="37"/>
      <c r="AF88" s="36"/>
    </row>
    <row r="89" spans="1:32" x14ac:dyDescent="0.25">
      <c r="A89" s="37"/>
      <c r="B89" s="36"/>
      <c r="C89" s="37"/>
      <c r="D89" s="36"/>
      <c r="E89" s="37"/>
      <c r="F89" s="36"/>
      <c r="G89" s="37"/>
      <c r="H89" s="36"/>
      <c r="I89" s="37"/>
      <c r="J89" s="36"/>
      <c r="K89" s="37"/>
      <c r="L89" s="36"/>
      <c r="M89" s="37"/>
      <c r="N89" s="36"/>
      <c r="O89" s="37"/>
      <c r="P89" s="36"/>
      <c r="Q89" s="37"/>
      <c r="R89" s="36"/>
      <c r="S89" s="37"/>
      <c r="T89" s="36"/>
      <c r="U89" s="37"/>
      <c r="V89" s="36"/>
      <c r="W89" s="37"/>
      <c r="X89" s="36"/>
      <c r="Y89" s="37"/>
      <c r="Z89" s="36"/>
      <c r="AA89" s="37"/>
      <c r="AB89" s="36"/>
      <c r="AC89" s="37"/>
      <c r="AD89" s="36"/>
      <c r="AE89" s="37"/>
      <c r="AF89" s="36"/>
    </row>
    <row r="90" spans="1:32" x14ac:dyDescent="0.25">
      <c r="A90" s="37"/>
      <c r="B90" s="36"/>
      <c r="C90" s="37"/>
      <c r="D90" s="36"/>
      <c r="E90" s="37"/>
      <c r="F90" s="36"/>
      <c r="G90" s="37"/>
      <c r="H90" s="36"/>
      <c r="I90" s="37"/>
      <c r="J90" s="36"/>
      <c r="K90" s="37"/>
      <c r="L90" s="36"/>
      <c r="M90" s="37"/>
      <c r="N90" s="36"/>
      <c r="O90" s="37"/>
      <c r="P90" s="36"/>
      <c r="Q90" s="37"/>
      <c r="R90" s="36"/>
      <c r="S90" s="37"/>
      <c r="T90" s="36"/>
      <c r="U90" s="37"/>
      <c r="V90" s="36"/>
      <c r="W90" s="37"/>
      <c r="X90" s="36"/>
      <c r="Y90" s="37"/>
      <c r="Z90" s="36"/>
      <c r="AA90" s="37"/>
      <c r="AB90" s="36"/>
      <c r="AC90" s="37"/>
      <c r="AD90" s="36"/>
      <c r="AE90" s="37"/>
      <c r="AF90" s="36"/>
    </row>
    <row r="91" spans="1:32" x14ac:dyDescent="0.25">
      <c r="A91" s="37"/>
      <c r="B91" s="36"/>
      <c r="C91" s="37"/>
      <c r="D91" s="36"/>
      <c r="E91" s="37"/>
      <c r="F91" s="36"/>
      <c r="G91" s="37"/>
      <c r="H91" s="36"/>
      <c r="I91" s="37"/>
      <c r="J91" s="36"/>
      <c r="K91" s="37"/>
      <c r="L91" s="36"/>
      <c r="M91" s="37"/>
      <c r="N91" s="36"/>
      <c r="O91" s="37"/>
      <c r="P91" s="36"/>
      <c r="Q91" s="37"/>
      <c r="R91" s="36"/>
      <c r="S91" s="37"/>
      <c r="T91" s="36"/>
      <c r="U91" s="37"/>
      <c r="V91" s="36"/>
      <c r="W91" s="37"/>
      <c r="X91" s="36"/>
      <c r="Y91" s="37"/>
      <c r="Z91" s="36"/>
      <c r="AA91" s="37"/>
      <c r="AB91" s="36"/>
      <c r="AC91" s="37"/>
      <c r="AD91" s="36"/>
      <c r="AE91" s="37"/>
      <c r="AF91" s="36"/>
    </row>
    <row r="92" spans="1:32" x14ac:dyDescent="0.25">
      <c r="A92" s="37"/>
      <c r="B92" s="36"/>
      <c r="C92" s="37"/>
      <c r="D92" s="36"/>
      <c r="E92" s="37"/>
      <c r="F92" s="36"/>
      <c r="G92" s="37"/>
      <c r="H92" s="36"/>
      <c r="I92" s="37"/>
      <c r="J92" s="36"/>
      <c r="K92" s="37"/>
      <c r="L92" s="36"/>
      <c r="M92" s="37"/>
      <c r="N92" s="36"/>
      <c r="O92" s="37"/>
      <c r="P92" s="36"/>
      <c r="Q92" s="37"/>
      <c r="R92" s="36"/>
      <c r="S92" s="37"/>
      <c r="T92" s="36"/>
      <c r="U92" s="37"/>
      <c r="V92" s="36"/>
      <c r="W92" s="37"/>
      <c r="X92" s="36"/>
      <c r="Y92" s="37"/>
      <c r="Z92" s="36"/>
      <c r="AA92" s="37"/>
      <c r="AB92" s="36"/>
      <c r="AC92" s="37"/>
      <c r="AD92" s="36"/>
      <c r="AE92" s="37"/>
      <c r="AF92" s="36"/>
    </row>
    <row r="93" spans="1:32" x14ac:dyDescent="0.25">
      <c r="A93" s="37"/>
      <c r="B93" s="36"/>
      <c r="C93" s="37"/>
      <c r="D93" s="36"/>
      <c r="E93" s="37"/>
      <c r="F93" s="36"/>
      <c r="G93" s="37"/>
      <c r="H93" s="36"/>
      <c r="I93" s="37"/>
      <c r="J93" s="36"/>
      <c r="K93" s="37"/>
      <c r="L93" s="36"/>
      <c r="M93" s="37"/>
      <c r="N93" s="36"/>
      <c r="O93" s="37"/>
      <c r="P93" s="36"/>
      <c r="Q93" s="37"/>
      <c r="R93" s="36"/>
      <c r="S93" s="37"/>
      <c r="T93" s="36"/>
      <c r="U93" s="37"/>
      <c r="V93" s="36"/>
      <c r="W93" s="37"/>
      <c r="X93" s="36"/>
      <c r="Y93" s="37"/>
      <c r="Z93" s="36"/>
      <c r="AA93" s="37"/>
      <c r="AB93" s="36"/>
      <c r="AC93" s="37"/>
      <c r="AD93" s="36"/>
      <c r="AE93" s="37"/>
      <c r="AF93" s="36"/>
    </row>
    <row r="94" spans="1:32" x14ac:dyDescent="0.25">
      <c r="A94" s="37"/>
      <c r="B94" s="36"/>
      <c r="C94" s="37"/>
      <c r="D94" s="36"/>
      <c r="E94" s="37"/>
      <c r="F94" s="36"/>
      <c r="G94" s="37"/>
      <c r="H94" s="36"/>
      <c r="I94" s="37"/>
      <c r="J94" s="36"/>
      <c r="K94" s="37"/>
      <c r="L94" s="36"/>
      <c r="M94" s="37"/>
      <c r="N94" s="36"/>
      <c r="O94" s="37"/>
      <c r="P94" s="36"/>
      <c r="Q94" s="37"/>
      <c r="R94" s="36"/>
      <c r="S94" s="37"/>
      <c r="T94" s="36"/>
      <c r="U94" s="37"/>
      <c r="V94" s="36"/>
      <c r="W94" s="37"/>
      <c r="X94" s="36"/>
      <c r="Y94" s="37"/>
      <c r="Z94" s="36"/>
      <c r="AA94" s="37"/>
      <c r="AB94" s="36"/>
      <c r="AC94" s="37"/>
      <c r="AD94" s="36"/>
      <c r="AE94" s="37"/>
      <c r="AF94" s="36"/>
    </row>
    <row r="95" spans="1:32" x14ac:dyDescent="0.25">
      <c r="A95" s="37"/>
      <c r="B95" s="36"/>
      <c r="C95" s="37"/>
      <c r="D95" s="36"/>
      <c r="E95" s="37"/>
      <c r="F95" s="36"/>
      <c r="G95" s="37"/>
      <c r="H95" s="36"/>
      <c r="I95" s="37"/>
      <c r="J95" s="36"/>
      <c r="K95" s="37"/>
      <c r="L95" s="36"/>
      <c r="M95" s="37"/>
      <c r="N95" s="36"/>
      <c r="O95" s="37"/>
      <c r="P95" s="36"/>
      <c r="Q95" s="37"/>
      <c r="R95" s="36"/>
      <c r="S95" s="37"/>
      <c r="T95" s="36"/>
      <c r="U95" s="37"/>
      <c r="V95" s="36"/>
      <c r="W95" s="37"/>
      <c r="X95" s="36"/>
      <c r="Y95" s="37"/>
      <c r="Z95" s="36"/>
      <c r="AA95" s="37"/>
      <c r="AB95" s="36"/>
      <c r="AC95" s="37"/>
      <c r="AD95" s="36"/>
      <c r="AE95" s="37"/>
      <c r="AF95" s="36"/>
    </row>
    <row r="96" spans="1:32" x14ac:dyDescent="0.25">
      <c r="A96" s="37"/>
      <c r="B96" s="36"/>
      <c r="C96" s="37"/>
      <c r="D96" s="36"/>
      <c r="E96" s="37"/>
      <c r="F96" s="36"/>
      <c r="G96" s="37"/>
      <c r="H96" s="36"/>
      <c r="I96" s="37"/>
      <c r="J96" s="36"/>
      <c r="K96" s="37"/>
      <c r="L96" s="36"/>
      <c r="M96" s="37"/>
      <c r="N96" s="36"/>
      <c r="O96" s="37"/>
      <c r="P96" s="36"/>
      <c r="Q96" s="37"/>
      <c r="R96" s="36"/>
      <c r="S96" s="37"/>
      <c r="T96" s="36"/>
      <c r="U96" s="37"/>
      <c r="V96" s="36"/>
      <c r="W96" s="37"/>
      <c r="X96" s="36"/>
      <c r="Y96" s="37"/>
      <c r="Z96" s="36"/>
      <c r="AA96" s="37"/>
      <c r="AB96" s="36"/>
      <c r="AC96" s="37"/>
      <c r="AD96" s="36"/>
      <c r="AE96" s="37"/>
      <c r="AF96" s="36"/>
    </row>
    <row r="97" spans="1:32" x14ac:dyDescent="0.25">
      <c r="A97" s="37"/>
      <c r="B97" s="36"/>
      <c r="C97" s="37"/>
      <c r="D97" s="36"/>
      <c r="E97" s="37"/>
      <c r="F97" s="36"/>
      <c r="G97" s="37"/>
      <c r="H97" s="36"/>
      <c r="I97" s="37"/>
      <c r="J97" s="36"/>
      <c r="K97" s="37"/>
      <c r="L97" s="36"/>
      <c r="M97" s="37"/>
      <c r="N97" s="36"/>
      <c r="O97" s="37"/>
      <c r="P97" s="36"/>
      <c r="Q97" s="37"/>
      <c r="R97" s="36"/>
      <c r="S97" s="37"/>
      <c r="T97" s="36"/>
      <c r="U97" s="37"/>
      <c r="V97" s="36"/>
      <c r="W97" s="37"/>
      <c r="X97" s="36"/>
      <c r="Y97" s="37"/>
      <c r="Z97" s="36"/>
      <c r="AA97" s="37"/>
      <c r="AB97" s="36"/>
      <c r="AC97" s="37"/>
      <c r="AD97" s="36"/>
      <c r="AE97" s="37"/>
      <c r="AF97" s="36"/>
    </row>
    <row r="98" spans="1:32" x14ac:dyDescent="0.25">
      <c r="A98" s="37"/>
      <c r="B98" s="36"/>
      <c r="C98" s="37"/>
      <c r="D98" s="36"/>
      <c r="E98" s="37"/>
      <c r="F98" s="36"/>
      <c r="G98" s="37"/>
      <c r="H98" s="36"/>
      <c r="I98" s="37"/>
      <c r="J98" s="36"/>
      <c r="K98" s="37"/>
      <c r="L98" s="36"/>
      <c r="M98" s="37"/>
      <c r="N98" s="36"/>
      <c r="O98" s="37"/>
      <c r="P98" s="36"/>
      <c r="Q98" s="37"/>
      <c r="R98" s="36"/>
      <c r="S98" s="37"/>
      <c r="T98" s="36"/>
      <c r="U98" s="37"/>
      <c r="V98" s="36"/>
      <c r="W98" s="37"/>
      <c r="X98" s="36"/>
      <c r="Y98" s="37"/>
      <c r="Z98" s="36"/>
      <c r="AA98" s="37"/>
      <c r="AB98" s="36"/>
      <c r="AC98" s="37"/>
      <c r="AD98" s="36"/>
      <c r="AE98" s="37"/>
      <c r="AF98" s="36"/>
    </row>
    <row r="99" spans="1:32" x14ac:dyDescent="0.25">
      <c r="A99" s="37"/>
      <c r="B99" s="36"/>
      <c r="C99" s="37"/>
      <c r="D99" s="36"/>
      <c r="E99" s="37"/>
      <c r="F99" s="36"/>
      <c r="G99" s="37"/>
      <c r="H99" s="36"/>
      <c r="I99" s="37"/>
      <c r="J99" s="36"/>
      <c r="K99" s="37"/>
      <c r="L99" s="36"/>
      <c r="M99" s="37"/>
      <c r="N99" s="36"/>
      <c r="O99" s="37"/>
      <c r="P99" s="36"/>
      <c r="Q99" s="37"/>
      <c r="R99" s="36"/>
      <c r="S99" s="37"/>
      <c r="T99" s="36"/>
      <c r="U99" s="37"/>
      <c r="V99" s="36"/>
      <c r="W99" s="37"/>
      <c r="X99" s="36"/>
      <c r="Y99" s="37"/>
      <c r="Z99" s="36"/>
      <c r="AA99" s="37"/>
      <c r="AB99" s="36"/>
      <c r="AC99" s="37"/>
      <c r="AD99" s="36"/>
      <c r="AE99" s="37"/>
      <c r="AF99" s="36"/>
    </row>
    <row r="100" spans="1:32" x14ac:dyDescent="0.25">
      <c r="A100" s="37"/>
      <c r="B100" s="36"/>
      <c r="C100" s="37"/>
      <c r="D100" s="36"/>
      <c r="E100" s="37"/>
      <c r="F100" s="36"/>
      <c r="G100" s="37"/>
      <c r="H100" s="36"/>
      <c r="I100" s="37"/>
      <c r="J100" s="36"/>
      <c r="K100" s="37"/>
      <c r="L100" s="36"/>
      <c r="M100" s="37"/>
      <c r="N100" s="36"/>
      <c r="O100" s="37"/>
      <c r="P100" s="36"/>
      <c r="Q100" s="37"/>
      <c r="R100" s="36"/>
      <c r="S100" s="37"/>
      <c r="T100" s="36"/>
      <c r="U100" s="37"/>
      <c r="V100" s="36"/>
      <c r="W100" s="37"/>
      <c r="X100" s="36"/>
      <c r="Y100" s="37"/>
      <c r="Z100" s="36"/>
      <c r="AA100" s="37"/>
      <c r="AB100" s="36"/>
      <c r="AC100" s="37"/>
      <c r="AD100" s="36"/>
      <c r="AE100" s="37"/>
      <c r="AF100" s="36"/>
    </row>
    <row r="101" spans="1:32" x14ac:dyDescent="0.25">
      <c r="A101" s="37"/>
      <c r="B101" s="36"/>
      <c r="C101" s="37"/>
      <c r="D101" s="36"/>
      <c r="E101" s="37"/>
      <c r="F101" s="36"/>
      <c r="G101" s="37"/>
      <c r="H101" s="36"/>
      <c r="I101" s="37"/>
      <c r="J101" s="36"/>
      <c r="K101" s="37"/>
      <c r="L101" s="36"/>
      <c r="M101" s="37"/>
      <c r="N101" s="36"/>
      <c r="O101" s="37"/>
      <c r="P101" s="36"/>
      <c r="Q101" s="37"/>
      <c r="R101" s="36"/>
      <c r="S101" s="37"/>
      <c r="T101" s="36"/>
      <c r="U101" s="37"/>
      <c r="V101" s="36"/>
      <c r="W101" s="37"/>
      <c r="X101" s="36"/>
      <c r="Y101" s="37"/>
      <c r="Z101" s="36"/>
      <c r="AA101" s="37"/>
      <c r="AB101" s="36"/>
      <c r="AC101" s="37"/>
      <c r="AD101" s="36"/>
      <c r="AE101" s="37"/>
      <c r="AF101" s="36"/>
    </row>
    <row r="102" spans="1:32" x14ac:dyDescent="0.25">
      <c r="A102" s="37"/>
      <c r="B102" s="36"/>
      <c r="C102" s="37"/>
      <c r="D102" s="36"/>
      <c r="E102" s="37"/>
      <c r="F102" s="36"/>
      <c r="G102" s="37"/>
      <c r="H102" s="36"/>
      <c r="I102" s="37"/>
      <c r="J102" s="36"/>
      <c r="K102" s="37"/>
      <c r="L102" s="36"/>
      <c r="M102" s="37"/>
      <c r="N102" s="36"/>
      <c r="O102" s="37"/>
      <c r="P102" s="36"/>
      <c r="Q102" s="37"/>
      <c r="R102" s="36"/>
      <c r="S102" s="37"/>
      <c r="T102" s="36"/>
      <c r="U102" s="37"/>
      <c r="V102" s="36"/>
      <c r="W102" s="37"/>
      <c r="X102" s="36"/>
      <c r="Y102" s="37"/>
      <c r="Z102" s="36"/>
      <c r="AA102" s="37"/>
      <c r="AB102" s="36"/>
      <c r="AC102" s="37"/>
      <c r="AD102" s="36"/>
      <c r="AE102" s="37"/>
      <c r="AF102" s="36"/>
    </row>
    <row r="103" spans="1:32" x14ac:dyDescent="0.25">
      <c r="A103" s="37"/>
      <c r="B103" s="36"/>
      <c r="C103" s="37"/>
      <c r="D103" s="36"/>
      <c r="E103" s="37"/>
      <c r="F103" s="36"/>
      <c r="G103" s="37"/>
      <c r="H103" s="36"/>
      <c r="I103" s="37"/>
      <c r="J103" s="36"/>
      <c r="K103" s="37"/>
      <c r="L103" s="36"/>
      <c r="M103" s="37"/>
      <c r="N103" s="36"/>
      <c r="O103" s="37"/>
      <c r="P103" s="36"/>
      <c r="Q103" s="37"/>
      <c r="R103" s="36"/>
      <c r="S103" s="37"/>
      <c r="T103" s="36"/>
      <c r="U103" s="37"/>
      <c r="V103" s="36"/>
      <c r="W103" s="37"/>
      <c r="X103" s="36"/>
      <c r="Y103" s="37"/>
      <c r="Z103" s="36"/>
      <c r="AA103" s="37"/>
      <c r="AB103" s="36"/>
      <c r="AC103" s="37"/>
      <c r="AD103" s="36"/>
      <c r="AE103" s="37"/>
      <c r="AF103" s="36"/>
    </row>
    <row r="104" spans="1:32" x14ac:dyDescent="0.25">
      <c r="A104" s="37"/>
      <c r="B104" s="36"/>
      <c r="C104" s="37"/>
      <c r="D104" s="36"/>
      <c r="E104" s="37"/>
      <c r="F104" s="36"/>
      <c r="G104" s="37"/>
      <c r="H104" s="36"/>
      <c r="I104" s="37"/>
      <c r="J104" s="36"/>
      <c r="K104" s="37"/>
      <c r="L104" s="36"/>
      <c r="M104" s="37"/>
      <c r="N104" s="36"/>
      <c r="O104" s="37"/>
      <c r="P104" s="36"/>
      <c r="Q104" s="37"/>
      <c r="R104" s="36"/>
      <c r="S104" s="37"/>
      <c r="T104" s="36"/>
      <c r="U104" s="37"/>
      <c r="V104" s="36"/>
      <c r="W104" s="37"/>
      <c r="X104" s="36"/>
      <c r="Y104" s="37"/>
      <c r="Z104" s="36"/>
      <c r="AA104" s="37"/>
      <c r="AB104" s="36"/>
      <c r="AC104" s="37"/>
      <c r="AD104" s="36"/>
      <c r="AE104" s="37"/>
      <c r="AF104" s="36"/>
    </row>
    <row r="105" spans="1:32" x14ac:dyDescent="0.25">
      <c r="A105" s="37"/>
      <c r="B105" s="36"/>
      <c r="C105" s="37"/>
      <c r="D105" s="36"/>
      <c r="E105" s="37"/>
      <c r="F105" s="36"/>
      <c r="G105" s="37"/>
      <c r="H105" s="36"/>
      <c r="I105" s="37"/>
      <c r="J105" s="36"/>
      <c r="K105" s="37"/>
      <c r="L105" s="36"/>
      <c r="M105" s="37"/>
      <c r="N105" s="36"/>
      <c r="O105" s="37"/>
      <c r="P105" s="36"/>
      <c r="Q105" s="37"/>
      <c r="R105" s="36"/>
      <c r="S105" s="37"/>
      <c r="T105" s="36"/>
      <c r="U105" s="37"/>
      <c r="V105" s="36"/>
      <c r="W105" s="37"/>
      <c r="X105" s="36"/>
      <c r="Y105" s="37"/>
      <c r="Z105" s="36"/>
      <c r="AA105" s="37"/>
      <c r="AB105" s="36"/>
      <c r="AC105" s="37"/>
      <c r="AD105" s="36"/>
      <c r="AE105" s="37"/>
      <c r="AF105" s="36"/>
    </row>
    <row r="106" spans="1:32" x14ac:dyDescent="0.25">
      <c r="A106" s="37"/>
      <c r="B106" s="36"/>
      <c r="C106" s="37"/>
      <c r="D106" s="36"/>
      <c r="E106" s="37"/>
      <c r="F106" s="36"/>
      <c r="G106" s="37"/>
      <c r="H106" s="36"/>
      <c r="I106" s="37"/>
      <c r="J106" s="36"/>
      <c r="K106" s="37"/>
      <c r="L106" s="36"/>
      <c r="M106" s="37"/>
      <c r="N106" s="36"/>
      <c r="O106" s="37"/>
      <c r="P106" s="36"/>
      <c r="Q106" s="37"/>
      <c r="R106" s="36"/>
      <c r="S106" s="37"/>
      <c r="T106" s="36"/>
      <c r="U106" s="37"/>
      <c r="V106" s="36"/>
      <c r="W106" s="37"/>
      <c r="X106" s="36"/>
      <c r="Y106" s="37"/>
      <c r="Z106" s="36"/>
      <c r="AA106" s="37"/>
      <c r="AB106" s="36"/>
      <c r="AC106" s="37"/>
      <c r="AD106" s="36"/>
      <c r="AE106" s="37"/>
      <c r="AF106" s="36"/>
    </row>
    <row r="107" spans="1:32" x14ac:dyDescent="0.25">
      <c r="A107" s="37"/>
      <c r="B107" s="36"/>
      <c r="C107" s="37"/>
      <c r="D107" s="36"/>
      <c r="E107" s="37"/>
      <c r="F107" s="36"/>
      <c r="G107" s="37"/>
      <c r="H107" s="36"/>
      <c r="I107" s="37"/>
      <c r="J107" s="36"/>
      <c r="K107" s="37"/>
      <c r="L107" s="36"/>
      <c r="M107" s="37"/>
      <c r="N107" s="36"/>
      <c r="O107" s="37"/>
      <c r="P107" s="36"/>
      <c r="Q107" s="37"/>
      <c r="R107" s="36"/>
      <c r="S107" s="37"/>
      <c r="T107" s="36"/>
      <c r="U107" s="37"/>
      <c r="V107" s="36"/>
      <c r="W107" s="37"/>
      <c r="X107" s="36"/>
      <c r="Y107" s="37"/>
      <c r="Z107" s="36"/>
      <c r="AA107" s="37"/>
      <c r="AB107" s="36"/>
      <c r="AC107" s="37"/>
      <c r="AD107" s="36"/>
      <c r="AE107" s="37"/>
      <c r="AF107" s="36"/>
    </row>
    <row r="108" spans="1:32" x14ac:dyDescent="0.25">
      <c r="A108" s="37"/>
      <c r="B108" s="36"/>
      <c r="C108" s="37"/>
      <c r="D108" s="36"/>
      <c r="E108" s="37"/>
      <c r="F108" s="36"/>
      <c r="G108" s="37"/>
      <c r="H108" s="36"/>
      <c r="I108" s="37"/>
      <c r="J108" s="36"/>
      <c r="K108" s="37"/>
      <c r="L108" s="36"/>
      <c r="M108" s="37"/>
      <c r="N108" s="36"/>
      <c r="O108" s="37"/>
      <c r="P108" s="36"/>
      <c r="Q108" s="37"/>
      <c r="R108" s="36"/>
      <c r="S108" s="37"/>
      <c r="T108" s="36"/>
      <c r="U108" s="37"/>
      <c r="V108" s="36"/>
      <c r="W108" s="37"/>
      <c r="X108" s="36"/>
      <c r="Y108" s="37"/>
      <c r="Z108" s="36"/>
      <c r="AA108" s="37"/>
      <c r="AB108" s="36"/>
      <c r="AC108" s="37"/>
      <c r="AD108" s="36"/>
      <c r="AE108" s="37"/>
      <c r="AF108" s="36"/>
    </row>
    <row r="109" spans="1:32" x14ac:dyDescent="0.25">
      <c r="A109" s="37"/>
      <c r="B109" s="36"/>
      <c r="C109" s="37"/>
      <c r="D109" s="36"/>
      <c r="E109" s="37"/>
      <c r="F109" s="36"/>
      <c r="G109" s="37"/>
      <c r="H109" s="36"/>
      <c r="I109" s="37"/>
      <c r="J109" s="36"/>
      <c r="K109" s="37"/>
      <c r="L109" s="36"/>
      <c r="M109" s="37"/>
      <c r="N109" s="36"/>
      <c r="O109" s="37"/>
      <c r="P109" s="36"/>
      <c r="Q109" s="37"/>
      <c r="R109" s="36"/>
      <c r="S109" s="37"/>
      <c r="T109" s="36"/>
      <c r="U109" s="37"/>
      <c r="V109" s="36"/>
      <c r="W109" s="37"/>
      <c r="X109" s="36"/>
      <c r="Y109" s="37"/>
      <c r="Z109" s="36"/>
      <c r="AA109" s="37"/>
      <c r="AB109" s="36"/>
      <c r="AC109" s="37"/>
      <c r="AD109" s="36"/>
      <c r="AE109" s="37"/>
      <c r="AF109" s="36"/>
    </row>
    <row r="110" spans="1:32" x14ac:dyDescent="0.25">
      <c r="A110" s="37"/>
      <c r="B110" s="36"/>
      <c r="C110" s="37"/>
      <c r="D110" s="36"/>
      <c r="E110" s="37"/>
      <c r="F110" s="36"/>
      <c r="G110" s="37"/>
      <c r="H110" s="36"/>
      <c r="I110" s="37"/>
      <c r="J110" s="36"/>
      <c r="K110" s="37"/>
      <c r="L110" s="36"/>
      <c r="M110" s="37"/>
      <c r="N110" s="36"/>
      <c r="O110" s="37"/>
      <c r="P110" s="36"/>
      <c r="Q110" s="37"/>
      <c r="R110" s="36"/>
      <c r="S110" s="37"/>
      <c r="T110" s="36"/>
      <c r="U110" s="37"/>
      <c r="V110" s="36"/>
      <c r="W110" s="37"/>
      <c r="X110" s="36"/>
      <c r="Y110" s="37"/>
      <c r="Z110" s="36"/>
      <c r="AA110" s="37"/>
      <c r="AB110" s="36"/>
      <c r="AC110" s="37"/>
      <c r="AD110" s="36"/>
      <c r="AE110" s="37"/>
      <c r="AF110" s="36"/>
    </row>
    <row r="111" spans="1:32" x14ac:dyDescent="0.25">
      <c r="A111" s="37"/>
      <c r="B111" s="36"/>
      <c r="C111" s="37"/>
      <c r="D111" s="36"/>
      <c r="E111" s="37"/>
      <c r="F111" s="36"/>
      <c r="G111" s="37"/>
      <c r="H111" s="36"/>
      <c r="I111" s="37"/>
      <c r="J111" s="36"/>
      <c r="K111" s="37"/>
      <c r="L111" s="36"/>
      <c r="M111" s="37"/>
      <c r="N111" s="36"/>
      <c r="O111" s="37"/>
      <c r="P111" s="36"/>
      <c r="Q111" s="37"/>
      <c r="R111" s="36"/>
      <c r="S111" s="37"/>
      <c r="T111" s="36"/>
      <c r="U111" s="37"/>
      <c r="V111" s="36"/>
      <c r="W111" s="37"/>
      <c r="X111" s="36"/>
      <c r="Y111" s="37"/>
      <c r="Z111" s="36"/>
      <c r="AA111" s="37"/>
      <c r="AB111" s="36"/>
      <c r="AC111" s="37"/>
      <c r="AD111" s="36"/>
      <c r="AE111" s="37"/>
      <c r="AF111" s="36"/>
    </row>
    <row r="112" spans="1:32" x14ac:dyDescent="0.25">
      <c r="A112" s="37"/>
      <c r="B112" s="36"/>
      <c r="C112" s="37"/>
      <c r="D112" s="36"/>
      <c r="E112" s="37"/>
      <c r="F112" s="36"/>
      <c r="G112" s="37"/>
      <c r="H112" s="36"/>
      <c r="I112" s="37"/>
      <c r="J112" s="36"/>
      <c r="K112" s="37"/>
      <c r="L112" s="36"/>
      <c r="M112" s="37"/>
      <c r="N112" s="36"/>
      <c r="O112" s="37"/>
      <c r="P112" s="36"/>
      <c r="Q112" s="37"/>
      <c r="R112" s="36"/>
      <c r="S112" s="37"/>
      <c r="T112" s="36"/>
      <c r="U112" s="37"/>
      <c r="V112" s="36"/>
      <c r="W112" s="37"/>
      <c r="X112" s="36"/>
      <c r="Y112" s="37"/>
      <c r="Z112" s="36"/>
      <c r="AA112" s="37"/>
      <c r="AB112" s="36"/>
      <c r="AC112" s="37"/>
      <c r="AD112" s="36"/>
      <c r="AE112" s="37"/>
      <c r="AF112" s="36"/>
    </row>
    <row r="113" spans="1:32" x14ac:dyDescent="0.25">
      <c r="A113" s="37"/>
      <c r="B113" s="36"/>
      <c r="C113" s="37"/>
      <c r="D113" s="36"/>
      <c r="E113" s="37"/>
      <c r="F113" s="36"/>
      <c r="G113" s="37"/>
      <c r="H113" s="36"/>
      <c r="I113" s="37"/>
      <c r="J113" s="36"/>
      <c r="K113" s="37"/>
      <c r="L113" s="36"/>
      <c r="M113" s="37"/>
      <c r="N113" s="36"/>
      <c r="O113" s="37"/>
      <c r="P113" s="36"/>
      <c r="Q113" s="37"/>
      <c r="R113" s="36"/>
      <c r="S113" s="37"/>
      <c r="T113" s="36"/>
      <c r="U113" s="37"/>
      <c r="V113" s="36"/>
      <c r="W113" s="37"/>
      <c r="X113" s="36"/>
      <c r="Y113" s="37"/>
      <c r="Z113" s="36"/>
      <c r="AA113" s="37"/>
      <c r="AB113" s="36"/>
      <c r="AC113" s="37"/>
      <c r="AD113" s="36"/>
      <c r="AE113" s="37"/>
      <c r="AF113" s="36"/>
    </row>
    <row r="114" spans="1:32" x14ac:dyDescent="0.25">
      <c r="A114" s="37"/>
      <c r="B114" s="36"/>
      <c r="C114" s="37"/>
      <c r="D114" s="36"/>
      <c r="E114" s="37"/>
      <c r="F114" s="36"/>
      <c r="G114" s="37"/>
      <c r="H114" s="36"/>
      <c r="I114" s="37"/>
      <c r="J114" s="36"/>
      <c r="K114" s="37"/>
      <c r="L114" s="36"/>
      <c r="M114" s="37"/>
      <c r="N114" s="36"/>
      <c r="O114" s="37"/>
      <c r="P114" s="36"/>
      <c r="Q114" s="37"/>
      <c r="R114" s="36"/>
      <c r="S114" s="37"/>
      <c r="T114" s="36"/>
      <c r="U114" s="37"/>
      <c r="V114" s="36"/>
      <c r="W114" s="37"/>
      <c r="X114" s="36"/>
      <c r="Y114" s="37"/>
      <c r="Z114" s="36"/>
      <c r="AA114" s="37"/>
      <c r="AB114" s="36"/>
      <c r="AC114" s="37"/>
      <c r="AD114" s="36"/>
      <c r="AE114" s="37"/>
      <c r="AF114" s="36"/>
    </row>
    <row r="115" spans="1:32" x14ac:dyDescent="0.25">
      <c r="A115" s="37"/>
      <c r="B115" s="36"/>
      <c r="C115" s="37"/>
      <c r="D115" s="36"/>
      <c r="E115" s="37"/>
      <c r="F115" s="36"/>
      <c r="G115" s="37"/>
      <c r="H115" s="36"/>
      <c r="I115" s="37"/>
      <c r="J115" s="36"/>
      <c r="K115" s="37"/>
      <c r="L115" s="36"/>
      <c r="M115" s="37"/>
      <c r="N115" s="36"/>
      <c r="O115" s="37"/>
      <c r="P115" s="36"/>
      <c r="Q115" s="37"/>
      <c r="R115" s="36"/>
      <c r="S115" s="37"/>
      <c r="T115" s="36"/>
      <c r="U115" s="37"/>
      <c r="V115" s="36"/>
      <c r="W115" s="37"/>
      <c r="X115" s="36"/>
      <c r="Y115" s="37"/>
      <c r="Z115" s="36"/>
      <c r="AA115" s="37"/>
      <c r="AB115" s="36"/>
      <c r="AC115" s="37"/>
      <c r="AD115" s="36"/>
      <c r="AE115" s="37"/>
      <c r="AF115" s="36"/>
    </row>
    <row r="116" spans="1:32" x14ac:dyDescent="0.25">
      <c r="A116" s="37"/>
      <c r="B116" s="36"/>
      <c r="C116" s="37"/>
      <c r="D116" s="36"/>
      <c r="E116" s="37"/>
      <c r="F116" s="36"/>
      <c r="G116" s="37"/>
      <c r="H116" s="36"/>
      <c r="I116" s="37"/>
      <c r="J116" s="36"/>
      <c r="K116" s="37"/>
      <c r="L116" s="36"/>
      <c r="M116" s="37"/>
      <c r="N116" s="36"/>
      <c r="O116" s="37"/>
      <c r="P116" s="36"/>
      <c r="Q116" s="37"/>
      <c r="R116" s="36"/>
      <c r="S116" s="37"/>
      <c r="T116" s="36"/>
      <c r="U116" s="37"/>
      <c r="V116" s="36"/>
      <c r="W116" s="37"/>
      <c r="X116" s="36"/>
      <c r="Y116" s="37"/>
      <c r="Z116" s="36"/>
      <c r="AA116" s="37"/>
      <c r="AB116" s="36"/>
      <c r="AC116" s="37"/>
      <c r="AD116" s="36"/>
      <c r="AE116" s="37"/>
      <c r="AF116" s="36"/>
    </row>
    <row r="117" spans="1:32" x14ac:dyDescent="0.25">
      <c r="A117" s="37"/>
      <c r="B117" s="36"/>
      <c r="C117" s="37"/>
      <c r="D117" s="36"/>
      <c r="E117" s="37"/>
      <c r="F117" s="36"/>
      <c r="G117" s="37"/>
      <c r="H117" s="36"/>
      <c r="I117" s="37"/>
      <c r="J117" s="36"/>
      <c r="K117" s="37"/>
      <c r="L117" s="36"/>
      <c r="M117" s="37"/>
      <c r="N117" s="36"/>
      <c r="O117" s="37"/>
      <c r="P117" s="36"/>
      <c r="Q117" s="37"/>
      <c r="R117" s="36"/>
      <c r="S117" s="37"/>
      <c r="T117" s="36"/>
      <c r="U117" s="37"/>
      <c r="V117" s="36"/>
      <c r="W117" s="37"/>
      <c r="X117" s="36"/>
      <c r="Y117" s="37"/>
      <c r="Z117" s="36"/>
      <c r="AA117" s="37"/>
      <c r="AB117" s="36"/>
      <c r="AC117" s="37"/>
      <c r="AD117" s="36"/>
      <c r="AE117" s="37"/>
      <c r="AF117" s="36"/>
    </row>
    <row r="118" spans="1:32" x14ac:dyDescent="0.25">
      <c r="A118" s="37"/>
      <c r="B118" s="36"/>
      <c r="C118" s="37"/>
      <c r="D118" s="36"/>
      <c r="E118" s="37"/>
      <c r="F118" s="36"/>
      <c r="G118" s="37"/>
      <c r="H118" s="36"/>
      <c r="I118" s="37"/>
      <c r="J118" s="36"/>
      <c r="K118" s="37"/>
      <c r="L118" s="36"/>
      <c r="M118" s="37"/>
      <c r="N118" s="36"/>
      <c r="O118" s="37"/>
      <c r="P118" s="36"/>
      <c r="Q118" s="37"/>
      <c r="R118" s="36"/>
      <c r="S118" s="37"/>
      <c r="T118" s="36"/>
      <c r="U118" s="37"/>
      <c r="V118" s="36"/>
      <c r="W118" s="37"/>
      <c r="X118" s="36"/>
      <c r="Y118" s="37"/>
      <c r="Z118" s="36"/>
      <c r="AA118" s="37"/>
      <c r="AB118" s="36"/>
      <c r="AC118" s="37"/>
      <c r="AD118" s="36"/>
      <c r="AE118" s="37"/>
      <c r="AF118" s="36"/>
    </row>
    <row r="119" spans="1:32" x14ac:dyDescent="0.25">
      <c r="A119" s="37"/>
      <c r="B119" s="36"/>
      <c r="C119" s="37"/>
      <c r="D119" s="36"/>
      <c r="E119" s="37"/>
      <c r="F119" s="36"/>
      <c r="G119" s="37"/>
      <c r="H119" s="36"/>
      <c r="I119" s="37"/>
      <c r="J119" s="36"/>
      <c r="K119" s="37"/>
      <c r="L119" s="36"/>
      <c r="M119" s="37"/>
      <c r="N119" s="36"/>
      <c r="O119" s="37"/>
      <c r="P119" s="36"/>
      <c r="Q119" s="37"/>
      <c r="R119" s="36"/>
      <c r="S119" s="37"/>
      <c r="T119" s="36"/>
      <c r="U119" s="37"/>
      <c r="V119" s="36"/>
      <c r="W119" s="37"/>
      <c r="X119" s="36"/>
      <c r="Y119" s="37"/>
      <c r="Z119" s="36"/>
      <c r="AA119" s="37"/>
      <c r="AB119" s="36"/>
      <c r="AC119" s="37"/>
      <c r="AD119" s="36"/>
      <c r="AE119" s="37"/>
      <c r="AF119" s="36"/>
    </row>
    <row r="120" spans="1:32" x14ac:dyDescent="0.25">
      <c r="A120" s="37"/>
      <c r="B120" s="36"/>
      <c r="C120" s="37"/>
      <c r="D120" s="36"/>
      <c r="E120" s="37"/>
      <c r="F120" s="36"/>
      <c r="G120" s="37"/>
      <c r="H120" s="36"/>
      <c r="I120" s="37"/>
      <c r="J120" s="36"/>
      <c r="K120" s="37"/>
      <c r="L120" s="36"/>
      <c r="M120" s="37"/>
      <c r="N120" s="36"/>
      <c r="O120" s="37"/>
      <c r="P120" s="36"/>
      <c r="Q120" s="37"/>
      <c r="R120" s="36"/>
      <c r="S120" s="37"/>
      <c r="T120" s="36"/>
      <c r="U120" s="37"/>
      <c r="V120" s="36"/>
      <c r="W120" s="37"/>
      <c r="X120" s="36"/>
      <c r="Y120" s="37"/>
      <c r="Z120" s="36"/>
      <c r="AA120" s="37"/>
      <c r="AB120" s="36"/>
      <c r="AC120" s="37"/>
      <c r="AD120" s="36"/>
      <c r="AE120" s="37"/>
      <c r="AF120" s="36"/>
    </row>
    <row r="121" spans="1:32" x14ac:dyDescent="0.25">
      <c r="A121" s="37"/>
      <c r="B121" s="36"/>
      <c r="C121" s="37"/>
      <c r="D121" s="36"/>
      <c r="E121" s="37"/>
      <c r="F121" s="36"/>
      <c r="G121" s="37"/>
      <c r="H121" s="36"/>
      <c r="I121" s="37"/>
      <c r="J121" s="36"/>
      <c r="K121" s="37"/>
      <c r="L121" s="36"/>
      <c r="M121" s="37"/>
      <c r="N121" s="36"/>
      <c r="O121" s="37"/>
      <c r="P121" s="36"/>
      <c r="Q121" s="37"/>
      <c r="R121" s="36"/>
      <c r="S121" s="37"/>
      <c r="T121" s="36"/>
      <c r="U121" s="37"/>
      <c r="V121" s="36"/>
      <c r="W121" s="37"/>
      <c r="X121" s="36"/>
      <c r="Y121" s="37"/>
      <c r="Z121" s="36"/>
      <c r="AA121" s="37"/>
      <c r="AB121" s="36"/>
      <c r="AC121" s="37"/>
      <c r="AD121" s="36"/>
      <c r="AE121" s="37"/>
      <c r="AF121" s="36"/>
    </row>
    <row r="122" spans="1:32" x14ac:dyDescent="0.25">
      <c r="A122" s="37"/>
      <c r="B122" s="36"/>
      <c r="C122" s="37"/>
      <c r="D122" s="36"/>
      <c r="E122" s="37"/>
      <c r="F122" s="36"/>
      <c r="G122" s="37"/>
      <c r="H122" s="36"/>
      <c r="I122" s="37"/>
      <c r="J122" s="36"/>
      <c r="K122" s="37"/>
      <c r="L122" s="36"/>
      <c r="M122" s="37"/>
      <c r="N122" s="36"/>
      <c r="O122" s="37"/>
      <c r="P122" s="36"/>
      <c r="Q122" s="37"/>
      <c r="R122" s="36"/>
      <c r="S122" s="37"/>
      <c r="T122" s="36"/>
      <c r="U122" s="37"/>
      <c r="V122" s="36"/>
      <c r="W122" s="37"/>
      <c r="X122" s="36"/>
      <c r="Y122" s="37"/>
      <c r="Z122" s="36"/>
      <c r="AA122" s="37"/>
      <c r="AB122" s="36"/>
      <c r="AC122" s="37"/>
      <c r="AD122" s="36"/>
      <c r="AE122" s="37"/>
      <c r="AF122" s="36"/>
    </row>
    <row r="123" spans="1:32" x14ac:dyDescent="0.25">
      <c r="A123" s="37"/>
      <c r="B123" s="36"/>
      <c r="C123" s="37"/>
      <c r="D123" s="36"/>
      <c r="E123" s="37"/>
      <c r="F123" s="36"/>
      <c r="G123" s="37"/>
      <c r="H123" s="36"/>
      <c r="I123" s="37"/>
      <c r="J123" s="36"/>
      <c r="K123" s="37"/>
      <c r="L123" s="36"/>
      <c r="M123" s="37"/>
      <c r="N123" s="36"/>
      <c r="O123" s="37"/>
      <c r="P123" s="36"/>
      <c r="Q123" s="37"/>
      <c r="R123" s="36"/>
      <c r="S123" s="37"/>
      <c r="T123" s="36"/>
      <c r="U123" s="37"/>
      <c r="V123" s="36"/>
      <c r="W123" s="37"/>
      <c r="X123" s="36"/>
      <c r="Y123" s="37"/>
      <c r="Z123" s="36"/>
      <c r="AA123" s="37"/>
      <c r="AB123" s="36"/>
      <c r="AC123" s="37"/>
      <c r="AD123" s="36"/>
      <c r="AE123" s="37"/>
      <c r="AF123" s="36"/>
    </row>
    <row r="124" spans="1:32" x14ac:dyDescent="0.25">
      <c r="A124" s="37"/>
      <c r="B124" s="36"/>
      <c r="C124" s="37"/>
      <c r="D124" s="36"/>
      <c r="E124" s="37"/>
      <c r="F124" s="36"/>
      <c r="G124" s="37"/>
      <c r="H124" s="36"/>
      <c r="I124" s="37"/>
      <c r="J124" s="36"/>
      <c r="K124" s="37"/>
      <c r="L124" s="36"/>
      <c r="M124" s="37"/>
      <c r="N124" s="36"/>
      <c r="O124" s="37"/>
      <c r="P124" s="36"/>
      <c r="Q124" s="37"/>
      <c r="R124" s="36"/>
      <c r="S124" s="37"/>
      <c r="T124" s="36"/>
      <c r="U124" s="37"/>
      <c r="V124" s="36"/>
      <c r="W124" s="37"/>
      <c r="X124" s="36"/>
      <c r="Y124" s="37"/>
      <c r="Z124" s="36"/>
      <c r="AA124" s="37"/>
      <c r="AB124" s="36"/>
      <c r="AC124" s="37"/>
      <c r="AD124" s="36"/>
      <c r="AE124" s="37"/>
      <c r="AF124" s="36"/>
    </row>
    <row r="125" spans="1:32" x14ac:dyDescent="0.25">
      <c r="A125" s="37"/>
      <c r="B125" s="36"/>
      <c r="C125" s="37"/>
      <c r="D125" s="36"/>
      <c r="E125" s="37"/>
      <c r="F125" s="36"/>
      <c r="G125" s="37"/>
      <c r="H125" s="36"/>
      <c r="I125" s="37"/>
      <c r="J125" s="36"/>
      <c r="K125" s="37"/>
      <c r="L125" s="36"/>
      <c r="M125" s="37"/>
      <c r="N125" s="36"/>
      <c r="O125" s="37"/>
      <c r="P125" s="36"/>
      <c r="Q125" s="37"/>
      <c r="R125" s="36"/>
      <c r="S125" s="37"/>
      <c r="T125" s="36"/>
      <c r="U125" s="37"/>
      <c r="V125" s="36"/>
      <c r="W125" s="37"/>
      <c r="X125" s="36"/>
      <c r="Y125" s="37"/>
      <c r="Z125" s="36"/>
      <c r="AA125" s="37"/>
      <c r="AB125" s="36"/>
      <c r="AC125" s="37"/>
      <c r="AD125" s="36"/>
      <c r="AE125" s="37"/>
      <c r="AF125" s="36"/>
    </row>
    <row r="126" spans="1:32" x14ac:dyDescent="0.25">
      <c r="A126" s="37"/>
      <c r="B126" s="36"/>
      <c r="C126" s="37"/>
      <c r="D126" s="36"/>
      <c r="E126" s="37"/>
      <c r="F126" s="36"/>
      <c r="G126" s="37"/>
      <c r="H126" s="36"/>
      <c r="I126" s="37"/>
      <c r="J126" s="36"/>
      <c r="K126" s="37"/>
      <c r="L126" s="36"/>
      <c r="M126" s="37"/>
      <c r="N126" s="36"/>
      <c r="O126" s="37"/>
      <c r="P126" s="36"/>
      <c r="Q126" s="37"/>
      <c r="R126" s="36"/>
      <c r="S126" s="37"/>
      <c r="T126" s="36"/>
      <c r="U126" s="37"/>
      <c r="V126" s="36"/>
      <c r="W126" s="37"/>
      <c r="X126" s="36"/>
      <c r="Y126" s="37"/>
      <c r="Z126" s="36"/>
      <c r="AA126" s="37"/>
      <c r="AB126" s="36"/>
      <c r="AC126" s="37"/>
      <c r="AD126" s="36"/>
      <c r="AE126" s="37"/>
      <c r="AF126" s="36"/>
    </row>
    <row r="127" spans="1:32" x14ac:dyDescent="0.25">
      <c r="A127" s="37"/>
      <c r="B127" s="36"/>
      <c r="C127" s="37"/>
      <c r="D127" s="36"/>
      <c r="E127" s="37"/>
      <c r="F127" s="36"/>
      <c r="G127" s="37"/>
      <c r="H127" s="36"/>
      <c r="I127" s="37"/>
      <c r="J127" s="36"/>
      <c r="K127" s="37"/>
      <c r="L127" s="36"/>
      <c r="M127" s="37"/>
      <c r="N127" s="36"/>
      <c r="O127" s="37"/>
      <c r="P127" s="36"/>
      <c r="Q127" s="37"/>
      <c r="R127" s="36"/>
      <c r="S127" s="37"/>
      <c r="T127" s="36"/>
      <c r="U127" s="37"/>
      <c r="V127" s="36"/>
      <c r="W127" s="37"/>
      <c r="X127" s="36"/>
      <c r="Y127" s="37"/>
      <c r="Z127" s="36"/>
      <c r="AA127" s="37"/>
      <c r="AB127" s="36"/>
      <c r="AC127" s="37"/>
      <c r="AD127" s="36"/>
      <c r="AE127" s="37"/>
      <c r="AF127" s="36"/>
    </row>
    <row r="128" spans="1:32" x14ac:dyDescent="0.25">
      <c r="A128" s="37"/>
      <c r="B128" s="36"/>
      <c r="C128" s="37"/>
      <c r="D128" s="36"/>
      <c r="E128" s="37"/>
      <c r="F128" s="36"/>
      <c r="G128" s="37"/>
      <c r="H128" s="36"/>
      <c r="I128" s="37"/>
      <c r="J128" s="36"/>
      <c r="K128" s="37"/>
      <c r="L128" s="36"/>
      <c r="M128" s="37"/>
      <c r="N128" s="36"/>
      <c r="O128" s="37"/>
      <c r="P128" s="36"/>
      <c r="Q128" s="37"/>
      <c r="R128" s="36"/>
      <c r="S128" s="37"/>
      <c r="T128" s="36"/>
      <c r="U128" s="37"/>
      <c r="V128" s="36"/>
      <c r="W128" s="37"/>
      <c r="X128" s="36"/>
      <c r="Y128" s="37"/>
      <c r="Z128" s="36"/>
      <c r="AA128" s="37"/>
      <c r="AB128" s="36"/>
      <c r="AC128" s="37"/>
      <c r="AD128" s="36"/>
      <c r="AE128" s="37"/>
      <c r="AF128" s="36"/>
    </row>
    <row r="129" spans="1:32" x14ac:dyDescent="0.25">
      <c r="A129" s="37"/>
      <c r="B129" s="36"/>
      <c r="C129" s="37"/>
      <c r="D129" s="36"/>
      <c r="E129" s="37"/>
      <c r="F129" s="36"/>
      <c r="G129" s="37"/>
      <c r="H129" s="36"/>
      <c r="I129" s="37"/>
      <c r="J129" s="36"/>
      <c r="K129" s="37"/>
      <c r="L129" s="36"/>
      <c r="M129" s="37"/>
      <c r="N129" s="36"/>
      <c r="O129" s="37"/>
      <c r="P129" s="36"/>
      <c r="Q129" s="37"/>
      <c r="R129" s="36"/>
      <c r="S129" s="37"/>
      <c r="T129" s="36"/>
      <c r="U129" s="37"/>
      <c r="V129" s="36"/>
      <c r="W129" s="37"/>
      <c r="X129" s="36"/>
      <c r="Y129" s="37"/>
      <c r="Z129" s="36"/>
      <c r="AA129" s="37"/>
      <c r="AB129" s="36"/>
      <c r="AC129" s="37"/>
      <c r="AD129" s="36"/>
      <c r="AE129" s="37"/>
      <c r="AF129" s="36"/>
    </row>
    <row r="130" spans="1:32" x14ac:dyDescent="0.25">
      <c r="A130" s="37"/>
      <c r="B130" s="36"/>
      <c r="C130" s="37"/>
      <c r="D130" s="36"/>
      <c r="E130" s="37"/>
      <c r="F130" s="36"/>
      <c r="G130" s="37"/>
      <c r="H130" s="36"/>
      <c r="I130" s="37"/>
      <c r="J130" s="36"/>
      <c r="K130" s="37"/>
      <c r="L130" s="36"/>
      <c r="M130" s="37"/>
      <c r="N130" s="36"/>
      <c r="O130" s="37"/>
      <c r="P130" s="36"/>
      <c r="Q130" s="37"/>
      <c r="R130" s="36"/>
      <c r="S130" s="37"/>
      <c r="T130" s="36"/>
      <c r="U130" s="37"/>
      <c r="V130" s="36"/>
      <c r="W130" s="37"/>
      <c r="X130" s="36"/>
      <c r="Y130" s="37"/>
      <c r="Z130" s="36"/>
      <c r="AA130" s="37"/>
      <c r="AB130" s="36"/>
      <c r="AC130" s="37"/>
      <c r="AD130" s="36"/>
      <c r="AE130" s="37"/>
      <c r="AF130" s="36"/>
    </row>
    <row r="131" spans="1:32" x14ac:dyDescent="0.25">
      <c r="A131" s="37"/>
      <c r="B131" s="36"/>
      <c r="C131" s="37"/>
      <c r="D131" s="36"/>
      <c r="E131" s="37"/>
      <c r="F131" s="36"/>
      <c r="G131" s="37"/>
      <c r="H131" s="36"/>
      <c r="I131" s="37"/>
      <c r="J131" s="36"/>
      <c r="K131" s="37"/>
      <c r="L131" s="36"/>
      <c r="M131" s="37"/>
      <c r="N131" s="36"/>
      <c r="O131" s="37"/>
      <c r="P131" s="36"/>
      <c r="Q131" s="37"/>
      <c r="R131" s="36"/>
      <c r="S131" s="37"/>
      <c r="T131" s="36"/>
      <c r="U131" s="37"/>
      <c r="V131" s="36"/>
      <c r="W131" s="37"/>
      <c r="X131" s="36"/>
      <c r="Y131" s="37"/>
      <c r="Z131" s="36"/>
      <c r="AA131" s="37"/>
      <c r="AB131" s="36"/>
      <c r="AC131" s="37"/>
      <c r="AD131" s="36"/>
      <c r="AE131" s="37"/>
      <c r="AF131" s="36"/>
    </row>
    <row r="132" spans="1:32" x14ac:dyDescent="0.25">
      <c r="A132" s="37"/>
      <c r="B132" s="36"/>
      <c r="C132" s="37"/>
      <c r="D132" s="36"/>
      <c r="E132" s="37"/>
      <c r="F132" s="36"/>
      <c r="G132" s="37"/>
      <c r="H132" s="36"/>
      <c r="I132" s="37"/>
      <c r="J132" s="36"/>
      <c r="K132" s="37"/>
      <c r="L132" s="36"/>
      <c r="M132" s="37"/>
      <c r="N132" s="36"/>
      <c r="O132" s="37"/>
      <c r="P132" s="36"/>
      <c r="Q132" s="37"/>
      <c r="R132" s="36"/>
      <c r="S132" s="37"/>
      <c r="T132" s="36"/>
      <c r="U132" s="37"/>
      <c r="V132" s="36"/>
      <c r="W132" s="37"/>
      <c r="X132" s="36"/>
      <c r="Y132" s="37"/>
      <c r="Z132" s="36"/>
      <c r="AA132" s="37"/>
      <c r="AB132" s="36"/>
      <c r="AC132" s="37"/>
      <c r="AD132" s="36"/>
      <c r="AE132" s="37"/>
      <c r="AF132" s="36"/>
    </row>
    <row r="133" spans="1:32" x14ac:dyDescent="0.25">
      <c r="A133" s="37"/>
      <c r="B133" s="36"/>
      <c r="C133" s="37"/>
      <c r="D133" s="36"/>
      <c r="E133" s="37"/>
      <c r="F133" s="36"/>
      <c r="G133" s="37"/>
      <c r="H133" s="36"/>
      <c r="I133" s="37"/>
      <c r="J133" s="36"/>
      <c r="K133" s="37"/>
      <c r="L133" s="36"/>
      <c r="M133" s="37"/>
      <c r="N133" s="36"/>
      <c r="O133" s="37"/>
      <c r="P133" s="36"/>
      <c r="Q133" s="37"/>
      <c r="R133" s="36"/>
      <c r="S133" s="37"/>
      <c r="T133" s="36"/>
      <c r="U133" s="37"/>
      <c r="V133" s="36"/>
      <c r="W133" s="37"/>
      <c r="X133" s="36"/>
      <c r="Y133" s="37"/>
      <c r="Z133" s="36"/>
      <c r="AA133" s="37"/>
      <c r="AB133" s="36"/>
      <c r="AC133" s="37"/>
      <c r="AD133" s="36"/>
      <c r="AE133" s="37"/>
      <c r="AF133" s="36"/>
    </row>
    <row r="134" spans="1:32" x14ac:dyDescent="0.25">
      <c r="A134" s="37"/>
      <c r="B134" s="36"/>
      <c r="C134" s="37"/>
      <c r="D134" s="36"/>
      <c r="E134" s="37"/>
      <c r="F134" s="36"/>
      <c r="G134" s="37"/>
      <c r="H134" s="36"/>
      <c r="I134" s="37"/>
      <c r="J134" s="36"/>
      <c r="K134" s="37"/>
      <c r="L134" s="36"/>
      <c r="M134" s="37"/>
      <c r="N134" s="36"/>
      <c r="O134" s="37"/>
      <c r="P134" s="36"/>
      <c r="Q134" s="37"/>
      <c r="R134" s="36"/>
      <c r="S134" s="37"/>
      <c r="T134" s="36"/>
      <c r="U134" s="37"/>
      <c r="V134" s="36"/>
      <c r="W134" s="37"/>
      <c r="X134" s="36"/>
      <c r="Y134" s="37"/>
      <c r="Z134" s="36"/>
      <c r="AA134" s="37"/>
      <c r="AB134" s="36"/>
      <c r="AC134" s="37"/>
      <c r="AD134" s="36"/>
      <c r="AE134" s="37"/>
      <c r="AF134" s="36"/>
    </row>
    <row r="135" spans="1:32" x14ac:dyDescent="0.25">
      <c r="A135" s="37"/>
      <c r="B135" s="36"/>
      <c r="C135" s="37"/>
      <c r="D135" s="36"/>
      <c r="E135" s="37"/>
      <c r="F135" s="36"/>
      <c r="G135" s="37"/>
      <c r="H135" s="36"/>
      <c r="I135" s="37"/>
      <c r="J135" s="36"/>
      <c r="K135" s="37"/>
      <c r="L135" s="36"/>
      <c r="M135" s="37"/>
      <c r="N135" s="36"/>
      <c r="O135" s="37"/>
      <c r="P135" s="36"/>
      <c r="Q135" s="37"/>
      <c r="R135" s="36"/>
      <c r="S135" s="37"/>
      <c r="T135" s="36"/>
      <c r="U135" s="37"/>
      <c r="V135" s="36"/>
      <c r="W135" s="37"/>
      <c r="X135" s="36"/>
      <c r="Y135" s="37"/>
      <c r="Z135" s="36"/>
      <c r="AA135" s="37"/>
      <c r="AB135" s="36"/>
      <c r="AC135" s="37"/>
      <c r="AD135" s="36"/>
      <c r="AE135" s="37"/>
      <c r="AF135" s="36"/>
    </row>
    <row r="136" spans="1:32" x14ac:dyDescent="0.25">
      <c r="A136" s="37"/>
      <c r="B136" s="36"/>
      <c r="C136" s="37"/>
      <c r="D136" s="36"/>
      <c r="E136" s="37"/>
      <c r="F136" s="36"/>
      <c r="G136" s="37"/>
      <c r="H136" s="36"/>
      <c r="I136" s="37"/>
      <c r="J136" s="36"/>
      <c r="K136" s="37"/>
      <c r="L136" s="36"/>
      <c r="M136" s="37"/>
      <c r="N136" s="36"/>
      <c r="O136" s="37"/>
      <c r="P136" s="36"/>
      <c r="Q136" s="37"/>
      <c r="R136" s="36"/>
      <c r="S136" s="37"/>
      <c r="T136" s="36"/>
      <c r="U136" s="37"/>
      <c r="V136" s="36"/>
      <c r="W136" s="37"/>
      <c r="X136" s="36"/>
      <c r="Y136" s="37"/>
      <c r="Z136" s="36"/>
      <c r="AA136" s="37"/>
      <c r="AB136" s="36"/>
      <c r="AC136" s="37"/>
      <c r="AD136" s="36"/>
      <c r="AE136" s="37"/>
      <c r="AF136" s="36"/>
    </row>
    <row r="137" spans="1:32" x14ac:dyDescent="0.25">
      <c r="A137" s="37"/>
      <c r="B137" s="36"/>
      <c r="C137" s="37"/>
      <c r="D137" s="36"/>
      <c r="E137" s="37"/>
      <c r="F137" s="36"/>
      <c r="G137" s="37"/>
      <c r="H137" s="36"/>
      <c r="I137" s="37"/>
      <c r="J137" s="36"/>
      <c r="K137" s="37"/>
      <c r="L137" s="36"/>
      <c r="M137" s="37"/>
      <c r="N137" s="36"/>
      <c r="O137" s="37"/>
      <c r="P137" s="36"/>
      <c r="Q137" s="37"/>
      <c r="R137" s="36"/>
      <c r="S137" s="37"/>
      <c r="T137" s="36"/>
      <c r="U137" s="37"/>
      <c r="V137" s="36"/>
      <c r="W137" s="37"/>
      <c r="X137" s="36"/>
      <c r="Y137" s="37"/>
      <c r="Z137" s="36"/>
      <c r="AA137" s="37"/>
      <c r="AB137" s="36"/>
      <c r="AC137" s="37"/>
      <c r="AD137" s="36"/>
      <c r="AE137" s="37"/>
      <c r="AF137" s="36"/>
    </row>
    <row r="138" spans="1:32" x14ac:dyDescent="0.25">
      <c r="A138" s="37"/>
      <c r="B138" s="36"/>
      <c r="C138" s="37"/>
      <c r="D138" s="36"/>
      <c r="E138" s="37"/>
      <c r="F138" s="36"/>
      <c r="G138" s="37"/>
      <c r="H138" s="36"/>
      <c r="I138" s="37"/>
      <c r="J138" s="36"/>
      <c r="K138" s="37"/>
      <c r="L138" s="36"/>
      <c r="M138" s="37"/>
      <c r="N138" s="36"/>
      <c r="O138" s="37"/>
      <c r="P138" s="36"/>
      <c r="Q138" s="37"/>
      <c r="R138" s="36"/>
      <c r="S138" s="37"/>
      <c r="T138" s="36"/>
      <c r="U138" s="37"/>
      <c r="V138" s="36"/>
      <c r="W138" s="37"/>
      <c r="X138" s="36"/>
      <c r="Y138" s="37"/>
      <c r="Z138" s="36"/>
      <c r="AA138" s="37"/>
      <c r="AB138" s="36"/>
      <c r="AC138" s="37"/>
      <c r="AD138" s="36"/>
      <c r="AE138" s="37"/>
      <c r="AF138" s="36"/>
    </row>
    <row r="139" spans="1:32" x14ac:dyDescent="0.25">
      <c r="A139" s="37"/>
      <c r="B139" s="36"/>
      <c r="C139" s="37"/>
      <c r="D139" s="36"/>
      <c r="E139" s="37"/>
      <c r="F139" s="36"/>
      <c r="G139" s="37"/>
      <c r="H139" s="36"/>
      <c r="I139" s="37"/>
      <c r="J139" s="36"/>
      <c r="K139" s="37"/>
      <c r="L139" s="36"/>
      <c r="M139" s="37"/>
      <c r="N139" s="36"/>
      <c r="O139" s="37"/>
      <c r="P139" s="36"/>
      <c r="Q139" s="37"/>
      <c r="R139" s="36"/>
      <c r="S139" s="37"/>
      <c r="T139" s="36"/>
      <c r="U139" s="37"/>
      <c r="V139" s="36"/>
      <c r="W139" s="37"/>
      <c r="X139" s="36"/>
      <c r="Y139" s="37"/>
      <c r="Z139" s="36"/>
      <c r="AA139" s="37"/>
      <c r="AB139" s="36"/>
      <c r="AC139" s="37"/>
      <c r="AD139" s="36"/>
      <c r="AE139" s="37"/>
      <c r="AF139" s="36"/>
    </row>
    <row r="140" spans="1:32" x14ac:dyDescent="0.25">
      <c r="A140" s="37"/>
      <c r="B140" s="36"/>
      <c r="C140" s="37"/>
      <c r="D140" s="36"/>
      <c r="E140" s="37"/>
      <c r="F140" s="36"/>
      <c r="G140" s="37"/>
      <c r="H140" s="36"/>
      <c r="I140" s="37"/>
      <c r="J140" s="36"/>
      <c r="K140" s="37"/>
      <c r="L140" s="36"/>
      <c r="M140" s="37"/>
      <c r="N140" s="36"/>
      <c r="O140" s="37"/>
      <c r="P140" s="36"/>
      <c r="Q140" s="37"/>
      <c r="R140" s="36"/>
      <c r="S140" s="37"/>
      <c r="T140" s="36"/>
      <c r="U140" s="37"/>
      <c r="V140" s="36"/>
      <c r="W140" s="37"/>
      <c r="X140" s="36"/>
      <c r="Y140" s="37"/>
      <c r="Z140" s="36"/>
      <c r="AA140" s="37"/>
      <c r="AB140" s="36"/>
      <c r="AC140" s="37"/>
      <c r="AD140" s="36"/>
      <c r="AE140" s="37"/>
      <c r="AF140" s="36"/>
    </row>
    <row r="141" spans="1:32" x14ac:dyDescent="0.25">
      <c r="A141" s="37"/>
      <c r="B141" s="36"/>
      <c r="C141" s="37"/>
      <c r="D141" s="36"/>
      <c r="E141" s="37"/>
      <c r="F141" s="36"/>
      <c r="G141" s="37"/>
      <c r="H141" s="36"/>
      <c r="I141" s="37"/>
      <c r="J141" s="36"/>
      <c r="K141" s="37"/>
      <c r="L141" s="36"/>
      <c r="M141" s="37"/>
      <c r="N141" s="36"/>
      <c r="O141" s="37"/>
      <c r="P141" s="36"/>
      <c r="Q141" s="37"/>
      <c r="R141" s="36"/>
      <c r="S141" s="37"/>
      <c r="T141" s="36"/>
      <c r="U141" s="37"/>
      <c r="V141" s="36"/>
      <c r="W141" s="37"/>
      <c r="X141" s="36"/>
      <c r="Y141" s="37"/>
      <c r="Z141" s="36"/>
      <c r="AA141" s="37"/>
      <c r="AB141" s="36"/>
      <c r="AC141" s="37"/>
      <c r="AD141" s="36"/>
      <c r="AE141" s="37"/>
      <c r="AF141" s="36"/>
    </row>
    <row r="142" spans="1:32" x14ac:dyDescent="0.25">
      <c r="A142" s="37"/>
      <c r="B142" s="36"/>
      <c r="C142" s="37"/>
      <c r="D142" s="36"/>
      <c r="E142" s="37"/>
      <c r="F142" s="36"/>
      <c r="G142" s="37"/>
      <c r="H142" s="36"/>
      <c r="I142" s="37"/>
      <c r="J142" s="36"/>
      <c r="K142" s="37"/>
      <c r="L142" s="36"/>
      <c r="M142" s="37"/>
      <c r="N142" s="36"/>
      <c r="O142" s="37"/>
      <c r="P142" s="36"/>
      <c r="Q142" s="37"/>
      <c r="R142" s="36"/>
      <c r="S142" s="37"/>
      <c r="T142" s="36"/>
      <c r="U142" s="37"/>
      <c r="V142" s="36"/>
      <c r="W142" s="37"/>
      <c r="X142" s="36"/>
      <c r="Y142" s="37"/>
      <c r="Z142" s="36"/>
      <c r="AA142" s="37"/>
      <c r="AB142" s="36"/>
      <c r="AC142" s="37"/>
      <c r="AD142" s="36"/>
      <c r="AE142" s="37"/>
      <c r="AF142" s="36"/>
    </row>
    <row r="143" spans="1:32" x14ac:dyDescent="0.25">
      <c r="A143" s="37"/>
      <c r="B143" s="36"/>
      <c r="C143" s="37"/>
      <c r="D143" s="36"/>
      <c r="E143" s="37"/>
      <c r="F143" s="36"/>
      <c r="G143" s="37"/>
      <c r="H143" s="36"/>
      <c r="I143" s="37"/>
      <c r="J143" s="36"/>
      <c r="K143" s="37"/>
      <c r="L143" s="36"/>
      <c r="M143" s="37"/>
      <c r="N143" s="36"/>
      <c r="O143" s="37"/>
      <c r="P143" s="36"/>
      <c r="Q143" s="37"/>
      <c r="R143" s="36"/>
      <c r="S143" s="37"/>
      <c r="T143" s="36"/>
      <c r="U143" s="37"/>
      <c r="V143" s="36"/>
      <c r="W143" s="37"/>
      <c r="X143" s="36"/>
      <c r="Y143" s="37"/>
      <c r="Z143" s="36"/>
      <c r="AA143" s="37"/>
      <c r="AB143" s="36"/>
      <c r="AC143" s="37"/>
      <c r="AD143" s="36"/>
      <c r="AE143" s="37"/>
      <c r="AF143" s="36"/>
    </row>
    <row r="144" spans="1:32" x14ac:dyDescent="0.25">
      <c r="A144" s="37"/>
      <c r="B144" s="36"/>
      <c r="C144" s="37"/>
      <c r="D144" s="36"/>
      <c r="E144" s="37"/>
      <c r="F144" s="36"/>
      <c r="G144" s="37"/>
      <c r="H144" s="36"/>
      <c r="I144" s="37"/>
      <c r="J144" s="36"/>
      <c r="K144" s="37"/>
      <c r="L144" s="36"/>
      <c r="M144" s="37"/>
      <c r="N144" s="36"/>
      <c r="O144" s="37"/>
      <c r="P144" s="36"/>
      <c r="Q144" s="37"/>
      <c r="R144" s="36"/>
      <c r="S144" s="37"/>
      <c r="T144" s="36"/>
      <c r="U144" s="37"/>
      <c r="V144" s="36"/>
      <c r="W144" s="37"/>
      <c r="X144" s="36"/>
      <c r="Y144" s="37"/>
      <c r="Z144" s="36"/>
      <c r="AA144" s="37"/>
      <c r="AB144" s="36"/>
      <c r="AC144" s="37"/>
      <c r="AD144" s="36"/>
      <c r="AE144" s="37"/>
      <c r="AF144" s="36"/>
    </row>
    <row r="145" spans="1:32" x14ac:dyDescent="0.25">
      <c r="A145" s="37"/>
      <c r="B145" s="36"/>
      <c r="C145" s="37"/>
      <c r="D145" s="36"/>
      <c r="E145" s="37"/>
      <c r="F145" s="36"/>
      <c r="G145" s="37"/>
      <c r="H145" s="36"/>
      <c r="I145" s="37"/>
      <c r="J145" s="36"/>
      <c r="K145" s="37"/>
      <c r="L145" s="36"/>
      <c r="M145" s="37"/>
      <c r="N145" s="36"/>
      <c r="O145" s="37"/>
      <c r="P145" s="36"/>
      <c r="Q145" s="37"/>
      <c r="R145" s="36"/>
      <c r="S145" s="37"/>
      <c r="T145" s="36"/>
      <c r="U145" s="37"/>
      <c r="V145" s="36"/>
      <c r="W145" s="37"/>
      <c r="X145" s="36"/>
      <c r="Y145" s="37"/>
      <c r="Z145" s="36"/>
      <c r="AA145" s="37"/>
      <c r="AB145" s="36"/>
      <c r="AC145" s="37"/>
      <c r="AD145" s="36"/>
      <c r="AE145" s="37"/>
      <c r="AF145" s="36"/>
    </row>
    <row r="146" spans="1:32" x14ac:dyDescent="0.25">
      <c r="A146" s="37"/>
      <c r="B146" s="36"/>
      <c r="C146" s="37"/>
      <c r="D146" s="36"/>
      <c r="E146" s="37"/>
      <c r="F146" s="36"/>
      <c r="G146" s="37"/>
      <c r="H146" s="36"/>
      <c r="I146" s="37"/>
      <c r="J146" s="36"/>
      <c r="K146" s="37"/>
      <c r="L146" s="36"/>
      <c r="M146" s="37"/>
      <c r="N146" s="36"/>
      <c r="O146" s="37"/>
      <c r="P146" s="36"/>
      <c r="Q146" s="37"/>
      <c r="R146" s="36"/>
      <c r="S146" s="37"/>
      <c r="T146" s="36"/>
      <c r="U146" s="37"/>
      <c r="V146" s="36"/>
      <c r="W146" s="37"/>
      <c r="X146" s="36"/>
      <c r="Y146" s="37"/>
      <c r="Z146" s="36"/>
      <c r="AA146" s="37"/>
      <c r="AB146" s="36"/>
      <c r="AC146" s="37"/>
      <c r="AD146" s="36"/>
      <c r="AE146" s="37"/>
      <c r="AF146" s="36"/>
    </row>
    <row r="147" spans="1:32" x14ac:dyDescent="0.25">
      <c r="A147" s="37"/>
      <c r="B147" s="36"/>
      <c r="C147" s="37"/>
      <c r="D147" s="36"/>
      <c r="E147" s="37"/>
      <c r="F147" s="36"/>
      <c r="G147" s="37"/>
      <c r="H147" s="36"/>
      <c r="I147" s="37"/>
      <c r="J147" s="36"/>
      <c r="K147" s="37"/>
      <c r="L147" s="36"/>
      <c r="M147" s="37"/>
      <c r="N147" s="36"/>
      <c r="O147" s="37"/>
      <c r="P147" s="36"/>
      <c r="Q147" s="37"/>
      <c r="R147" s="36"/>
      <c r="S147" s="37"/>
      <c r="T147" s="36"/>
      <c r="U147" s="37"/>
      <c r="V147" s="36"/>
      <c r="W147" s="37"/>
      <c r="X147" s="36"/>
      <c r="Y147" s="37"/>
      <c r="Z147" s="36"/>
      <c r="AA147" s="37"/>
      <c r="AB147" s="36"/>
      <c r="AC147" s="37"/>
      <c r="AD147" s="36"/>
      <c r="AE147" s="37"/>
      <c r="AF147" s="36"/>
    </row>
    <row r="148" spans="1:32" x14ac:dyDescent="0.25">
      <c r="A148" s="37"/>
      <c r="B148" s="36"/>
      <c r="C148" s="37"/>
      <c r="D148" s="36"/>
      <c r="E148" s="37"/>
      <c r="F148" s="36"/>
      <c r="G148" s="37"/>
      <c r="H148" s="36"/>
      <c r="I148" s="37"/>
      <c r="J148" s="36"/>
      <c r="K148" s="37"/>
      <c r="L148" s="36"/>
      <c r="M148" s="37"/>
      <c r="N148" s="36"/>
      <c r="O148" s="37"/>
      <c r="P148" s="36"/>
      <c r="Q148" s="37"/>
      <c r="R148" s="36"/>
      <c r="S148" s="37"/>
      <c r="T148" s="36"/>
      <c r="U148" s="37"/>
      <c r="V148" s="36"/>
      <c r="W148" s="37"/>
      <c r="X148" s="36"/>
      <c r="Y148" s="37"/>
      <c r="Z148" s="36"/>
      <c r="AA148" s="37"/>
      <c r="AB148" s="36"/>
      <c r="AC148" s="37"/>
      <c r="AD148" s="36"/>
      <c r="AE148" s="37"/>
      <c r="AF148" s="36"/>
    </row>
    <row r="149" spans="1:32" x14ac:dyDescent="0.25">
      <c r="A149" s="37"/>
      <c r="B149" s="36"/>
      <c r="C149" s="37"/>
      <c r="D149" s="36"/>
      <c r="E149" s="37"/>
      <c r="F149" s="36"/>
      <c r="G149" s="37"/>
      <c r="H149" s="36"/>
      <c r="I149" s="37"/>
      <c r="J149" s="36"/>
      <c r="K149" s="37"/>
      <c r="L149" s="36"/>
      <c r="M149" s="37"/>
      <c r="N149" s="36"/>
      <c r="O149" s="37"/>
      <c r="P149" s="36"/>
      <c r="Q149" s="37"/>
      <c r="R149" s="36"/>
      <c r="S149" s="37"/>
      <c r="T149" s="36"/>
      <c r="U149" s="37"/>
      <c r="V149" s="36"/>
      <c r="W149" s="37"/>
      <c r="X149" s="36"/>
      <c r="Y149" s="37"/>
      <c r="Z149" s="36"/>
      <c r="AA149" s="37"/>
      <c r="AB149" s="36"/>
      <c r="AC149" s="37"/>
      <c r="AD149" s="36"/>
      <c r="AE149" s="37"/>
      <c r="AF149" s="36"/>
    </row>
    <row r="150" spans="1:32" x14ac:dyDescent="0.25">
      <c r="A150" s="37"/>
      <c r="B150" s="36"/>
      <c r="C150" s="37"/>
      <c r="D150" s="36"/>
      <c r="E150" s="37"/>
      <c r="F150" s="36"/>
      <c r="G150" s="37"/>
      <c r="H150" s="36"/>
      <c r="I150" s="37"/>
      <c r="J150" s="36"/>
      <c r="K150" s="37"/>
      <c r="L150" s="36"/>
      <c r="M150" s="37"/>
      <c r="N150" s="36"/>
      <c r="O150" s="37"/>
      <c r="P150" s="36"/>
      <c r="Q150" s="37"/>
      <c r="R150" s="36"/>
      <c r="S150" s="37"/>
      <c r="T150" s="36"/>
      <c r="U150" s="37"/>
      <c r="V150" s="36"/>
      <c r="W150" s="37"/>
      <c r="X150" s="36"/>
      <c r="Y150" s="37"/>
      <c r="Z150" s="36"/>
      <c r="AA150" s="37"/>
      <c r="AB150" s="36"/>
      <c r="AC150" s="37"/>
      <c r="AD150" s="36"/>
      <c r="AE150" s="37"/>
      <c r="AF150" s="36"/>
    </row>
    <row r="151" spans="1:32" x14ac:dyDescent="0.25">
      <c r="A151" s="37"/>
      <c r="B151" s="36"/>
      <c r="C151" s="37"/>
      <c r="D151" s="36"/>
      <c r="E151" s="37"/>
      <c r="F151" s="36"/>
      <c r="G151" s="37"/>
      <c r="H151" s="36"/>
      <c r="I151" s="37"/>
      <c r="J151" s="36"/>
      <c r="K151" s="37"/>
      <c r="L151" s="36"/>
      <c r="M151" s="37"/>
      <c r="N151" s="36"/>
      <c r="O151" s="37"/>
      <c r="P151" s="36"/>
      <c r="Q151" s="37"/>
      <c r="R151" s="36"/>
      <c r="S151" s="37"/>
      <c r="T151" s="36"/>
      <c r="U151" s="37"/>
      <c r="V151" s="36"/>
      <c r="W151" s="37"/>
      <c r="X151" s="36"/>
      <c r="Y151" s="37"/>
      <c r="Z151" s="36"/>
      <c r="AA151" s="37"/>
      <c r="AB151" s="36"/>
      <c r="AC151" s="37"/>
      <c r="AD151" s="36"/>
      <c r="AE151" s="37"/>
      <c r="AF151" s="36"/>
    </row>
    <row r="152" spans="1:32" x14ac:dyDescent="0.25">
      <c r="A152" s="37"/>
      <c r="B152" s="36"/>
      <c r="C152" s="37"/>
      <c r="D152" s="36"/>
      <c r="E152" s="37"/>
      <c r="F152" s="36"/>
      <c r="G152" s="37"/>
      <c r="H152" s="36"/>
      <c r="I152" s="37"/>
      <c r="J152" s="36"/>
      <c r="K152" s="37"/>
      <c r="L152" s="36"/>
      <c r="M152" s="37"/>
      <c r="N152" s="36"/>
      <c r="O152" s="37"/>
      <c r="P152" s="36"/>
      <c r="Q152" s="37"/>
      <c r="R152" s="36"/>
      <c r="S152" s="37"/>
      <c r="T152" s="36"/>
      <c r="U152" s="37"/>
      <c r="V152" s="36"/>
      <c r="W152" s="37"/>
      <c r="X152" s="36"/>
      <c r="Y152" s="37"/>
      <c r="Z152" s="36"/>
      <c r="AA152" s="37"/>
      <c r="AB152" s="36"/>
      <c r="AC152" s="37"/>
      <c r="AD152" s="36"/>
      <c r="AE152" s="37"/>
      <c r="AF152" s="36"/>
    </row>
    <row r="153" spans="1:32" x14ac:dyDescent="0.25">
      <c r="A153" s="37"/>
      <c r="B153" s="36"/>
      <c r="C153" s="37"/>
      <c r="D153" s="36"/>
      <c r="E153" s="37"/>
      <c r="F153" s="36"/>
      <c r="G153" s="37"/>
      <c r="H153" s="36"/>
      <c r="I153" s="37"/>
      <c r="J153" s="36"/>
      <c r="K153" s="37"/>
      <c r="L153" s="36"/>
      <c r="M153" s="37"/>
      <c r="N153" s="36"/>
      <c r="O153" s="37"/>
      <c r="P153" s="36"/>
      <c r="Q153" s="37"/>
      <c r="R153" s="36"/>
      <c r="S153" s="37"/>
      <c r="T153" s="36"/>
      <c r="U153" s="37"/>
      <c r="V153" s="36"/>
      <c r="W153" s="37"/>
      <c r="X153" s="36"/>
      <c r="Y153" s="37"/>
      <c r="Z153" s="36"/>
      <c r="AA153" s="37"/>
      <c r="AB153" s="36"/>
      <c r="AC153" s="37"/>
      <c r="AD153" s="36"/>
      <c r="AE153" s="37"/>
      <c r="AF153" s="36"/>
    </row>
    <row r="154" spans="1:32" x14ac:dyDescent="0.25">
      <c r="A154" s="37"/>
      <c r="B154" s="36"/>
      <c r="C154" s="37"/>
      <c r="D154" s="36"/>
      <c r="E154" s="37"/>
      <c r="F154" s="36"/>
      <c r="G154" s="37"/>
      <c r="H154" s="36"/>
      <c r="I154" s="37"/>
      <c r="J154" s="36"/>
      <c r="K154" s="37"/>
      <c r="L154" s="36"/>
      <c r="M154" s="37"/>
      <c r="N154" s="36"/>
      <c r="O154" s="37"/>
      <c r="P154" s="36"/>
      <c r="Q154" s="37"/>
      <c r="R154" s="36"/>
      <c r="S154" s="37"/>
      <c r="T154" s="36"/>
      <c r="U154" s="37"/>
      <c r="V154" s="36"/>
      <c r="W154" s="37"/>
      <c r="X154" s="36"/>
      <c r="Y154" s="37"/>
      <c r="Z154" s="36"/>
      <c r="AA154" s="37"/>
      <c r="AB154" s="36"/>
      <c r="AC154" s="37"/>
      <c r="AD154" s="36"/>
      <c r="AE154" s="37"/>
      <c r="AF154" s="36"/>
    </row>
    <row r="155" spans="1:32" x14ac:dyDescent="0.25">
      <c r="A155" s="37"/>
      <c r="B155" s="36"/>
      <c r="C155" s="37"/>
      <c r="D155" s="36"/>
      <c r="E155" s="37"/>
      <c r="F155" s="36"/>
      <c r="G155" s="37"/>
      <c r="H155" s="36"/>
      <c r="I155" s="37"/>
      <c r="J155" s="36"/>
      <c r="K155" s="37"/>
      <c r="L155" s="36"/>
      <c r="M155" s="37"/>
      <c r="N155" s="36"/>
      <c r="O155" s="37"/>
      <c r="P155" s="36"/>
      <c r="Q155" s="37"/>
      <c r="R155" s="36"/>
      <c r="S155" s="37"/>
      <c r="T155" s="36"/>
      <c r="U155" s="37"/>
      <c r="V155" s="36"/>
      <c r="W155" s="37"/>
      <c r="X155" s="36"/>
      <c r="Y155" s="37"/>
      <c r="Z155" s="36"/>
      <c r="AA155" s="37"/>
      <c r="AB155" s="36"/>
      <c r="AC155" s="37"/>
      <c r="AD155" s="36"/>
      <c r="AE155" s="37"/>
      <c r="AF155" s="36"/>
    </row>
    <row r="156" spans="1:32" x14ac:dyDescent="0.25">
      <c r="A156" s="37"/>
      <c r="B156" s="36"/>
      <c r="C156" s="37"/>
      <c r="D156" s="36"/>
      <c r="E156" s="37"/>
      <c r="F156" s="36"/>
      <c r="G156" s="37"/>
      <c r="H156" s="36"/>
      <c r="I156" s="37"/>
      <c r="J156" s="36"/>
      <c r="K156" s="37"/>
      <c r="L156" s="36"/>
      <c r="M156" s="37"/>
      <c r="N156" s="36"/>
      <c r="O156" s="37"/>
      <c r="P156" s="36"/>
      <c r="Q156" s="37"/>
      <c r="R156" s="36"/>
      <c r="S156" s="37"/>
      <c r="T156" s="36"/>
      <c r="U156" s="37"/>
      <c r="V156" s="36"/>
      <c r="W156" s="37"/>
      <c r="X156" s="36"/>
      <c r="Y156" s="37"/>
      <c r="Z156" s="36"/>
      <c r="AA156" s="37"/>
      <c r="AB156" s="36"/>
      <c r="AC156" s="37"/>
      <c r="AD156" s="36"/>
      <c r="AE156" s="37"/>
      <c r="AF156" s="36"/>
    </row>
    <row r="157" spans="1:32" x14ac:dyDescent="0.25">
      <c r="A157" s="37"/>
      <c r="B157" s="36"/>
      <c r="C157" s="37"/>
      <c r="D157" s="36"/>
      <c r="E157" s="37"/>
      <c r="F157" s="36"/>
      <c r="G157" s="37"/>
      <c r="H157" s="36"/>
      <c r="I157" s="37"/>
      <c r="J157" s="36"/>
      <c r="K157" s="37"/>
      <c r="L157" s="36"/>
      <c r="M157" s="37"/>
      <c r="N157" s="36"/>
      <c r="O157" s="37"/>
      <c r="P157" s="36"/>
      <c r="Q157" s="37"/>
      <c r="R157" s="36"/>
      <c r="S157" s="37"/>
      <c r="T157" s="36"/>
      <c r="U157" s="37"/>
      <c r="V157" s="36"/>
      <c r="W157" s="37"/>
      <c r="X157" s="36"/>
      <c r="Y157" s="37"/>
      <c r="Z157" s="36"/>
      <c r="AA157" s="37"/>
      <c r="AB157" s="36"/>
      <c r="AC157" s="37"/>
      <c r="AD157" s="36"/>
      <c r="AE157" s="37"/>
      <c r="AF157" s="36"/>
    </row>
    <row r="158" spans="1:32" x14ac:dyDescent="0.25">
      <c r="A158" s="37"/>
      <c r="B158" s="36"/>
      <c r="C158" s="37"/>
      <c r="D158" s="36"/>
      <c r="E158" s="37"/>
      <c r="F158" s="36"/>
      <c r="G158" s="37"/>
      <c r="H158" s="36"/>
      <c r="I158" s="37"/>
      <c r="J158" s="36"/>
      <c r="K158" s="37"/>
      <c r="L158" s="36"/>
      <c r="M158" s="37"/>
      <c r="N158" s="36"/>
      <c r="O158" s="37"/>
      <c r="P158" s="36"/>
      <c r="Q158" s="37"/>
      <c r="R158" s="36"/>
      <c r="S158" s="37"/>
      <c r="T158" s="36"/>
      <c r="U158" s="37"/>
      <c r="V158" s="36"/>
      <c r="W158" s="37"/>
      <c r="X158" s="36"/>
      <c r="Y158" s="37"/>
      <c r="Z158" s="36"/>
      <c r="AA158" s="37"/>
      <c r="AB158" s="36"/>
      <c r="AC158" s="37"/>
      <c r="AD158" s="36"/>
      <c r="AE158" s="37"/>
      <c r="AF158" s="36"/>
    </row>
    <row r="159" spans="1:32" x14ac:dyDescent="0.25">
      <c r="A159" s="37"/>
      <c r="B159" s="36"/>
      <c r="C159" s="37"/>
      <c r="D159" s="36"/>
      <c r="E159" s="37"/>
      <c r="F159" s="36"/>
      <c r="G159" s="37"/>
      <c r="H159" s="36"/>
      <c r="I159" s="37"/>
      <c r="J159" s="36"/>
      <c r="K159" s="37"/>
      <c r="L159" s="36"/>
      <c r="M159" s="37"/>
      <c r="N159" s="36"/>
      <c r="O159" s="37"/>
      <c r="P159" s="36"/>
      <c r="Q159" s="37"/>
      <c r="R159" s="36"/>
      <c r="S159" s="37"/>
      <c r="T159" s="36"/>
      <c r="U159" s="37"/>
      <c r="V159" s="36"/>
      <c r="W159" s="37"/>
      <c r="X159" s="36"/>
      <c r="Y159" s="37"/>
      <c r="Z159" s="36"/>
      <c r="AA159" s="37"/>
      <c r="AB159" s="36"/>
      <c r="AC159" s="37"/>
      <c r="AD159" s="36"/>
      <c r="AE159" s="37"/>
      <c r="AF159" s="36"/>
    </row>
    <row r="160" spans="1:32" x14ac:dyDescent="0.25">
      <c r="A160" s="37"/>
      <c r="B160" s="36"/>
      <c r="C160" s="37"/>
      <c r="D160" s="36"/>
      <c r="E160" s="37"/>
      <c r="F160" s="36"/>
      <c r="G160" s="37"/>
      <c r="H160" s="36"/>
      <c r="I160" s="37"/>
      <c r="J160" s="36"/>
      <c r="K160" s="37"/>
      <c r="L160" s="36"/>
      <c r="M160" s="37"/>
      <c r="N160" s="36"/>
      <c r="O160" s="37"/>
      <c r="P160" s="36"/>
      <c r="Q160" s="37"/>
      <c r="R160" s="36"/>
      <c r="S160" s="37"/>
      <c r="T160" s="36"/>
      <c r="U160" s="37"/>
      <c r="V160" s="36"/>
      <c r="W160" s="37"/>
      <c r="X160" s="36"/>
      <c r="Y160" s="37"/>
      <c r="Z160" s="36"/>
      <c r="AA160" s="37"/>
      <c r="AB160" s="36"/>
      <c r="AC160" s="37"/>
      <c r="AD160" s="36"/>
      <c r="AE160" s="37"/>
      <c r="AF160" s="36"/>
    </row>
    <row r="161" spans="1:32" x14ac:dyDescent="0.25">
      <c r="A161" s="37"/>
      <c r="B161" s="36"/>
      <c r="C161" s="37"/>
      <c r="D161" s="36"/>
      <c r="E161" s="37"/>
      <c r="F161" s="36"/>
      <c r="G161" s="37"/>
      <c r="H161" s="36"/>
      <c r="I161" s="37"/>
      <c r="J161" s="36"/>
      <c r="K161" s="37"/>
      <c r="L161" s="36"/>
      <c r="M161" s="37"/>
      <c r="N161" s="36"/>
      <c r="O161" s="37"/>
      <c r="P161" s="36"/>
      <c r="Q161" s="37"/>
      <c r="R161" s="36"/>
      <c r="S161" s="37"/>
      <c r="T161" s="36"/>
      <c r="U161" s="37"/>
      <c r="V161" s="36"/>
      <c r="W161" s="37"/>
      <c r="X161" s="36"/>
      <c r="Y161" s="37"/>
      <c r="Z161" s="36"/>
      <c r="AA161" s="37"/>
      <c r="AB161" s="36"/>
      <c r="AC161" s="37"/>
      <c r="AD161" s="36"/>
      <c r="AE161" s="37"/>
      <c r="AF161" s="36"/>
    </row>
    <row r="162" spans="1:32" x14ac:dyDescent="0.25">
      <c r="A162" s="37"/>
      <c r="B162" s="36"/>
      <c r="C162" s="37"/>
      <c r="D162" s="36"/>
      <c r="E162" s="37"/>
      <c r="F162" s="36"/>
      <c r="G162" s="37"/>
      <c r="H162" s="36"/>
      <c r="I162" s="37"/>
      <c r="J162" s="36"/>
      <c r="K162" s="37"/>
      <c r="L162" s="36"/>
      <c r="M162" s="37"/>
      <c r="N162" s="36"/>
      <c r="O162" s="37"/>
      <c r="P162" s="36"/>
      <c r="Q162" s="37"/>
      <c r="R162" s="36"/>
      <c r="S162" s="37"/>
      <c r="T162" s="36"/>
      <c r="U162" s="37"/>
      <c r="V162" s="36"/>
      <c r="W162" s="37"/>
      <c r="X162" s="36"/>
      <c r="Y162" s="37"/>
      <c r="Z162" s="36"/>
      <c r="AA162" s="37"/>
      <c r="AB162" s="36"/>
      <c r="AC162" s="37"/>
      <c r="AD162" s="36"/>
      <c r="AE162" s="37"/>
      <c r="AF162" s="36"/>
    </row>
    <row r="163" spans="1:32" x14ac:dyDescent="0.25">
      <c r="A163" s="37"/>
      <c r="B163" s="36"/>
      <c r="C163" s="37"/>
      <c r="D163" s="36"/>
      <c r="E163" s="37"/>
      <c r="F163" s="36"/>
      <c r="G163" s="37"/>
      <c r="H163" s="36"/>
      <c r="I163" s="37"/>
      <c r="J163" s="36"/>
      <c r="K163" s="37"/>
      <c r="L163" s="36"/>
      <c r="M163" s="37"/>
      <c r="N163" s="36"/>
      <c r="O163" s="37"/>
      <c r="P163" s="36"/>
      <c r="Q163" s="37"/>
      <c r="R163" s="36"/>
      <c r="S163" s="37"/>
      <c r="T163" s="36"/>
      <c r="U163" s="37"/>
      <c r="V163" s="36"/>
      <c r="W163" s="37"/>
      <c r="X163" s="36"/>
      <c r="Y163" s="37"/>
      <c r="Z163" s="36"/>
      <c r="AA163" s="37"/>
      <c r="AB163" s="36"/>
      <c r="AC163" s="37"/>
      <c r="AD163" s="36"/>
      <c r="AE163" s="37"/>
      <c r="AF163" s="36"/>
    </row>
    <row r="164" spans="1:32" x14ac:dyDescent="0.25">
      <c r="A164" s="37"/>
      <c r="B164" s="36"/>
      <c r="C164" s="37"/>
      <c r="D164" s="36"/>
      <c r="E164" s="37"/>
      <c r="F164" s="36"/>
      <c r="G164" s="37"/>
      <c r="H164" s="36"/>
      <c r="I164" s="37"/>
      <c r="J164" s="36"/>
      <c r="K164" s="37"/>
      <c r="L164" s="36"/>
      <c r="M164" s="37"/>
      <c r="N164" s="36"/>
      <c r="O164" s="37"/>
      <c r="P164" s="36"/>
      <c r="Q164" s="37"/>
      <c r="R164" s="36"/>
      <c r="S164" s="37"/>
      <c r="T164" s="36"/>
      <c r="U164" s="37"/>
      <c r="V164" s="36"/>
      <c r="W164" s="37"/>
      <c r="X164" s="36"/>
      <c r="Y164" s="37"/>
      <c r="Z164" s="36"/>
      <c r="AA164" s="37"/>
      <c r="AB164" s="36"/>
      <c r="AC164" s="37"/>
      <c r="AD164" s="36"/>
      <c r="AE164" s="37"/>
      <c r="AF164" s="36"/>
    </row>
    <row r="165" spans="1:32" x14ac:dyDescent="0.25">
      <c r="A165" s="37"/>
      <c r="B165" s="36"/>
      <c r="C165" s="37"/>
      <c r="D165" s="36"/>
      <c r="E165" s="37"/>
      <c r="F165" s="36"/>
      <c r="G165" s="37"/>
      <c r="H165" s="36"/>
      <c r="I165" s="37"/>
      <c r="J165" s="36"/>
      <c r="K165" s="37"/>
      <c r="L165" s="36"/>
      <c r="M165" s="37"/>
      <c r="N165" s="36"/>
      <c r="O165" s="37"/>
      <c r="P165" s="36"/>
      <c r="Q165" s="37"/>
      <c r="R165" s="36"/>
      <c r="S165" s="37"/>
      <c r="T165" s="36"/>
      <c r="U165" s="37"/>
      <c r="V165" s="36"/>
      <c r="W165" s="37"/>
      <c r="X165" s="36"/>
      <c r="Y165" s="37"/>
      <c r="Z165" s="36"/>
      <c r="AA165" s="37"/>
      <c r="AB165" s="36"/>
      <c r="AC165" s="37"/>
      <c r="AD165" s="36"/>
      <c r="AE165" s="37"/>
      <c r="AF165" s="36"/>
    </row>
    <row r="166" spans="1:32" x14ac:dyDescent="0.25">
      <c r="A166" s="37"/>
      <c r="B166" s="36"/>
      <c r="C166" s="37"/>
      <c r="D166" s="36"/>
      <c r="E166" s="37"/>
      <c r="F166" s="36"/>
      <c r="G166" s="37"/>
      <c r="H166" s="36"/>
      <c r="I166" s="37"/>
      <c r="J166" s="36"/>
      <c r="K166" s="37"/>
      <c r="L166" s="36"/>
      <c r="M166" s="37"/>
      <c r="N166" s="36"/>
      <c r="O166" s="37"/>
      <c r="P166" s="36"/>
      <c r="Q166" s="37"/>
      <c r="R166" s="36"/>
      <c r="S166" s="37"/>
      <c r="T166" s="36"/>
      <c r="U166" s="37"/>
      <c r="V166" s="36"/>
      <c r="W166" s="37"/>
      <c r="X166" s="36"/>
      <c r="Y166" s="37"/>
      <c r="Z166" s="36"/>
      <c r="AA166" s="37"/>
      <c r="AB166" s="36"/>
      <c r="AC166" s="37"/>
      <c r="AD166" s="36"/>
      <c r="AE166" s="37"/>
      <c r="AF166" s="36"/>
    </row>
    <row r="167" spans="1:32" x14ac:dyDescent="0.25">
      <c r="A167" s="37"/>
      <c r="B167" s="36"/>
      <c r="C167" s="37"/>
      <c r="D167" s="36"/>
      <c r="E167" s="37"/>
      <c r="F167" s="36"/>
      <c r="G167" s="37"/>
      <c r="H167" s="36"/>
      <c r="I167" s="37"/>
      <c r="J167" s="36"/>
      <c r="K167" s="37"/>
      <c r="L167" s="36"/>
      <c r="M167" s="37"/>
      <c r="N167" s="36"/>
      <c r="O167" s="37"/>
      <c r="P167" s="36"/>
      <c r="Q167" s="37"/>
      <c r="R167" s="36"/>
      <c r="S167" s="37"/>
      <c r="T167" s="36"/>
      <c r="U167" s="37"/>
      <c r="V167" s="36"/>
      <c r="W167" s="37"/>
      <c r="X167" s="36"/>
      <c r="Y167" s="37"/>
      <c r="Z167" s="36"/>
      <c r="AA167" s="37"/>
      <c r="AB167" s="36"/>
      <c r="AC167" s="37"/>
      <c r="AD167" s="36"/>
      <c r="AE167" s="37"/>
      <c r="AF167" s="36"/>
    </row>
    <row r="168" spans="1:32" x14ac:dyDescent="0.25">
      <c r="A168" s="37"/>
      <c r="B168" s="36"/>
      <c r="C168" s="37"/>
      <c r="D168" s="36"/>
      <c r="E168" s="37"/>
      <c r="F168" s="36"/>
      <c r="G168" s="37"/>
      <c r="H168" s="36"/>
      <c r="I168" s="37"/>
      <c r="J168" s="36"/>
      <c r="K168" s="37"/>
      <c r="L168" s="36"/>
      <c r="M168" s="37"/>
      <c r="N168" s="36"/>
      <c r="O168" s="37"/>
      <c r="P168" s="36"/>
      <c r="Q168" s="37"/>
      <c r="R168" s="36"/>
      <c r="S168" s="37"/>
      <c r="T168" s="36"/>
      <c r="U168" s="37"/>
      <c r="V168" s="36"/>
      <c r="W168" s="37"/>
      <c r="X168" s="36"/>
      <c r="Y168" s="37"/>
      <c r="Z168" s="36"/>
      <c r="AA168" s="37"/>
      <c r="AB168" s="36"/>
      <c r="AC168" s="37"/>
      <c r="AD168" s="36"/>
      <c r="AE168" s="37"/>
      <c r="AF168" s="36"/>
    </row>
    <row r="169" spans="1:32" x14ac:dyDescent="0.25">
      <c r="A169" s="37"/>
      <c r="B169" s="36"/>
      <c r="C169" s="37"/>
      <c r="D169" s="36"/>
      <c r="E169" s="37"/>
      <c r="F169" s="36"/>
      <c r="G169" s="37"/>
      <c r="H169" s="36"/>
      <c r="I169" s="37"/>
      <c r="J169" s="36"/>
      <c r="K169" s="37"/>
      <c r="L169" s="36"/>
      <c r="M169" s="37"/>
      <c r="N169" s="36"/>
      <c r="O169" s="37"/>
      <c r="P169" s="36"/>
      <c r="Q169" s="37"/>
      <c r="R169" s="36"/>
      <c r="S169" s="37"/>
      <c r="T169" s="36"/>
      <c r="U169" s="37"/>
      <c r="V169" s="36"/>
      <c r="W169" s="37"/>
      <c r="X169" s="36"/>
      <c r="Y169" s="37"/>
      <c r="Z169" s="36"/>
      <c r="AA169" s="37"/>
      <c r="AB169" s="36"/>
      <c r="AC169" s="37"/>
      <c r="AD169" s="36"/>
      <c r="AE169" s="37"/>
      <c r="AF169" s="36"/>
    </row>
    <row r="170" spans="1:32" x14ac:dyDescent="0.25">
      <c r="A170" s="37"/>
      <c r="B170" s="36"/>
      <c r="C170" s="37"/>
      <c r="D170" s="36"/>
      <c r="E170" s="37"/>
      <c r="F170" s="36"/>
      <c r="G170" s="37"/>
      <c r="H170" s="36"/>
      <c r="I170" s="37"/>
      <c r="J170" s="36"/>
      <c r="K170" s="37"/>
      <c r="L170" s="36"/>
      <c r="M170" s="37"/>
      <c r="N170" s="36"/>
      <c r="O170" s="37"/>
      <c r="P170" s="36"/>
      <c r="Q170" s="37"/>
      <c r="R170" s="36"/>
      <c r="S170" s="37"/>
      <c r="T170" s="36"/>
      <c r="U170" s="37"/>
      <c r="V170" s="36"/>
      <c r="W170" s="37"/>
      <c r="X170" s="36"/>
      <c r="Y170" s="37"/>
      <c r="Z170" s="36"/>
      <c r="AA170" s="37"/>
      <c r="AB170" s="36"/>
      <c r="AC170" s="37"/>
      <c r="AD170" s="36"/>
      <c r="AE170" s="37"/>
      <c r="AF170" s="36"/>
    </row>
    <row r="171" spans="1:32" x14ac:dyDescent="0.25">
      <c r="A171" s="37"/>
      <c r="B171" s="36"/>
      <c r="C171" s="37"/>
      <c r="D171" s="36"/>
      <c r="E171" s="37"/>
      <c r="F171" s="36"/>
      <c r="G171" s="37"/>
      <c r="H171" s="36"/>
      <c r="I171" s="37"/>
      <c r="J171" s="36"/>
      <c r="K171" s="37"/>
      <c r="L171" s="36"/>
      <c r="M171" s="37"/>
      <c r="N171" s="36"/>
      <c r="O171" s="37"/>
      <c r="P171" s="36"/>
      <c r="Q171" s="37"/>
      <c r="R171" s="36"/>
      <c r="S171" s="37"/>
      <c r="T171" s="36"/>
      <c r="U171" s="37"/>
      <c r="V171" s="36"/>
      <c r="W171" s="37"/>
      <c r="X171" s="36"/>
      <c r="Y171" s="37"/>
      <c r="Z171" s="36"/>
      <c r="AA171" s="37"/>
      <c r="AB171" s="36"/>
      <c r="AC171" s="37"/>
      <c r="AD171" s="36"/>
      <c r="AE171" s="37"/>
      <c r="AF171" s="36"/>
    </row>
    <row r="172" spans="1:32" x14ac:dyDescent="0.25">
      <c r="A172" s="37"/>
      <c r="B172" s="36"/>
      <c r="C172" s="37"/>
      <c r="D172" s="36"/>
      <c r="E172" s="37"/>
      <c r="F172" s="36"/>
      <c r="G172" s="37"/>
      <c r="H172" s="36"/>
      <c r="I172" s="37"/>
      <c r="J172" s="36"/>
      <c r="K172" s="37"/>
      <c r="L172" s="36"/>
      <c r="M172" s="37"/>
      <c r="N172" s="36"/>
      <c r="O172" s="37"/>
      <c r="P172" s="36"/>
      <c r="Q172" s="37"/>
      <c r="R172" s="36"/>
      <c r="S172" s="37"/>
      <c r="T172" s="36"/>
      <c r="U172" s="37"/>
      <c r="V172" s="36"/>
      <c r="W172" s="37"/>
      <c r="X172" s="36"/>
      <c r="Y172" s="37"/>
      <c r="Z172" s="36"/>
      <c r="AA172" s="37"/>
      <c r="AB172" s="36"/>
      <c r="AC172" s="37"/>
      <c r="AD172" s="36"/>
      <c r="AE172" s="37"/>
      <c r="AF172" s="36"/>
    </row>
    <row r="173" spans="1:32" x14ac:dyDescent="0.25">
      <c r="A173" s="37"/>
      <c r="B173" s="36"/>
      <c r="C173" s="37"/>
      <c r="D173" s="36"/>
      <c r="E173" s="37"/>
      <c r="F173" s="36"/>
      <c r="G173" s="37"/>
      <c r="H173" s="36"/>
      <c r="I173" s="37"/>
      <c r="J173" s="36"/>
      <c r="K173" s="37"/>
      <c r="L173" s="36"/>
      <c r="M173" s="37"/>
      <c r="N173" s="36"/>
      <c r="O173" s="37"/>
      <c r="P173" s="36"/>
      <c r="Q173" s="37"/>
      <c r="R173" s="36"/>
      <c r="S173" s="37"/>
      <c r="T173" s="36"/>
      <c r="U173" s="37"/>
      <c r="V173" s="36"/>
      <c r="W173" s="37"/>
      <c r="X173" s="36"/>
      <c r="Y173" s="37"/>
      <c r="Z173" s="36"/>
      <c r="AA173" s="37"/>
      <c r="AB173" s="36"/>
      <c r="AC173" s="37"/>
      <c r="AD173" s="36"/>
      <c r="AE173" s="37"/>
      <c r="AF173" s="36"/>
    </row>
    <row r="174" spans="1:32" x14ac:dyDescent="0.25">
      <c r="A174" s="37"/>
      <c r="B174" s="36"/>
      <c r="C174" s="37"/>
      <c r="D174" s="36"/>
      <c r="E174" s="37"/>
      <c r="F174" s="36"/>
      <c r="G174" s="37"/>
      <c r="H174" s="36"/>
      <c r="I174" s="37"/>
      <c r="J174" s="36"/>
      <c r="K174" s="37"/>
      <c r="L174" s="36"/>
      <c r="M174" s="37"/>
      <c r="N174" s="36"/>
      <c r="O174" s="37"/>
      <c r="P174" s="36"/>
      <c r="Q174" s="37"/>
      <c r="R174" s="36"/>
      <c r="S174" s="37"/>
      <c r="T174" s="36"/>
      <c r="U174" s="37"/>
      <c r="V174" s="36"/>
      <c r="W174" s="37"/>
      <c r="X174" s="36"/>
      <c r="Y174" s="37"/>
      <c r="Z174" s="36"/>
      <c r="AA174" s="37"/>
      <c r="AB174" s="36"/>
      <c r="AC174" s="37"/>
      <c r="AD174" s="36"/>
      <c r="AE174" s="37"/>
      <c r="AF174" s="36"/>
    </row>
    <row r="175" spans="1:32" x14ac:dyDescent="0.25">
      <c r="A175" s="37"/>
      <c r="B175" s="36"/>
      <c r="C175" s="37"/>
      <c r="D175" s="36"/>
      <c r="E175" s="37"/>
      <c r="F175" s="36"/>
      <c r="G175" s="37"/>
      <c r="H175" s="36"/>
      <c r="I175" s="37"/>
      <c r="J175" s="36"/>
      <c r="K175" s="37"/>
      <c r="L175" s="36"/>
      <c r="M175" s="37"/>
      <c r="N175" s="36"/>
      <c r="O175" s="37"/>
      <c r="P175" s="36"/>
      <c r="Q175" s="37"/>
      <c r="R175" s="36"/>
      <c r="S175" s="37"/>
      <c r="T175" s="36"/>
      <c r="U175" s="37"/>
      <c r="V175" s="36"/>
      <c r="W175" s="37"/>
      <c r="X175" s="36"/>
      <c r="Y175" s="37"/>
      <c r="Z175" s="36"/>
      <c r="AA175" s="37"/>
      <c r="AB175" s="36"/>
      <c r="AC175" s="37"/>
      <c r="AD175" s="36"/>
      <c r="AE175" s="37"/>
      <c r="AF175" s="36"/>
    </row>
    <row r="176" spans="1:32" x14ac:dyDescent="0.25">
      <c r="A176" s="37"/>
      <c r="B176" s="36"/>
      <c r="C176" s="37"/>
      <c r="D176" s="36"/>
      <c r="E176" s="37"/>
      <c r="F176" s="36"/>
      <c r="G176" s="37"/>
      <c r="H176" s="36"/>
      <c r="I176" s="37"/>
      <c r="J176" s="36"/>
      <c r="K176" s="37"/>
      <c r="L176" s="36"/>
      <c r="M176" s="37"/>
      <c r="N176" s="36"/>
      <c r="O176" s="37"/>
      <c r="P176" s="36"/>
      <c r="Q176" s="37"/>
      <c r="R176" s="36"/>
      <c r="S176" s="37"/>
      <c r="T176" s="36"/>
      <c r="U176" s="37"/>
      <c r="V176" s="36"/>
      <c r="W176" s="37"/>
      <c r="X176" s="36"/>
      <c r="Y176" s="37"/>
      <c r="Z176" s="36"/>
      <c r="AA176" s="37"/>
      <c r="AB176" s="36"/>
      <c r="AC176" s="37"/>
      <c r="AD176" s="36"/>
      <c r="AE176" s="37"/>
      <c r="AF176" s="36"/>
    </row>
    <row r="177" spans="1:32" x14ac:dyDescent="0.25">
      <c r="A177" s="37"/>
      <c r="B177" s="36"/>
      <c r="C177" s="37"/>
      <c r="D177" s="36"/>
      <c r="E177" s="37"/>
      <c r="F177" s="36"/>
      <c r="G177" s="37"/>
      <c r="H177" s="36"/>
      <c r="I177" s="37"/>
      <c r="J177" s="36"/>
      <c r="K177" s="37"/>
      <c r="L177" s="36"/>
      <c r="M177" s="37"/>
      <c r="N177" s="36"/>
      <c r="O177" s="37"/>
      <c r="P177" s="36"/>
      <c r="Q177" s="37"/>
      <c r="R177" s="36"/>
      <c r="S177" s="37"/>
      <c r="T177" s="36"/>
      <c r="U177" s="37"/>
      <c r="V177" s="36"/>
      <c r="W177" s="37"/>
      <c r="X177" s="36"/>
      <c r="Y177" s="37"/>
      <c r="Z177" s="36"/>
      <c r="AA177" s="37"/>
      <c r="AB177" s="36"/>
      <c r="AC177" s="37"/>
      <c r="AD177" s="36"/>
      <c r="AE177" s="37"/>
      <c r="AF177" s="36"/>
    </row>
    <row r="178" spans="1:32" x14ac:dyDescent="0.25">
      <c r="A178" s="37"/>
      <c r="B178" s="36"/>
      <c r="C178" s="37"/>
      <c r="D178" s="36"/>
      <c r="E178" s="37"/>
      <c r="F178" s="36"/>
      <c r="G178" s="37"/>
      <c r="H178" s="36"/>
      <c r="I178" s="37"/>
      <c r="J178" s="36"/>
      <c r="K178" s="37"/>
      <c r="L178" s="36"/>
      <c r="M178" s="37"/>
      <c r="N178" s="36"/>
      <c r="O178" s="37"/>
      <c r="P178" s="36"/>
      <c r="Q178" s="37"/>
      <c r="R178" s="36"/>
      <c r="S178" s="37"/>
      <c r="T178" s="36"/>
      <c r="U178" s="37"/>
      <c r="V178" s="36"/>
      <c r="W178" s="37"/>
      <c r="X178" s="36"/>
      <c r="Y178" s="37"/>
      <c r="Z178" s="36"/>
      <c r="AA178" s="37"/>
      <c r="AB178" s="36"/>
      <c r="AC178" s="37"/>
      <c r="AD178" s="36"/>
      <c r="AE178" s="37"/>
      <c r="AF178" s="36"/>
    </row>
    <row r="179" spans="1:32" x14ac:dyDescent="0.25">
      <c r="A179" s="37"/>
      <c r="B179" s="36"/>
      <c r="C179" s="37"/>
      <c r="D179" s="36"/>
      <c r="E179" s="37"/>
      <c r="F179" s="36"/>
      <c r="G179" s="37"/>
      <c r="H179" s="36"/>
      <c r="I179" s="37"/>
      <c r="J179" s="36"/>
      <c r="K179" s="37"/>
      <c r="L179" s="36"/>
      <c r="M179" s="37"/>
      <c r="N179" s="36"/>
      <c r="O179" s="37"/>
      <c r="P179" s="36"/>
      <c r="Q179" s="37"/>
      <c r="R179" s="36"/>
      <c r="S179" s="37"/>
      <c r="T179" s="36"/>
      <c r="U179" s="37"/>
      <c r="V179" s="36"/>
      <c r="W179" s="37"/>
      <c r="X179" s="36"/>
      <c r="Y179" s="37"/>
      <c r="Z179" s="36"/>
      <c r="AA179" s="37"/>
      <c r="AB179" s="36"/>
      <c r="AC179" s="37"/>
      <c r="AD179" s="36"/>
      <c r="AE179" s="37"/>
      <c r="AF179" s="36"/>
    </row>
    <row r="180" spans="1:32" x14ac:dyDescent="0.25">
      <c r="A180" s="37"/>
      <c r="B180" s="36"/>
      <c r="C180" s="37"/>
      <c r="D180" s="36"/>
      <c r="E180" s="37"/>
      <c r="F180" s="36"/>
      <c r="G180" s="37"/>
      <c r="H180" s="36"/>
      <c r="I180" s="37"/>
      <c r="J180" s="36"/>
      <c r="K180" s="37"/>
      <c r="L180" s="36"/>
      <c r="M180" s="37"/>
      <c r="N180" s="36"/>
      <c r="O180" s="37"/>
      <c r="P180" s="36"/>
      <c r="Q180" s="37"/>
      <c r="R180" s="36"/>
      <c r="S180" s="37"/>
      <c r="T180" s="36"/>
      <c r="U180" s="37"/>
      <c r="V180" s="36"/>
      <c r="W180" s="37"/>
      <c r="X180" s="36"/>
      <c r="Y180" s="37"/>
      <c r="Z180" s="36"/>
      <c r="AA180" s="37"/>
      <c r="AB180" s="36"/>
      <c r="AC180" s="37"/>
      <c r="AD180" s="36"/>
      <c r="AE180" s="37"/>
      <c r="AF180" s="36"/>
    </row>
    <row r="181" spans="1:32" x14ac:dyDescent="0.25">
      <c r="A181" s="37"/>
      <c r="B181" s="36"/>
      <c r="C181" s="37"/>
      <c r="D181" s="36"/>
      <c r="E181" s="37"/>
      <c r="F181" s="36"/>
      <c r="G181" s="37"/>
      <c r="H181" s="36"/>
      <c r="I181" s="37"/>
      <c r="J181" s="36"/>
      <c r="K181" s="37"/>
      <c r="L181" s="36"/>
      <c r="M181" s="37"/>
      <c r="N181" s="36"/>
      <c r="O181" s="37"/>
      <c r="P181" s="36"/>
      <c r="Q181" s="37"/>
      <c r="R181" s="36"/>
      <c r="S181" s="37"/>
      <c r="T181" s="36"/>
      <c r="U181" s="37"/>
      <c r="V181" s="36"/>
      <c r="W181" s="37"/>
      <c r="X181" s="36"/>
      <c r="Y181" s="37"/>
      <c r="Z181" s="36"/>
      <c r="AA181" s="37"/>
      <c r="AB181" s="36"/>
      <c r="AC181" s="37"/>
      <c r="AD181" s="36"/>
      <c r="AE181" s="37"/>
      <c r="AF181" s="36"/>
    </row>
    <row r="182" spans="1:32" x14ac:dyDescent="0.25">
      <c r="A182" s="37"/>
      <c r="B182" s="36"/>
      <c r="C182" s="37"/>
      <c r="D182" s="36"/>
      <c r="E182" s="37"/>
      <c r="F182" s="36"/>
      <c r="G182" s="37"/>
      <c r="H182" s="36"/>
      <c r="I182" s="37"/>
      <c r="J182" s="36"/>
      <c r="K182" s="37"/>
      <c r="L182" s="36"/>
      <c r="M182" s="37"/>
      <c r="N182" s="36"/>
      <c r="O182" s="37"/>
      <c r="P182" s="36"/>
      <c r="Q182" s="37"/>
      <c r="R182" s="36"/>
      <c r="S182" s="37"/>
      <c r="T182" s="36"/>
      <c r="U182" s="37"/>
      <c r="V182" s="36"/>
      <c r="W182" s="37"/>
      <c r="X182" s="36"/>
      <c r="Y182" s="37"/>
      <c r="Z182" s="36"/>
      <c r="AA182" s="37"/>
      <c r="AB182" s="36"/>
      <c r="AC182" s="37"/>
      <c r="AD182" s="36"/>
      <c r="AE182" s="37"/>
      <c r="AF182" s="36"/>
    </row>
    <row r="183" spans="1:32" x14ac:dyDescent="0.25">
      <c r="A183" s="37"/>
      <c r="B183" s="36"/>
      <c r="C183" s="37"/>
      <c r="D183" s="36"/>
      <c r="E183" s="37"/>
      <c r="F183" s="36"/>
      <c r="G183" s="37"/>
      <c r="H183" s="36"/>
      <c r="I183" s="37"/>
      <c r="J183" s="36"/>
      <c r="K183" s="37"/>
      <c r="L183" s="36"/>
      <c r="M183" s="37"/>
      <c r="N183" s="36"/>
      <c r="O183" s="37"/>
      <c r="P183" s="36"/>
      <c r="Q183" s="37"/>
      <c r="R183" s="36"/>
      <c r="S183" s="37"/>
      <c r="T183" s="36"/>
      <c r="U183" s="37"/>
      <c r="V183" s="36"/>
      <c r="W183" s="37"/>
      <c r="X183" s="36"/>
      <c r="Y183" s="37"/>
      <c r="Z183" s="36"/>
      <c r="AA183" s="37"/>
      <c r="AB183" s="36"/>
      <c r="AC183" s="37"/>
      <c r="AD183" s="36"/>
      <c r="AE183" s="37"/>
      <c r="AF183" s="36"/>
    </row>
    <row r="184" spans="1:32" x14ac:dyDescent="0.25">
      <c r="A184" s="37"/>
      <c r="B184" s="36"/>
      <c r="C184" s="37"/>
      <c r="D184" s="36"/>
      <c r="E184" s="37"/>
      <c r="F184" s="36"/>
      <c r="G184" s="37"/>
      <c r="H184" s="36"/>
      <c r="I184" s="37"/>
      <c r="J184" s="36"/>
      <c r="K184" s="37"/>
      <c r="L184" s="36"/>
      <c r="M184" s="37"/>
      <c r="N184" s="36"/>
      <c r="O184" s="37"/>
      <c r="P184" s="36"/>
      <c r="Q184" s="37"/>
      <c r="R184" s="36"/>
      <c r="S184" s="37"/>
      <c r="T184" s="36"/>
      <c r="U184" s="37"/>
      <c r="V184" s="36"/>
      <c r="W184" s="37"/>
      <c r="X184" s="36"/>
      <c r="Y184" s="37"/>
      <c r="Z184" s="36"/>
      <c r="AA184" s="37"/>
      <c r="AB184" s="36"/>
      <c r="AC184" s="37"/>
      <c r="AD184" s="36"/>
      <c r="AE184" s="37"/>
      <c r="AF184" s="36"/>
    </row>
    <row r="185" spans="1:32" x14ac:dyDescent="0.25">
      <c r="A185" s="37"/>
      <c r="B185" s="36"/>
      <c r="C185" s="37"/>
      <c r="D185" s="36"/>
      <c r="E185" s="37"/>
      <c r="F185" s="36"/>
      <c r="G185" s="37"/>
      <c r="H185" s="36"/>
      <c r="I185" s="37"/>
      <c r="J185" s="36"/>
      <c r="K185" s="37"/>
      <c r="L185" s="36"/>
      <c r="M185" s="37"/>
      <c r="N185" s="36"/>
      <c r="O185" s="37"/>
      <c r="P185" s="36"/>
      <c r="Q185" s="37"/>
      <c r="R185" s="36"/>
      <c r="S185" s="37"/>
      <c r="T185" s="36"/>
      <c r="U185" s="37"/>
      <c r="V185" s="36"/>
      <c r="W185" s="37"/>
      <c r="X185" s="36"/>
      <c r="Y185" s="37"/>
      <c r="Z185" s="36"/>
      <c r="AA185" s="37"/>
      <c r="AB185" s="36"/>
      <c r="AC185" s="37"/>
      <c r="AD185" s="36"/>
      <c r="AE185" s="37"/>
      <c r="AF185" s="36"/>
    </row>
    <row r="186" spans="1:32" x14ac:dyDescent="0.25">
      <c r="A186" s="37"/>
      <c r="B186" s="36"/>
      <c r="C186" s="37"/>
      <c r="D186" s="36"/>
      <c r="E186" s="37"/>
      <c r="F186" s="36"/>
      <c r="G186" s="37"/>
      <c r="H186" s="36"/>
      <c r="I186" s="37"/>
      <c r="J186" s="36"/>
      <c r="K186" s="37"/>
      <c r="L186" s="36"/>
      <c r="M186" s="37"/>
      <c r="N186" s="36"/>
      <c r="O186" s="37"/>
      <c r="P186" s="36"/>
      <c r="Q186" s="37"/>
      <c r="R186" s="36"/>
      <c r="S186" s="37"/>
      <c r="T186" s="36"/>
      <c r="U186" s="37"/>
      <c r="V186" s="36"/>
      <c r="W186" s="37"/>
      <c r="X186" s="36"/>
      <c r="Y186" s="37"/>
      <c r="Z186" s="36"/>
      <c r="AA186" s="37"/>
      <c r="AB186" s="36"/>
      <c r="AC186" s="37"/>
      <c r="AD186" s="36"/>
      <c r="AE186" s="37"/>
      <c r="AF186" s="36"/>
    </row>
    <row r="187" spans="1:32" x14ac:dyDescent="0.25">
      <c r="A187" s="37"/>
      <c r="B187" s="36"/>
      <c r="C187" s="37"/>
      <c r="D187" s="36"/>
      <c r="E187" s="37"/>
      <c r="F187" s="36"/>
      <c r="G187" s="37"/>
      <c r="H187" s="36"/>
      <c r="I187" s="37"/>
      <c r="J187" s="36"/>
      <c r="K187" s="37"/>
      <c r="L187" s="36"/>
      <c r="M187" s="37"/>
      <c r="N187" s="36"/>
      <c r="O187" s="37"/>
      <c r="P187" s="36"/>
      <c r="Q187" s="37"/>
      <c r="R187" s="36"/>
      <c r="S187" s="37"/>
      <c r="T187" s="36"/>
      <c r="U187" s="37"/>
      <c r="V187" s="36"/>
      <c r="W187" s="37"/>
      <c r="X187" s="36"/>
      <c r="Y187" s="37"/>
      <c r="Z187" s="36"/>
      <c r="AA187" s="37"/>
      <c r="AB187" s="36"/>
      <c r="AC187" s="37"/>
      <c r="AD187" s="36"/>
      <c r="AE187" s="37"/>
      <c r="AF187" s="36"/>
    </row>
    <row r="188" spans="1:32" x14ac:dyDescent="0.25">
      <c r="A188" s="37"/>
      <c r="B188" s="36"/>
      <c r="C188" s="37"/>
      <c r="D188" s="36"/>
      <c r="E188" s="37"/>
      <c r="F188" s="36"/>
      <c r="G188" s="37"/>
      <c r="H188" s="36"/>
      <c r="I188" s="37"/>
      <c r="J188" s="36"/>
      <c r="K188" s="37"/>
      <c r="L188" s="36"/>
      <c r="M188" s="37"/>
      <c r="N188" s="36"/>
      <c r="O188" s="37"/>
      <c r="P188" s="36"/>
      <c r="Q188" s="37"/>
      <c r="R188" s="36"/>
      <c r="S188" s="37"/>
      <c r="T188" s="36"/>
      <c r="U188" s="37"/>
      <c r="V188" s="36"/>
      <c r="W188" s="37"/>
      <c r="X188" s="36"/>
      <c r="Y188" s="37"/>
      <c r="Z188" s="36"/>
      <c r="AA188" s="37"/>
      <c r="AB188" s="36"/>
      <c r="AC188" s="37"/>
      <c r="AD188" s="36"/>
      <c r="AE188" s="37"/>
      <c r="AF188" s="36"/>
    </row>
    <row r="189" spans="1:32" x14ac:dyDescent="0.25">
      <c r="A189" s="37"/>
      <c r="B189" s="36"/>
      <c r="C189" s="37"/>
      <c r="D189" s="36"/>
      <c r="E189" s="37"/>
      <c r="F189" s="36"/>
      <c r="G189" s="37"/>
      <c r="H189" s="36"/>
      <c r="I189" s="37"/>
      <c r="J189" s="36"/>
      <c r="K189" s="37"/>
      <c r="L189" s="36"/>
      <c r="M189" s="37"/>
      <c r="N189" s="36"/>
      <c r="O189" s="37"/>
      <c r="P189" s="36"/>
      <c r="Q189" s="37"/>
      <c r="R189" s="36"/>
      <c r="S189" s="37"/>
      <c r="T189" s="36"/>
      <c r="U189" s="37"/>
      <c r="V189" s="36"/>
      <c r="W189" s="37"/>
      <c r="X189" s="36"/>
      <c r="Y189" s="37"/>
      <c r="Z189" s="36"/>
      <c r="AA189" s="37"/>
      <c r="AB189" s="36"/>
      <c r="AC189" s="37"/>
      <c r="AD189" s="36"/>
      <c r="AE189" s="37"/>
      <c r="AF189" s="36"/>
    </row>
    <row r="190" spans="1:32" x14ac:dyDescent="0.25">
      <c r="A190" s="37"/>
      <c r="B190" s="36"/>
      <c r="C190" s="37"/>
      <c r="D190" s="36"/>
      <c r="E190" s="37"/>
      <c r="F190" s="36"/>
      <c r="G190" s="37"/>
      <c r="H190" s="36"/>
      <c r="I190" s="37"/>
      <c r="J190" s="36"/>
      <c r="K190" s="37"/>
      <c r="L190" s="36"/>
      <c r="M190" s="37"/>
      <c r="N190" s="36"/>
      <c r="O190" s="37"/>
      <c r="P190" s="36"/>
      <c r="Q190" s="37"/>
      <c r="R190" s="36"/>
      <c r="S190" s="37"/>
      <c r="T190" s="36"/>
      <c r="U190" s="37"/>
      <c r="V190" s="36"/>
      <c r="W190" s="37"/>
      <c r="X190" s="36"/>
      <c r="Y190" s="37"/>
      <c r="Z190" s="36"/>
      <c r="AA190" s="37"/>
      <c r="AB190" s="36"/>
      <c r="AC190" s="37"/>
      <c r="AD190" s="36"/>
      <c r="AE190" s="37"/>
      <c r="AF190" s="36"/>
    </row>
    <row r="191" spans="1:32" x14ac:dyDescent="0.25">
      <c r="A191" s="37"/>
      <c r="B191" s="36"/>
      <c r="C191" s="37"/>
      <c r="D191" s="36"/>
      <c r="E191" s="37"/>
      <c r="F191" s="36"/>
      <c r="G191" s="37"/>
      <c r="H191" s="36"/>
      <c r="I191" s="37"/>
      <c r="J191" s="36"/>
      <c r="K191" s="37"/>
      <c r="L191" s="36"/>
      <c r="M191" s="37"/>
      <c r="N191" s="36"/>
      <c r="O191" s="37"/>
      <c r="P191" s="36"/>
      <c r="Q191" s="37"/>
      <c r="R191" s="36"/>
      <c r="S191" s="37"/>
      <c r="T191" s="36"/>
      <c r="U191" s="37"/>
      <c r="V191" s="36"/>
      <c r="W191" s="37"/>
      <c r="X191" s="36"/>
      <c r="Y191" s="37"/>
      <c r="Z191" s="36"/>
      <c r="AA191" s="37"/>
      <c r="AB191" s="36"/>
      <c r="AC191" s="37"/>
      <c r="AD191" s="36"/>
      <c r="AE191" s="37"/>
      <c r="AF191" s="36"/>
    </row>
    <row r="192" spans="1:32" x14ac:dyDescent="0.25">
      <c r="A192" s="37"/>
      <c r="B192" s="36"/>
      <c r="C192" s="37"/>
      <c r="D192" s="36"/>
      <c r="E192" s="37"/>
      <c r="F192" s="36"/>
      <c r="G192" s="37"/>
      <c r="H192" s="36"/>
      <c r="I192" s="37"/>
      <c r="J192" s="36"/>
      <c r="K192" s="37"/>
      <c r="L192" s="36"/>
      <c r="M192" s="37"/>
      <c r="N192" s="36"/>
      <c r="O192" s="37"/>
      <c r="P192" s="36"/>
      <c r="Q192" s="37"/>
      <c r="R192" s="36"/>
      <c r="S192" s="37"/>
      <c r="T192" s="36"/>
      <c r="U192" s="37"/>
      <c r="V192" s="36"/>
      <c r="W192" s="37"/>
      <c r="X192" s="36"/>
      <c r="Y192" s="37"/>
      <c r="Z192" s="36"/>
      <c r="AA192" s="37"/>
      <c r="AB192" s="36"/>
      <c r="AC192" s="37"/>
      <c r="AD192" s="36"/>
      <c r="AE192" s="37"/>
      <c r="AF192" s="36"/>
    </row>
    <row r="193" spans="1:32" x14ac:dyDescent="0.25">
      <c r="A193" s="37"/>
      <c r="B193" s="36"/>
      <c r="C193" s="37"/>
      <c r="D193" s="36"/>
      <c r="E193" s="37"/>
      <c r="F193" s="36"/>
      <c r="G193" s="37"/>
      <c r="H193" s="36"/>
      <c r="I193" s="37"/>
      <c r="J193" s="36"/>
      <c r="K193" s="37"/>
      <c r="L193" s="36"/>
      <c r="M193" s="37"/>
      <c r="N193" s="36"/>
      <c r="O193" s="37"/>
      <c r="P193" s="36"/>
      <c r="Q193" s="37"/>
      <c r="R193" s="36"/>
      <c r="S193" s="37"/>
      <c r="T193" s="36"/>
      <c r="U193" s="37"/>
      <c r="V193" s="36"/>
      <c r="W193" s="37"/>
      <c r="X193" s="36"/>
      <c r="Y193" s="37"/>
      <c r="Z193" s="36"/>
      <c r="AA193" s="37"/>
      <c r="AB193" s="36"/>
      <c r="AC193" s="37"/>
      <c r="AD193" s="36"/>
      <c r="AE193" s="37"/>
      <c r="AF193" s="36"/>
    </row>
    <row r="194" spans="1:32" x14ac:dyDescent="0.25">
      <c r="A194" s="37"/>
      <c r="B194" s="36"/>
      <c r="C194" s="37"/>
      <c r="D194" s="36"/>
      <c r="E194" s="37"/>
      <c r="F194" s="36"/>
      <c r="G194" s="37"/>
      <c r="H194" s="36"/>
      <c r="I194" s="37"/>
      <c r="J194" s="36"/>
      <c r="K194" s="37"/>
      <c r="L194" s="36"/>
      <c r="M194" s="37"/>
      <c r="N194" s="36"/>
      <c r="O194" s="37"/>
      <c r="P194" s="36"/>
      <c r="Q194" s="37"/>
      <c r="R194" s="36"/>
      <c r="S194" s="37"/>
      <c r="T194" s="36"/>
      <c r="U194" s="37"/>
      <c r="V194" s="36"/>
      <c r="W194" s="37"/>
      <c r="X194" s="36"/>
      <c r="Y194" s="37"/>
      <c r="Z194" s="36"/>
      <c r="AA194" s="37"/>
      <c r="AB194" s="36"/>
      <c r="AC194" s="37"/>
      <c r="AD194" s="36"/>
      <c r="AE194" s="37"/>
      <c r="AF194" s="36"/>
    </row>
    <row r="195" spans="1:32" x14ac:dyDescent="0.25">
      <c r="A195" s="37"/>
      <c r="B195" s="36"/>
      <c r="C195" s="37"/>
      <c r="D195" s="36"/>
      <c r="E195" s="37"/>
      <c r="F195" s="36"/>
      <c r="G195" s="37"/>
      <c r="H195" s="36"/>
      <c r="I195" s="37"/>
      <c r="J195" s="36"/>
      <c r="K195" s="37"/>
      <c r="L195" s="36"/>
      <c r="M195" s="37"/>
      <c r="N195" s="36"/>
      <c r="O195" s="37"/>
      <c r="P195" s="36"/>
      <c r="Q195" s="37"/>
      <c r="R195" s="36"/>
      <c r="S195" s="37"/>
      <c r="T195" s="36"/>
      <c r="U195" s="37"/>
      <c r="V195" s="36"/>
      <c r="W195" s="37"/>
      <c r="X195" s="36"/>
      <c r="Y195" s="37"/>
      <c r="Z195" s="36"/>
      <c r="AA195" s="37"/>
      <c r="AB195" s="36"/>
      <c r="AC195" s="37"/>
      <c r="AD195" s="36"/>
      <c r="AE195" s="37"/>
      <c r="AF195" s="36"/>
    </row>
    <row r="196" spans="1:32" x14ac:dyDescent="0.25">
      <c r="A196" s="37"/>
      <c r="B196" s="36"/>
      <c r="C196" s="37"/>
      <c r="D196" s="36"/>
      <c r="E196" s="37"/>
      <c r="F196" s="36"/>
      <c r="G196" s="37"/>
      <c r="H196" s="36"/>
      <c r="I196" s="37"/>
      <c r="J196" s="36"/>
      <c r="K196" s="37"/>
      <c r="L196" s="36"/>
      <c r="M196" s="37"/>
      <c r="N196" s="36"/>
      <c r="O196" s="37"/>
      <c r="P196" s="36"/>
      <c r="Q196" s="37"/>
      <c r="R196" s="36"/>
      <c r="S196" s="37"/>
      <c r="T196" s="36"/>
      <c r="U196" s="37"/>
      <c r="V196" s="36"/>
      <c r="W196" s="37"/>
      <c r="X196" s="36"/>
      <c r="Y196" s="37"/>
      <c r="Z196" s="36"/>
      <c r="AA196" s="37"/>
      <c r="AB196" s="36"/>
      <c r="AC196" s="37"/>
      <c r="AD196" s="36"/>
      <c r="AE196" s="37"/>
      <c r="AF196" s="36"/>
    </row>
    <row r="197" spans="1:32" x14ac:dyDescent="0.25">
      <c r="A197" s="37"/>
      <c r="B197" s="36"/>
      <c r="C197" s="37"/>
      <c r="D197" s="36"/>
      <c r="E197" s="37"/>
      <c r="F197" s="36"/>
      <c r="G197" s="37"/>
      <c r="H197" s="36"/>
      <c r="I197" s="37"/>
      <c r="J197" s="36"/>
      <c r="K197" s="37"/>
      <c r="L197" s="36"/>
      <c r="M197" s="37"/>
      <c r="N197" s="36"/>
      <c r="O197" s="37"/>
      <c r="P197" s="36"/>
      <c r="Q197" s="37"/>
      <c r="R197" s="36"/>
      <c r="S197" s="37"/>
      <c r="T197" s="36"/>
      <c r="U197" s="37"/>
      <c r="V197" s="36"/>
      <c r="W197" s="37"/>
      <c r="X197" s="36"/>
      <c r="Y197" s="37"/>
      <c r="Z197" s="36"/>
      <c r="AA197" s="37"/>
      <c r="AB197" s="36"/>
      <c r="AC197" s="37"/>
      <c r="AD197" s="36"/>
      <c r="AE197" s="37"/>
      <c r="AF197" s="36"/>
    </row>
    <row r="198" spans="1:32" x14ac:dyDescent="0.25">
      <c r="A198" s="37"/>
      <c r="B198" s="36"/>
      <c r="C198" s="37"/>
      <c r="D198" s="36"/>
      <c r="E198" s="37"/>
      <c r="F198" s="36"/>
      <c r="G198" s="37"/>
      <c r="H198" s="36"/>
      <c r="I198" s="37"/>
      <c r="J198" s="36"/>
      <c r="K198" s="37"/>
      <c r="L198" s="36"/>
      <c r="M198" s="37"/>
      <c r="N198" s="36"/>
      <c r="O198" s="37"/>
      <c r="P198" s="36"/>
      <c r="Q198" s="37"/>
      <c r="R198" s="36"/>
      <c r="S198" s="37"/>
      <c r="T198" s="36"/>
      <c r="U198" s="37"/>
      <c r="V198" s="36"/>
      <c r="W198" s="37"/>
      <c r="X198" s="36"/>
      <c r="Y198" s="37"/>
      <c r="Z198" s="36"/>
      <c r="AA198" s="37"/>
      <c r="AB198" s="36"/>
      <c r="AC198" s="37"/>
      <c r="AD198" s="36"/>
      <c r="AE198" s="37"/>
      <c r="AF198" s="36"/>
    </row>
    <row r="199" spans="1:32" x14ac:dyDescent="0.25">
      <c r="A199" s="37"/>
      <c r="B199" s="36"/>
      <c r="C199" s="37"/>
      <c r="D199" s="36"/>
      <c r="E199" s="37"/>
      <c r="F199" s="36"/>
      <c r="G199" s="37"/>
      <c r="H199" s="36"/>
      <c r="I199" s="37"/>
      <c r="J199" s="36"/>
      <c r="K199" s="37"/>
      <c r="L199" s="36"/>
      <c r="M199" s="37"/>
      <c r="N199" s="36"/>
      <c r="O199" s="37"/>
      <c r="P199" s="36"/>
      <c r="Q199" s="37"/>
      <c r="R199" s="36"/>
      <c r="S199" s="37"/>
      <c r="T199" s="36"/>
      <c r="U199" s="37"/>
      <c r="V199" s="36"/>
      <c r="W199" s="37"/>
      <c r="X199" s="36"/>
      <c r="Y199" s="37"/>
      <c r="Z199" s="36"/>
      <c r="AA199" s="37"/>
      <c r="AB199" s="36"/>
      <c r="AC199" s="37"/>
      <c r="AD199" s="36"/>
      <c r="AE199" s="37"/>
      <c r="AF199" s="36"/>
    </row>
    <row r="200" spans="1:32" x14ac:dyDescent="0.25">
      <c r="A200" s="37"/>
      <c r="B200" s="36"/>
      <c r="C200" s="37"/>
      <c r="D200" s="36"/>
      <c r="E200" s="37"/>
      <c r="F200" s="36"/>
      <c r="G200" s="37"/>
      <c r="H200" s="36"/>
      <c r="I200" s="37"/>
      <c r="J200" s="36"/>
      <c r="K200" s="37"/>
      <c r="L200" s="36"/>
      <c r="M200" s="37"/>
      <c r="N200" s="36"/>
      <c r="O200" s="37"/>
      <c r="P200" s="36"/>
      <c r="Q200" s="37"/>
      <c r="R200" s="36"/>
      <c r="S200" s="37"/>
      <c r="T200" s="36"/>
      <c r="U200" s="37"/>
      <c r="V200" s="36"/>
      <c r="W200" s="37"/>
      <c r="X200" s="36"/>
      <c r="Y200" s="37"/>
      <c r="Z200" s="36"/>
      <c r="AA200" s="37"/>
      <c r="AB200" s="36"/>
      <c r="AC200" s="37"/>
      <c r="AD200" s="36"/>
      <c r="AE200" s="37"/>
      <c r="AF200" s="36"/>
    </row>
    <row r="201" spans="1:32" x14ac:dyDescent="0.25">
      <c r="A201" s="37"/>
      <c r="B201" s="36"/>
      <c r="C201" s="37"/>
      <c r="D201" s="36"/>
      <c r="E201" s="37"/>
      <c r="F201" s="36"/>
      <c r="G201" s="37"/>
      <c r="H201" s="36"/>
      <c r="I201" s="37"/>
      <c r="J201" s="36"/>
      <c r="K201" s="37"/>
      <c r="L201" s="36"/>
      <c r="M201" s="37"/>
      <c r="N201" s="36"/>
      <c r="O201" s="37"/>
      <c r="P201" s="36"/>
      <c r="Q201" s="37"/>
      <c r="R201" s="36"/>
      <c r="S201" s="37"/>
      <c r="T201" s="36"/>
      <c r="U201" s="37"/>
      <c r="V201" s="36"/>
      <c r="W201" s="37"/>
      <c r="X201" s="36"/>
      <c r="Y201" s="37"/>
      <c r="Z201" s="36"/>
      <c r="AA201" s="37"/>
      <c r="AB201" s="36"/>
      <c r="AC201" s="37"/>
      <c r="AD201" s="36"/>
      <c r="AE201" s="37"/>
      <c r="AF201" s="36"/>
    </row>
    <row r="202" spans="1:32" x14ac:dyDescent="0.25">
      <c r="A202" s="37"/>
      <c r="B202" s="36"/>
      <c r="C202" s="37"/>
      <c r="D202" s="36"/>
      <c r="E202" s="37"/>
      <c r="F202" s="36"/>
      <c r="G202" s="37"/>
      <c r="H202" s="36"/>
      <c r="I202" s="37"/>
      <c r="J202" s="36"/>
      <c r="K202" s="37"/>
      <c r="L202" s="36"/>
      <c r="M202" s="37"/>
      <c r="N202" s="36"/>
      <c r="O202" s="37"/>
      <c r="P202" s="36"/>
      <c r="Q202" s="37"/>
      <c r="R202" s="36"/>
      <c r="S202" s="37"/>
      <c r="T202" s="36"/>
      <c r="U202" s="37"/>
      <c r="V202" s="36"/>
      <c r="W202" s="37"/>
      <c r="X202" s="36"/>
      <c r="Y202" s="37"/>
      <c r="Z202" s="36"/>
      <c r="AA202" s="37"/>
      <c r="AB202" s="36"/>
      <c r="AC202" s="37"/>
      <c r="AD202" s="36"/>
      <c r="AE202" s="37"/>
      <c r="AF202" s="36"/>
    </row>
    <row r="203" spans="1:32" x14ac:dyDescent="0.25">
      <c r="A203" s="37"/>
      <c r="B203" s="36"/>
      <c r="C203" s="37"/>
      <c r="D203" s="36"/>
      <c r="E203" s="37"/>
      <c r="F203" s="36"/>
      <c r="G203" s="37"/>
      <c r="H203" s="36"/>
      <c r="I203" s="37"/>
      <c r="J203" s="36"/>
      <c r="K203" s="37"/>
      <c r="L203" s="36"/>
      <c r="M203" s="37"/>
      <c r="N203" s="36"/>
      <c r="O203" s="37"/>
      <c r="P203" s="36"/>
      <c r="Q203" s="37"/>
      <c r="R203" s="36"/>
      <c r="S203" s="37"/>
      <c r="T203" s="36"/>
      <c r="U203" s="37"/>
      <c r="V203" s="36"/>
      <c r="W203" s="37"/>
      <c r="X203" s="36"/>
      <c r="Y203" s="37"/>
      <c r="Z203" s="36"/>
      <c r="AA203" s="37"/>
      <c r="AB203" s="36"/>
      <c r="AC203" s="37"/>
      <c r="AD203" s="36"/>
      <c r="AE203" s="37"/>
      <c r="AF203" s="36"/>
    </row>
    <row r="204" spans="1:32" x14ac:dyDescent="0.25">
      <c r="A204" s="37"/>
      <c r="B204" s="36"/>
      <c r="C204" s="37"/>
      <c r="D204" s="36"/>
      <c r="E204" s="37"/>
      <c r="F204" s="36"/>
      <c r="G204" s="37"/>
      <c r="H204" s="36"/>
      <c r="I204" s="37"/>
      <c r="J204" s="36"/>
      <c r="K204" s="37"/>
      <c r="L204" s="36"/>
      <c r="M204" s="37"/>
      <c r="N204" s="36"/>
      <c r="O204" s="37"/>
      <c r="P204" s="36"/>
      <c r="Q204" s="37"/>
      <c r="R204" s="36"/>
      <c r="S204" s="37"/>
      <c r="T204" s="36"/>
      <c r="U204" s="37"/>
      <c r="V204" s="36"/>
      <c r="W204" s="37"/>
      <c r="X204" s="36"/>
      <c r="Y204" s="37"/>
      <c r="Z204" s="36"/>
      <c r="AA204" s="37"/>
      <c r="AB204" s="36"/>
      <c r="AC204" s="37"/>
      <c r="AD204" s="36"/>
      <c r="AE204" s="37"/>
      <c r="AF204" s="36"/>
    </row>
    <row r="205" spans="1:32" x14ac:dyDescent="0.25">
      <c r="A205" s="37"/>
      <c r="B205" s="36"/>
      <c r="C205" s="37"/>
      <c r="D205" s="36"/>
      <c r="E205" s="37"/>
      <c r="F205" s="36"/>
      <c r="G205" s="37"/>
      <c r="H205" s="36"/>
      <c r="I205" s="37"/>
      <c r="J205" s="36"/>
      <c r="K205" s="37"/>
      <c r="L205" s="36"/>
      <c r="M205" s="37"/>
      <c r="N205" s="36"/>
      <c r="O205" s="37"/>
      <c r="P205" s="36"/>
      <c r="Q205" s="37"/>
      <c r="R205" s="36"/>
      <c r="S205" s="37"/>
      <c r="T205" s="36"/>
      <c r="U205" s="37"/>
      <c r="V205" s="36"/>
      <c r="W205" s="37"/>
      <c r="X205" s="36"/>
      <c r="Y205" s="37"/>
      <c r="Z205" s="36"/>
      <c r="AA205" s="37"/>
      <c r="AB205" s="36"/>
      <c r="AC205" s="37"/>
      <c r="AD205" s="36"/>
      <c r="AE205" s="37"/>
      <c r="AF205" s="36"/>
    </row>
    <row r="206" spans="1:32" x14ac:dyDescent="0.25">
      <c r="A206" s="37"/>
      <c r="B206" s="36"/>
      <c r="C206" s="37"/>
      <c r="D206" s="36"/>
      <c r="E206" s="37"/>
      <c r="F206" s="36"/>
      <c r="G206" s="37"/>
      <c r="H206" s="36"/>
      <c r="I206" s="37"/>
      <c r="J206" s="36"/>
      <c r="K206" s="37"/>
      <c r="L206" s="36"/>
      <c r="M206" s="37"/>
      <c r="N206" s="36"/>
      <c r="O206" s="37"/>
      <c r="P206" s="36"/>
      <c r="Q206" s="37"/>
      <c r="R206" s="36"/>
      <c r="S206" s="37"/>
      <c r="T206" s="36"/>
      <c r="U206" s="37"/>
      <c r="V206" s="36"/>
      <c r="W206" s="37"/>
      <c r="X206" s="36"/>
      <c r="Y206" s="37"/>
      <c r="Z206" s="36"/>
      <c r="AA206" s="37"/>
      <c r="AB206" s="36"/>
      <c r="AC206" s="37"/>
      <c r="AD206" s="36"/>
      <c r="AE206" s="37"/>
      <c r="AF206" s="36"/>
    </row>
    <row r="207" spans="1:32" x14ac:dyDescent="0.25">
      <c r="A207" s="37"/>
      <c r="B207" s="36"/>
      <c r="C207" s="37"/>
      <c r="D207" s="36"/>
      <c r="E207" s="37"/>
      <c r="F207" s="36"/>
      <c r="G207" s="37"/>
      <c r="H207" s="36"/>
      <c r="I207" s="37"/>
      <c r="J207" s="36"/>
      <c r="K207" s="37"/>
      <c r="L207" s="36"/>
      <c r="M207" s="37"/>
      <c r="N207" s="36"/>
      <c r="O207" s="37"/>
      <c r="P207" s="36"/>
      <c r="Q207" s="37"/>
      <c r="R207" s="36"/>
      <c r="S207" s="37"/>
      <c r="T207" s="36"/>
      <c r="U207" s="37"/>
      <c r="V207" s="36"/>
      <c r="W207" s="37"/>
      <c r="X207" s="36"/>
      <c r="Y207" s="37"/>
      <c r="Z207" s="36"/>
      <c r="AA207" s="37"/>
      <c r="AB207" s="36"/>
      <c r="AC207" s="37"/>
      <c r="AD207" s="36"/>
      <c r="AE207" s="37"/>
      <c r="AF207" s="36"/>
    </row>
    <row r="208" spans="1:32" x14ac:dyDescent="0.25">
      <c r="A208" s="37"/>
      <c r="B208" s="36"/>
      <c r="C208" s="37"/>
      <c r="D208" s="36"/>
      <c r="E208" s="37"/>
      <c r="F208" s="36"/>
      <c r="G208" s="37"/>
      <c r="H208" s="36"/>
      <c r="I208" s="37"/>
      <c r="J208" s="36"/>
      <c r="K208" s="37"/>
      <c r="L208" s="36"/>
      <c r="M208" s="37"/>
      <c r="N208" s="36"/>
      <c r="O208" s="37"/>
      <c r="P208" s="36"/>
      <c r="Q208" s="37"/>
      <c r="R208" s="36"/>
      <c r="S208" s="37"/>
      <c r="T208" s="36"/>
      <c r="U208" s="37"/>
      <c r="V208" s="36"/>
      <c r="W208" s="37"/>
      <c r="X208" s="36"/>
      <c r="Y208" s="37"/>
      <c r="Z208" s="36"/>
      <c r="AA208" s="37"/>
      <c r="AB208" s="36"/>
      <c r="AC208" s="37"/>
      <c r="AD208" s="36"/>
      <c r="AE208" s="37"/>
      <c r="AF208" s="36"/>
    </row>
    <row r="209" spans="1:32" x14ac:dyDescent="0.25">
      <c r="A209" s="37"/>
      <c r="B209" s="36"/>
      <c r="C209" s="37"/>
      <c r="D209" s="36"/>
      <c r="E209" s="37"/>
      <c r="F209" s="36"/>
      <c r="G209" s="37"/>
      <c r="H209" s="36"/>
      <c r="I209" s="37"/>
      <c r="J209" s="36"/>
      <c r="K209" s="37"/>
      <c r="L209" s="36"/>
      <c r="M209" s="37"/>
      <c r="N209" s="36"/>
      <c r="O209" s="37"/>
      <c r="P209" s="36"/>
      <c r="Q209" s="37"/>
      <c r="R209" s="36"/>
      <c r="S209" s="37"/>
      <c r="T209" s="36"/>
      <c r="U209" s="37"/>
      <c r="V209" s="36"/>
      <c r="W209" s="37"/>
      <c r="X209" s="36"/>
      <c r="Y209" s="37"/>
      <c r="Z209" s="36"/>
      <c r="AA209" s="37"/>
      <c r="AB209" s="36"/>
      <c r="AC209" s="37"/>
      <c r="AD209" s="36"/>
      <c r="AE209" s="37"/>
      <c r="AF209" s="36"/>
    </row>
    <row r="210" spans="1:32" x14ac:dyDescent="0.25">
      <c r="A210" s="37"/>
      <c r="B210" s="36"/>
      <c r="C210" s="37"/>
      <c r="D210" s="36"/>
      <c r="E210" s="37"/>
      <c r="F210" s="36"/>
      <c r="G210" s="37"/>
      <c r="H210" s="36"/>
      <c r="I210" s="37"/>
      <c r="J210" s="36"/>
      <c r="K210" s="37"/>
      <c r="L210" s="36"/>
      <c r="M210" s="37"/>
      <c r="N210" s="36"/>
      <c r="O210" s="37"/>
      <c r="P210" s="36"/>
      <c r="Q210" s="37"/>
      <c r="R210" s="36"/>
      <c r="S210" s="37"/>
      <c r="T210" s="36"/>
      <c r="U210" s="37"/>
      <c r="V210" s="36"/>
      <c r="W210" s="37"/>
      <c r="X210" s="36"/>
      <c r="Y210" s="37"/>
      <c r="Z210" s="36"/>
      <c r="AA210" s="37"/>
      <c r="AB210" s="36"/>
      <c r="AC210" s="37"/>
      <c r="AD210" s="36"/>
      <c r="AE210" s="37"/>
      <c r="AF210" s="36"/>
    </row>
    <row r="211" spans="1:32" x14ac:dyDescent="0.25">
      <c r="A211" s="37"/>
      <c r="B211" s="36"/>
      <c r="C211" s="37"/>
      <c r="D211" s="36"/>
      <c r="E211" s="37"/>
      <c r="F211" s="36"/>
      <c r="G211" s="37"/>
      <c r="H211" s="36"/>
      <c r="I211" s="37"/>
      <c r="J211" s="36"/>
      <c r="K211" s="37"/>
      <c r="L211" s="36"/>
      <c r="M211" s="37"/>
      <c r="N211" s="36"/>
      <c r="O211" s="37"/>
      <c r="P211" s="36"/>
      <c r="Q211" s="37"/>
      <c r="R211" s="36"/>
      <c r="S211" s="37"/>
      <c r="T211" s="36"/>
      <c r="U211" s="37"/>
      <c r="V211" s="36"/>
      <c r="W211" s="37"/>
      <c r="X211" s="36"/>
      <c r="Y211" s="37"/>
      <c r="Z211" s="36"/>
      <c r="AA211" s="37"/>
      <c r="AB211" s="36"/>
      <c r="AC211" s="37"/>
      <c r="AD211" s="36"/>
      <c r="AE211" s="37"/>
      <c r="AF211" s="36"/>
    </row>
    <row r="212" spans="1:32" x14ac:dyDescent="0.25">
      <c r="A212" s="37"/>
      <c r="B212" s="36"/>
      <c r="C212" s="37"/>
      <c r="D212" s="36"/>
      <c r="E212" s="37"/>
      <c r="F212" s="36"/>
      <c r="G212" s="37"/>
      <c r="H212" s="36"/>
      <c r="I212" s="37"/>
      <c r="J212" s="36"/>
      <c r="K212" s="37"/>
      <c r="L212" s="36"/>
      <c r="M212" s="37"/>
      <c r="N212" s="36"/>
      <c r="O212" s="37"/>
      <c r="P212" s="36"/>
      <c r="Q212" s="37"/>
      <c r="R212" s="36"/>
      <c r="S212" s="37"/>
      <c r="T212" s="36"/>
      <c r="U212" s="37"/>
      <c r="V212" s="36"/>
      <c r="W212" s="37"/>
      <c r="X212" s="36"/>
      <c r="Y212" s="37"/>
      <c r="Z212" s="36"/>
      <c r="AA212" s="37"/>
      <c r="AB212" s="36"/>
      <c r="AC212" s="37"/>
      <c r="AD212" s="36"/>
      <c r="AE212" s="37"/>
      <c r="AF212" s="36"/>
    </row>
    <row r="213" spans="1:32" x14ac:dyDescent="0.25">
      <c r="A213" s="37"/>
      <c r="B213" s="36"/>
      <c r="C213" s="37"/>
      <c r="D213" s="36"/>
      <c r="E213" s="37"/>
      <c r="F213" s="36"/>
      <c r="G213" s="37"/>
      <c r="H213" s="36"/>
      <c r="I213" s="37"/>
      <c r="J213" s="36"/>
      <c r="K213" s="37"/>
      <c r="L213" s="36"/>
      <c r="M213" s="37"/>
      <c r="N213" s="36"/>
      <c r="O213" s="37"/>
      <c r="P213" s="36"/>
      <c r="Q213" s="37"/>
      <c r="R213" s="36"/>
      <c r="S213" s="37"/>
      <c r="T213" s="36"/>
      <c r="U213" s="37"/>
      <c r="V213" s="36"/>
      <c r="W213" s="37"/>
      <c r="X213" s="36"/>
      <c r="Y213" s="37"/>
      <c r="Z213" s="36"/>
      <c r="AA213" s="37"/>
      <c r="AB213" s="36"/>
      <c r="AC213" s="37"/>
      <c r="AD213" s="36"/>
      <c r="AE213" s="37"/>
      <c r="AF213" s="36"/>
    </row>
    <row r="214" spans="1:32" x14ac:dyDescent="0.25">
      <c r="A214" s="37"/>
      <c r="B214" s="36"/>
      <c r="C214" s="37"/>
      <c r="D214" s="36"/>
      <c r="E214" s="37"/>
      <c r="F214" s="36"/>
      <c r="G214" s="37"/>
      <c r="H214" s="36"/>
      <c r="I214" s="37"/>
      <c r="J214" s="36"/>
      <c r="K214" s="37"/>
      <c r="L214" s="36"/>
      <c r="M214" s="37"/>
      <c r="N214" s="36"/>
      <c r="O214" s="37"/>
      <c r="P214" s="36"/>
      <c r="Q214" s="37"/>
      <c r="R214" s="36"/>
      <c r="S214" s="37"/>
      <c r="T214" s="36"/>
      <c r="U214" s="37"/>
      <c r="V214" s="36"/>
      <c r="W214" s="37"/>
      <c r="X214" s="36"/>
      <c r="Y214" s="37"/>
      <c r="Z214" s="36"/>
      <c r="AA214" s="37"/>
      <c r="AB214" s="36"/>
      <c r="AC214" s="37"/>
      <c r="AD214" s="36"/>
      <c r="AE214" s="37"/>
      <c r="AF214" s="36"/>
    </row>
    <row r="215" spans="1:32" x14ac:dyDescent="0.25">
      <c r="A215" s="37"/>
      <c r="B215" s="36"/>
      <c r="C215" s="37"/>
      <c r="D215" s="36"/>
      <c r="E215" s="37"/>
      <c r="F215" s="36"/>
      <c r="G215" s="37"/>
      <c r="H215" s="36"/>
      <c r="I215" s="37"/>
      <c r="J215" s="36"/>
      <c r="K215" s="37"/>
      <c r="L215" s="36"/>
      <c r="M215" s="37"/>
      <c r="N215" s="36"/>
      <c r="O215" s="37"/>
      <c r="P215" s="36"/>
      <c r="Q215" s="37"/>
      <c r="R215" s="36"/>
      <c r="S215" s="37"/>
      <c r="T215" s="36"/>
      <c r="U215" s="37"/>
      <c r="V215" s="36"/>
      <c r="W215" s="37"/>
      <c r="X215" s="36"/>
      <c r="Y215" s="37"/>
      <c r="Z215" s="36"/>
      <c r="AA215" s="37"/>
      <c r="AB215" s="36"/>
      <c r="AC215" s="37"/>
      <c r="AD215" s="36"/>
      <c r="AE215" s="37"/>
      <c r="AF215" s="36"/>
    </row>
    <row r="216" spans="1:32" x14ac:dyDescent="0.25">
      <c r="A216" s="37"/>
      <c r="B216" s="36"/>
      <c r="C216" s="37"/>
      <c r="D216" s="36"/>
      <c r="E216" s="37"/>
      <c r="F216" s="36"/>
      <c r="G216" s="37"/>
      <c r="H216" s="36"/>
      <c r="I216" s="37"/>
      <c r="J216" s="36"/>
      <c r="K216" s="37"/>
      <c r="L216" s="36"/>
      <c r="M216" s="37"/>
      <c r="N216" s="36"/>
      <c r="O216" s="37"/>
      <c r="P216" s="36"/>
      <c r="Q216" s="37"/>
      <c r="R216" s="36"/>
      <c r="S216" s="37"/>
      <c r="T216" s="36"/>
      <c r="U216" s="37"/>
      <c r="V216" s="36"/>
      <c r="W216" s="37"/>
      <c r="X216" s="36"/>
      <c r="Y216" s="37"/>
      <c r="Z216" s="36"/>
      <c r="AA216" s="37"/>
      <c r="AB216" s="36"/>
      <c r="AC216" s="37"/>
      <c r="AD216" s="36"/>
      <c r="AE216" s="37"/>
      <c r="AF216" s="36"/>
    </row>
    <row r="217" spans="1:32" x14ac:dyDescent="0.25">
      <c r="A217" s="37"/>
      <c r="B217" s="36"/>
      <c r="C217" s="37"/>
      <c r="D217" s="36"/>
      <c r="E217" s="37"/>
      <c r="F217" s="36"/>
      <c r="G217" s="37"/>
      <c r="H217" s="36"/>
      <c r="I217" s="37"/>
      <c r="J217" s="36"/>
      <c r="K217" s="37"/>
      <c r="L217" s="36"/>
      <c r="M217" s="37"/>
      <c r="N217" s="36"/>
      <c r="O217" s="37"/>
      <c r="P217" s="36"/>
      <c r="Q217" s="37"/>
      <c r="R217" s="36"/>
      <c r="S217" s="37"/>
      <c r="T217" s="36"/>
      <c r="U217" s="37"/>
      <c r="V217" s="36"/>
      <c r="W217" s="37"/>
      <c r="X217" s="36"/>
      <c r="Y217" s="37"/>
      <c r="Z217" s="36"/>
      <c r="AA217" s="37"/>
      <c r="AB217" s="36"/>
      <c r="AC217" s="37"/>
      <c r="AD217" s="36"/>
      <c r="AE217" s="37"/>
      <c r="AF217" s="36"/>
    </row>
    <row r="218" spans="1:32" x14ac:dyDescent="0.25">
      <c r="A218" s="37"/>
      <c r="B218" s="36"/>
      <c r="C218" s="37"/>
      <c r="D218" s="36"/>
      <c r="E218" s="37"/>
      <c r="F218" s="36"/>
      <c r="G218" s="37"/>
      <c r="H218" s="36"/>
      <c r="I218" s="37"/>
      <c r="J218" s="36"/>
      <c r="K218" s="37"/>
      <c r="L218" s="36"/>
      <c r="M218" s="37"/>
      <c r="N218" s="36"/>
      <c r="O218" s="37"/>
      <c r="P218" s="36"/>
      <c r="Q218" s="37"/>
      <c r="R218" s="36"/>
      <c r="S218" s="37"/>
      <c r="T218" s="36"/>
      <c r="U218" s="37"/>
      <c r="V218" s="36"/>
      <c r="W218" s="37"/>
      <c r="X218" s="36"/>
      <c r="Y218" s="37"/>
      <c r="Z218" s="36"/>
      <c r="AA218" s="37"/>
      <c r="AB218" s="36"/>
      <c r="AC218" s="37"/>
      <c r="AD218" s="36"/>
      <c r="AE218" s="37"/>
      <c r="AF218" s="36"/>
    </row>
    <row r="219" spans="1:32" x14ac:dyDescent="0.25">
      <c r="A219" s="37"/>
      <c r="B219" s="36"/>
      <c r="C219" s="37"/>
      <c r="D219" s="36"/>
      <c r="E219" s="37"/>
      <c r="F219" s="36"/>
      <c r="G219" s="37"/>
      <c r="H219" s="36"/>
      <c r="I219" s="37"/>
      <c r="J219" s="36"/>
      <c r="K219" s="37"/>
      <c r="L219" s="36"/>
      <c r="M219" s="37"/>
      <c r="N219" s="36"/>
      <c r="O219" s="37"/>
      <c r="P219" s="36"/>
      <c r="Q219" s="37"/>
      <c r="R219" s="36"/>
      <c r="S219" s="37"/>
      <c r="T219" s="36"/>
      <c r="U219" s="37"/>
      <c r="V219" s="36"/>
      <c r="W219" s="37"/>
      <c r="X219" s="36"/>
      <c r="Y219" s="37"/>
      <c r="Z219" s="36"/>
      <c r="AA219" s="37"/>
      <c r="AB219" s="36"/>
      <c r="AC219" s="37"/>
      <c r="AD219" s="36"/>
      <c r="AE219" s="37"/>
      <c r="AF219" s="36"/>
    </row>
    <row r="220" spans="1:32" x14ac:dyDescent="0.25">
      <c r="A220" s="37"/>
      <c r="B220" s="36"/>
      <c r="C220" s="37"/>
      <c r="D220" s="36"/>
      <c r="E220" s="37"/>
      <c r="F220" s="36"/>
      <c r="G220" s="37"/>
      <c r="H220" s="36"/>
      <c r="I220" s="37"/>
      <c r="J220" s="36"/>
      <c r="K220" s="37"/>
      <c r="L220" s="36"/>
      <c r="M220" s="37"/>
      <c r="N220" s="36"/>
      <c r="O220" s="37"/>
      <c r="P220" s="36"/>
      <c r="Q220" s="37"/>
      <c r="R220" s="36"/>
      <c r="S220" s="37"/>
      <c r="T220" s="36"/>
      <c r="U220" s="37"/>
      <c r="V220" s="36"/>
      <c r="W220" s="37"/>
      <c r="X220" s="36"/>
      <c r="Y220" s="37"/>
      <c r="Z220" s="36"/>
      <c r="AA220" s="37"/>
      <c r="AB220" s="36"/>
      <c r="AC220" s="37"/>
      <c r="AD220" s="36"/>
      <c r="AE220" s="37"/>
      <c r="AF220" s="36"/>
    </row>
    <row r="221" spans="1:32" x14ac:dyDescent="0.25">
      <c r="A221" s="37"/>
      <c r="B221" s="36"/>
      <c r="C221" s="37"/>
      <c r="D221" s="36"/>
      <c r="E221" s="37"/>
      <c r="F221" s="36"/>
      <c r="G221" s="37"/>
      <c r="H221" s="36"/>
      <c r="I221" s="37"/>
      <c r="J221" s="36"/>
      <c r="K221" s="37"/>
      <c r="L221" s="36"/>
      <c r="M221" s="37"/>
      <c r="N221" s="36"/>
      <c r="O221" s="37"/>
      <c r="P221" s="36"/>
      <c r="Q221" s="37"/>
      <c r="R221" s="36"/>
      <c r="S221" s="37"/>
      <c r="T221" s="36"/>
      <c r="U221" s="37"/>
      <c r="V221" s="36"/>
      <c r="W221" s="37"/>
      <c r="X221" s="36"/>
      <c r="Y221" s="37"/>
      <c r="Z221" s="36"/>
      <c r="AA221" s="37"/>
      <c r="AB221" s="36"/>
      <c r="AC221" s="37"/>
      <c r="AD221" s="36"/>
      <c r="AE221" s="37"/>
      <c r="AF221" s="36"/>
    </row>
    <row r="222" spans="1:32" x14ac:dyDescent="0.25">
      <c r="A222" s="37"/>
      <c r="B222" s="36"/>
      <c r="C222" s="37"/>
      <c r="D222" s="36"/>
      <c r="E222" s="37"/>
      <c r="F222" s="36"/>
      <c r="G222" s="37"/>
      <c r="H222" s="36"/>
      <c r="I222" s="37"/>
      <c r="J222" s="36"/>
      <c r="K222" s="37"/>
      <c r="L222" s="36"/>
      <c r="M222" s="37"/>
      <c r="N222" s="36"/>
      <c r="O222" s="37"/>
      <c r="P222" s="36"/>
      <c r="Q222" s="37"/>
      <c r="R222" s="36"/>
      <c r="S222" s="37"/>
      <c r="T222" s="36"/>
      <c r="U222" s="37"/>
      <c r="V222" s="36"/>
      <c r="W222" s="37"/>
      <c r="X222" s="36"/>
      <c r="Y222" s="37"/>
      <c r="Z222" s="36"/>
      <c r="AA222" s="37"/>
      <c r="AB222" s="36"/>
      <c r="AC222" s="37"/>
      <c r="AD222" s="36"/>
      <c r="AE222" s="37"/>
      <c r="AF222" s="36"/>
    </row>
    <row r="223" spans="1:32" x14ac:dyDescent="0.25">
      <c r="A223" s="37"/>
      <c r="B223" s="36"/>
      <c r="C223" s="37"/>
      <c r="D223" s="36"/>
      <c r="E223" s="37"/>
      <c r="F223" s="36"/>
      <c r="G223" s="37"/>
      <c r="H223" s="36"/>
      <c r="I223" s="37"/>
      <c r="J223" s="36"/>
      <c r="K223" s="37"/>
      <c r="L223" s="36"/>
      <c r="M223" s="37"/>
      <c r="N223" s="36"/>
      <c r="O223" s="37"/>
      <c r="P223" s="36"/>
      <c r="Q223" s="37"/>
      <c r="R223" s="36"/>
      <c r="S223" s="37"/>
      <c r="T223" s="36"/>
      <c r="U223" s="37"/>
      <c r="V223" s="36"/>
      <c r="W223" s="37"/>
      <c r="X223" s="36"/>
      <c r="Y223" s="37"/>
      <c r="Z223" s="36"/>
      <c r="AA223" s="37"/>
      <c r="AB223" s="36"/>
      <c r="AC223" s="37"/>
      <c r="AD223" s="36"/>
      <c r="AE223" s="37"/>
      <c r="AF223" s="36"/>
    </row>
    <row r="224" spans="1:32" x14ac:dyDescent="0.25">
      <c r="A224" s="37"/>
      <c r="B224" s="36"/>
      <c r="C224" s="37"/>
      <c r="D224" s="36"/>
      <c r="E224" s="37"/>
      <c r="F224" s="36"/>
      <c r="G224" s="37"/>
      <c r="H224" s="36"/>
      <c r="I224" s="37"/>
      <c r="J224" s="36"/>
      <c r="K224" s="37"/>
      <c r="L224" s="36"/>
      <c r="M224" s="37"/>
      <c r="N224" s="36"/>
      <c r="O224" s="37"/>
      <c r="P224" s="36"/>
      <c r="Q224" s="37"/>
      <c r="R224" s="36"/>
      <c r="S224" s="37"/>
      <c r="T224" s="36"/>
      <c r="U224" s="37"/>
      <c r="V224" s="36"/>
      <c r="W224" s="37"/>
      <c r="X224" s="36"/>
      <c r="Y224" s="37"/>
      <c r="Z224" s="36"/>
      <c r="AA224" s="37"/>
      <c r="AB224" s="36"/>
      <c r="AC224" s="37"/>
      <c r="AD224" s="36"/>
      <c r="AE224" s="37"/>
      <c r="AF224" s="36"/>
    </row>
    <row r="225" spans="1:32" x14ac:dyDescent="0.25">
      <c r="A225" s="37"/>
      <c r="B225" s="36"/>
      <c r="C225" s="37"/>
      <c r="D225" s="36"/>
      <c r="E225" s="37"/>
      <c r="F225" s="36"/>
      <c r="G225" s="37"/>
      <c r="H225" s="36"/>
      <c r="I225" s="37"/>
      <c r="J225" s="36"/>
      <c r="K225" s="37"/>
      <c r="L225" s="36"/>
      <c r="M225" s="37"/>
      <c r="N225" s="36"/>
      <c r="O225" s="37"/>
      <c r="P225" s="36"/>
      <c r="Q225" s="37"/>
      <c r="R225" s="36"/>
      <c r="S225" s="37"/>
      <c r="T225" s="36"/>
      <c r="U225" s="37"/>
      <c r="V225" s="36"/>
      <c r="W225" s="37"/>
      <c r="X225" s="36"/>
      <c r="Y225" s="37"/>
      <c r="Z225" s="36"/>
      <c r="AA225" s="37"/>
      <c r="AB225" s="36"/>
      <c r="AC225" s="37"/>
      <c r="AD225" s="36"/>
      <c r="AE225" s="37"/>
      <c r="AF225" s="36"/>
    </row>
    <row r="226" spans="1:32" x14ac:dyDescent="0.25">
      <c r="A226" s="37"/>
      <c r="B226" s="36"/>
      <c r="C226" s="37"/>
      <c r="D226" s="36"/>
      <c r="E226" s="37"/>
      <c r="F226" s="36"/>
      <c r="G226" s="37"/>
      <c r="H226" s="36"/>
      <c r="I226" s="37"/>
      <c r="J226" s="36"/>
      <c r="K226" s="37"/>
      <c r="L226" s="36"/>
      <c r="M226" s="37"/>
      <c r="N226" s="36"/>
      <c r="O226" s="37"/>
      <c r="P226" s="36"/>
      <c r="Q226" s="37"/>
      <c r="R226" s="36"/>
      <c r="S226" s="37"/>
      <c r="T226" s="36"/>
      <c r="U226" s="37"/>
      <c r="V226" s="36"/>
      <c r="W226" s="37"/>
      <c r="X226" s="36"/>
      <c r="Y226" s="37"/>
      <c r="Z226" s="36"/>
      <c r="AA226" s="37"/>
      <c r="AB226" s="36"/>
      <c r="AC226" s="37"/>
      <c r="AD226" s="36"/>
      <c r="AE226" s="37"/>
      <c r="AF226" s="36"/>
    </row>
    <row r="227" spans="1:32" x14ac:dyDescent="0.25">
      <c r="A227" s="37"/>
      <c r="B227" s="36"/>
      <c r="C227" s="37"/>
      <c r="D227" s="36"/>
      <c r="E227" s="37"/>
      <c r="F227" s="36"/>
      <c r="G227" s="37"/>
      <c r="H227" s="36"/>
      <c r="I227" s="37"/>
      <c r="J227" s="36"/>
      <c r="K227" s="37"/>
      <c r="L227" s="36"/>
      <c r="M227" s="37"/>
      <c r="N227" s="36"/>
      <c r="O227" s="37"/>
      <c r="P227" s="36"/>
      <c r="Q227" s="37"/>
      <c r="R227" s="36"/>
      <c r="S227" s="37"/>
      <c r="T227" s="36"/>
      <c r="U227" s="37"/>
      <c r="V227" s="36"/>
      <c r="W227" s="37"/>
      <c r="X227" s="36"/>
      <c r="Y227" s="37"/>
      <c r="Z227" s="36"/>
      <c r="AA227" s="37"/>
      <c r="AB227" s="36"/>
      <c r="AC227" s="37"/>
      <c r="AD227" s="36"/>
      <c r="AE227" s="37"/>
      <c r="AF227" s="36"/>
    </row>
    <row r="228" spans="1:32" x14ac:dyDescent="0.25">
      <c r="A228" s="37"/>
      <c r="B228" s="36"/>
      <c r="C228" s="37"/>
      <c r="D228" s="36"/>
      <c r="E228" s="37"/>
      <c r="F228" s="36"/>
      <c r="G228" s="37"/>
      <c r="H228" s="36"/>
      <c r="I228" s="37"/>
      <c r="J228" s="36"/>
      <c r="K228" s="37"/>
      <c r="L228" s="36"/>
      <c r="M228" s="37"/>
      <c r="N228" s="36"/>
      <c r="O228" s="37"/>
      <c r="P228" s="36"/>
      <c r="Q228" s="37"/>
      <c r="R228" s="36"/>
      <c r="S228" s="37"/>
      <c r="T228" s="36"/>
      <c r="U228" s="37"/>
      <c r="V228" s="36"/>
      <c r="W228" s="37"/>
      <c r="X228" s="36"/>
      <c r="Y228" s="37"/>
      <c r="Z228" s="36"/>
      <c r="AA228" s="37"/>
      <c r="AB228" s="36"/>
      <c r="AC228" s="37"/>
      <c r="AD228" s="36"/>
      <c r="AE228" s="37"/>
      <c r="AF228" s="36"/>
    </row>
    <row r="229" spans="1:32" x14ac:dyDescent="0.25">
      <c r="A229" s="37"/>
      <c r="B229" s="36"/>
      <c r="C229" s="37"/>
      <c r="D229" s="36"/>
      <c r="E229" s="37"/>
      <c r="F229" s="36"/>
      <c r="G229" s="37"/>
      <c r="H229" s="36"/>
      <c r="I229" s="37"/>
      <c r="J229" s="36"/>
      <c r="K229" s="37"/>
      <c r="L229" s="36"/>
      <c r="M229" s="37"/>
      <c r="N229" s="36"/>
      <c r="O229" s="37"/>
      <c r="P229" s="36"/>
      <c r="Q229" s="37"/>
      <c r="R229" s="36"/>
      <c r="S229" s="37"/>
      <c r="T229" s="36"/>
      <c r="U229" s="37"/>
      <c r="V229" s="36"/>
      <c r="W229" s="37"/>
      <c r="X229" s="36"/>
      <c r="Y229" s="37"/>
      <c r="Z229" s="36"/>
      <c r="AA229" s="37"/>
      <c r="AB229" s="36"/>
      <c r="AC229" s="37"/>
      <c r="AD229" s="36"/>
      <c r="AE229" s="37"/>
      <c r="AF229" s="36"/>
    </row>
    <row r="230" spans="1:32" x14ac:dyDescent="0.25">
      <c r="A230" s="37"/>
      <c r="B230" s="36"/>
      <c r="C230" s="37"/>
      <c r="D230" s="36"/>
      <c r="E230" s="37"/>
      <c r="F230" s="36"/>
      <c r="G230" s="37"/>
      <c r="H230" s="36"/>
      <c r="I230" s="37"/>
      <c r="J230" s="36"/>
      <c r="K230" s="37"/>
      <c r="L230" s="36"/>
      <c r="M230" s="37"/>
      <c r="N230" s="36"/>
      <c r="O230" s="37"/>
      <c r="P230" s="36"/>
      <c r="Q230" s="37"/>
      <c r="R230" s="36"/>
      <c r="S230" s="37"/>
      <c r="T230" s="36"/>
      <c r="U230" s="37"/>
      <c r="V230" s="36"/>
      <c r="W230" s="37"/>
      <c r="X230" s="36"/>
      <c r="Y230" s="37"/>
      <c r="Z230" s="36"/>
      <c r="AA230" s="37"/>
      <c r="AB230" s="36"/>
      <c r="AC230" s="37"/>
      <c r="AD230" s="36"/>
      <c r="AE230" s="37"/>
      <c r="AF230" s="36"/>
    </row>
    <row r="231" spans="1:32" x14ac:dyDescent="0.25">
      <c r="A231" s="37"/>
      <c r="B231" s="36"/>
      <c r="C231" s="37"/>
      <c r="D231" s="36"/>
      <c r="E231" s="37"/>
      <c r="F231" s="36"/>
      <c r="G231" s="37"/>
      <c r="H231" s="36"/>
      <c r="I231" s="37"/>
      <c r="J231" s="36"/>
      <c r="K231" s="37"/>
      <c r="L231" s="36"/>
      <c r="M231" s="37"/>
      <c r="N231" s="36"/>
      <c r="O231" s="37"/>
      <c r="P231" s="36"/>
      <c r="Q231" s="37"/>
      <c r="R231" s="36"/>
      <c r="S231" s="37"/>
      <c r="T231" s="36"/>
      <c r="U231" s="37"/>
      <c r="V231" s="36"/>
      <c r="W231" s="37"/>
      <c r="X231" s="36"/>
      <c r="Y231" s="37"/>
      <c r="Z231" s="36"/>
      <c r="AA231" s="37"/>
      <c r="AB231" s="36"/>
      <c r="AC231" s="37"/>
      <c r="AD231" s="36"/>
      <c r="AE231" s="37"/>
      <c r="AF231" s="36"/>
    </row>
    <row r="232" spans="1:32" x14ac:dyDescent="0.25">
      <c r="A232" s="37"/>
      <c r="B232" s="36"/>
      <c r="C232" s="37"/>
      <c r="D232" s="36"/>
      <c r="E232" s="37"/>
      <c r="F232" s="36"/>
      <c r="G232" s="37"/>
      <c r="H232" s="36"/>
      <c r="I232" s="37"/>
      <c r="J232" s="36"/>
      <c r="K232" s="37"/>
      <c r="L232" s="36"/>
      <c r="M232" s="37"/>
      <c r="N232" s="36"/>
      <c r="O232" s="37"/>
      <c r="P232" s="36"/>
      <c r="Q232" s="37"/>
      <c r="R232" s="36"/>
      <c r="S232" s="37"/>
      <c r="T232" s="36"/>
      <c r="U232" s="37"/>
      <c r="V232" s="36"/>
      <c r="W232" s="37"/>
      <c r="X232" s="36"/>
      <c r="Y232" s="37"/>
      <c r="Z232" s="36"/>
      <c r="AA232" s="37"/>
      <c r="AB232" s="36"/>
      <c r="AC232" s="37"/>
      <c r="AD232" s="36"/>
      <c r="AE232" s="37"/>
      <c r="AF232" s="36"/>
    </row>
    <row r="233" spans="1:32" x14ac:dyDescent="0.25">
      <c r="A233" s="37"/>
      <c r="B233" s="36"/>
      <c r="C233" s="37"/>
      <c r="D233" s="36"/>
      <c r="E233" s="37"/>
      <c r="F233" s="36"/>
      <c r="G233" s="37"/>
      <c r="H233" s="36"/>
      <c r="I233" s="37"/>
      <c r="J233" s="36"/>
      <c r="K233" s="37"/>
      <c r="L233" s="36"/>
      <c r="M233" s="37"/>
      <c r="N233" s="36"/>
      <c r="O233" s="37"/>
      <c r="P233" s="36"/>
      <c r="Q233" s="37"/>
      <c r="R233" s="36"/>
      <c r="S233" s="37"/>
      <c r="T233" s="36"/>
      <c r="U233" s="37"/>
      <c r="V233" s="36"/>
      <c r="W233" s="37"/>
      <c r="X233" s="36"/>
      <c r="Y233" s="37"/>
      <c r="Z233" s="36"/>
      <c r="AA233" s="37"/>
      <c r="AB233" s="36"/>
      <c r="AC233" s="37"/>
      <c r="AD233" s="36"/>
      <c r="AE233" s="37"/>
      <c r="AF233" s="36"/>
    </row>
    <row r="234" spans="1:32" x14ac:dyDescent="0.25">
      <c r="A234" s="37"/>
      <c r="B234" s="36"/>
      <c r="C234" s="37"/>
      <c r="D234" s="36"/>
      <c r="E234" s="37"/>
      <c r="F234" s="36"/>
      <c r="G234" s="37"/>
      <c r="H234" s="36"/>
      <c r="I234" s="37"/>
      <c r="J234" s="36"/>
      <c r="K234" s="37"/>
      <c r="L234" s="36"/>
      <c r="M234" s="37"/>
      <c r="N234" s="36"/>
      <c r="O234" s="37"/>
      <c r="P234" s="36"/>
      <c r="Q234" s="37"/>
      <c r="R234" s="36"/>
      <c r="S234" s="37"/>
      <c r="T234" s="36"/>
      <c r="U234" s="37"/>
      <c r="V234" s="36"/>
      <c r="W234" s="37"/>
      <c r="X234" s="36"/>
      <c r="Y234" s="37"/>
      <c r="Z234" s="36"/>
      <c r="AA234" s="37"/>
      <c r="AB234" s="36"/>
      <c r="AC234" s="37"/>
      <c r="AD234" s="36"/>
      <c r="AE234" s="37"/>
      <c r="AF234" s="36"/>
    </row>
    <row r="235" spans="1:32" x14ac:dyDescent="0.25">
      <c r="A235" s="37"/>
      <c r="B235" s="36"/>
      <c r="C235" s="37"/>
      <c r="D235" s="36"/>
      <c r="E235" s="37"/>
      <c r="F235" s="36"/>
      <c r="G235" s="37"/>
      <c r="H235" s="36"/>
      <c r="I235" s="37"/>
      <c r="J235" s="36"/>
      <c r="K235" s="37"/>
      <c r="L235" s="36"/>
      <c r="M235" s="37"/>
      <c r="N235" s="36"/>
      <c r="O235" s="37"/>
      <c r="P235" s="36"/>
      <c r="Q235" s="37"/>
      <c r="R235" s="36"/>
      <c r="S235" s="37"/>
      <c r="T235" s="36"/>
      <c r="U235" s="37"/>
      <c r="V235" s="36"/>
      <c r="W235" s="37"/>
      <c r="X235" s="36"/>
      <c r="Y235" s="37"/>
      <c r="Z235" s="36"/>
      <c r="AA235" s="37"/>
      <c r="AB235" s="36"/>
      <c r="AC235" s="37"/>
      <c r="AD235" s="36"/>
      <c r="AE235" s="37"/>
      <c r="AF235" s="36"/>
    </row>
    <row r="236" spans="1:32" x14ac:dyDescent="0.25">
      <c r="A236" s="37"/>
      <c r="B236" s="36"/>
      <c r="C236" s="37"/>
      <c r="D236" s="36"/>
      <c r="E236" s="37"/>
      <c r="F236" s="36"/>
      <c r="G236" s="37"/>
      <c r="H236" s="36"/>
      <c r="I236" s="37"/>
      <c r="J236" s="36"/>
      <c r="K236" s="37"/>
      <c r="L236" s="36"/>
      <c r="M236" s="37"/>
      <c r="N236" s="36"/>
      <c r="O236" s="37"/>
      <c r="P236" s="36"/>
      <c r="Q236" s="37"/>
      <c r="R236" s="36"/>
      <c r="S236" s="37"/>
      <c r="T236" s="36"/>
      <c r="U236" s="37"/>
      <c r="V236" s="36"/>
      <c r="W236" s="37"/>
      <c r="X236" s="36"/>
      <c r="Y236" s="37"/>
      <c r="Z236" s="36"/>
      <c r="AA236" s="37"/>
      <c r="AB236" s="36"/>
      <c r="AC236" s="37"/>
      <c r="AD236" s="36"/>
      <c r="AE236" s="37"/>
      <c r="AF236" s="36"/>
    </row>
    <row r="237" spans="1:32" x14ac:dyDescent="0.25">
      <c r="A237" s="37"/>
      <c r="B237" s="36"/>
      <c r="C237" s="37"/>
      <c r="D237" s="36"/>
      <c r="E237" s="37"/>
      <c r="F237" s="36"/>
      <c r="G237" s="37"/>
      <c r="H237" s="36"/>
      <c r="I237" s="37"/>
      <c r="J237" s="36"/>
      <c r="K237" s="37"/>
      <c r="L237" s="36"/>
      <c r="M237" s="37"/>
      <c r="N237" s="36"/>
      <c r="O237" s="37"/>
      <c r="P237" s="36"/>
      <c r="Q237" s="37"/>
      <c r="R237" s="36"/>
      <c r="S237" s="37"/>
      <c r="T237" s="36"/>
      <c r="U237" s="37"/>
      <c r="V237" s="36"/>
      <c r="W237" s="37"/>
      <c r="X237" s="36"/>
      <c r="Y237" s="37"/>
      <c r="Z237" s="36"/>
      <c r="AA237" s="37"/>
      <c r="AB237" s="36"/>
      <c r="AC237" s="37"/>
      <c r="AD237" s="36"/>
      <c r="AE237" s="37"/>
      <c r="AF237" s="36"/>
    </row>
    <row r="238" spans="1:32" x14ac:dyDescent="0.25">
      <c r="A238" s="37"/>
      <c r="B238" s="36"/>
      <c r="C238" s="37"/>
      <c r="D238" s="36"/>
      <c r="E238" s="37"/>
      <c r="F238" s="36"/>
      <c r="G238" s="37"/>
      <c r="H238" s="36"/>
      <c r="I238" s="37"/>
      <c r="J238" s="36"/>
      <c r="K238" s="37"/>
      <c r="L238" s="36"/>
      <c r="M238" s="37"/>
      <c r="N238" s="36"/>
      <c r="O238" s="37"/>
      <c r="P238" s="36"/>
      <c r="Q238" s="37"/>
      <c r="R238" s="36"/>
      <c r="S238" s="37"/>
      <c r="T238" s="36"/>
      <c r="U238" s="37"/>
      <c r="V238" s="36"/>
      <c r="W238" s="37"/>
      <c r="X238" s="36"/>
      <c r="Y238" s="37"/>
      <c r="Z238" s="36"/>
      <c r="AA238" s="37"/>
      <c r="AB238" s="36"/>
      <c r="AC238" s="37"/>
      <c r="AD238" s="36"/>
      <c r="AE238" s="37"/>
      <c r="AF238" s="36"/>
    </row>
    <row r="239" spans="1:32" x14ac:dyDescent="0.25">
      <c r="A239" s="37"/>
      <c r="B239" s="36"/>
      <c r="C239" s="37"/>
      <c r="D239" s="36"/>
      <c r="E239" s="37"/>
      <c r="F239" s="36"/>
      <c r="G239" s="37"/>
      <c r="H239" s="36"/>
      <c r="I239" s="37"/>
      <c r="J239" s="36"/>
      <c r="K239" s="37"/>
      <c r="L239" s="36"/>
      <c r="M239" s="37"/>
      <c r="N239" s="36"/>
      <c r="O239" s="37"/>
      <c r="P239" s="36"/>
      <c r="Q239" s="37"/>
      <c r="R239" s="36"/>
      <c r="S239" s="37"/>
      <c r="T239" s="36"/>
      <c r="U239" s="37"/>
      <c r="V239" s="36"/>
      <c r="W239" s="37"/>
      <c r="X239" s="36"/>
      <c r="Y239" s="37"/>
      <c r="Z239" s="36"/>
      <c r="AA239" s="37"/>
      <c r="AB239" s="36"/>
      <c r="AC239" s="37"/>
      <c r="AD239" s="36"/>
      <c r="AE239" s="37"/>
      <c r="AF239" s="36"/>
    </row>
    <row r="240" spans="1:32" x14ac:dyDescent="0.25">
      <c r="A240" s="37"/>
      <c r="B240" s="36"/>
      <c r="C240" s="37"/>
      <c r="D240" s="36"/>
      <c r="E240" s="37"/>
      <c r="F240" s="36"/>
      <c r="G240" s="37"/>
      <c r="H240" s="36"/>
      <c r="I240" s="37"/>
      <c r="J240" s="36"/>
      <c r="K240" s="37"/>
      <c r="L240" s="36"/>
      <c r="M240" s="37"/>
      <c r="N240" s="36"/>
      <c r="O240" s="37"/>
      <c r="P240" s="36"/>
      <c r="Q240" s="37"/>
      <c r="R240" s="36"/>
      <c r="S240" s="37"/>
      <c r="T240" s="36"/>
      <c r="U240" s="37"/>
      <c r="V240" s="36"/>
      <c r="W240" s="37"/>
      <c r="X240" s="36"/>
      <c r="Y240" s="37"/>
      <c r="Z240" s="36"/>
      <c r="AA240" s="37"/>
      <c r="AB240" s="36"/>
      <c r="AC240" s="37"/>
      <c r="AD240" s="36"/>
      <c r="AE240" s="37"/>
      <c r="AF240" s="36"/>
    </row>
    <row r="241" spans="1:32" x14ac:dyDescent="0.25">
      <c r="A241" s="37"/>
      <c r="B241" s="36"/>
      <c r="C241" s="37"/>
      <c r="D241" s="36"/>
      <c r="E241" s="37"/>
      <c r="F241" s="36"/>
      <c r="G241" s="37"/>
      <c r="H241" s="36"/>
      <c r="I241" s="37"/>
      <c r="J241" s="36"/>
      <c r="K241" s="37"/>
      <c r="L241" s="36"/>
      <c r="M241" s="37"/>
      <c r="N241" s="36"/>
      <c r="O241" s="37"/>
      <c r="P241" s="36"/>
      <c r="Q241" s="37"/>
      <c r="R241" s="36"/>
      <c r="S241" s="37"/>
      <c r="T241" s="36"/>
      <c r="U241" s="37"/>
      <c r="V241" s="36"/>
      <c r="W241" s="37"/>
      <c r="X241" s="36"/>
      <c r="Y241" s="37"/>
      <c r="Z241" s="36"/>
      <c r="AA241" s="37"/>
      <c r="AB241" s="36"/>
      <c r="AC241" s="37"/>
      <c r="AD241" s="36"/>
      <c r="AE241" s="37"/>
      <c r="AF241" s="36"/>
    </row>
    <row r="242" spans="1:32" x14ac:dyDescent="0.25">
      <c r="A242" s="37"/>
      <c r="B242" s="36"/>
      <c r="C242" s="37"/>
      <c r="D242" s="36"/>
      <c r="E242" s="37"/>
      <c r="F242" s="36"/>
      <c r="G242" s="37"/>
      <c r="H242" s="36"/>
      <c r="I242" s="37"/>
      <c r="J242" s="36"/>
      <c r="K242" s="37"/>
      <c r="L242" s="36"/>
      <c r="M242" s="37"/>
      <c r="N242" s="36"/>
      <c r="O242" s="37"/>
      <c r="P242" s="36"/>
      <c r="Q242" s="37"/>
      <c r="R242" s="36"/>
      <c r="S242" s="37"/>
      <c r="T242" s="36"/>
      <c r="U242" s="37"/>
      <c r="V242" s="36"/>
      <c r="W242" s="37"/>
      <c r="X242" s="36"/>
      <c r="Y242" s="37"/>
      <c r="Z242" s="36"/>
      <c r="AA242" s="37"/>
      <c r="AB242" s="36"/>
      <c r="AC242" s="37"/>
      <c r="AD242" s="36"/>
      <c r="AE242" s="37"/>
      <c r="AF242" s="36"/>
    </row>
    <row r="243" spans="1:32" x14ac:dyDescent="0.25">
      <c r="A243" s="37"/>
      <c r="B243" s="36"/>
      <c r="C243" s="37"/>
      <c r="D243" s="36"/>
      <c r="E243" s="37"/>
      <c r="F243" s="36"/>
      <c r="G243" s="37"/>
      <c r="H243" s="36"/>
      <c r="I243" s="37"/>
      <c r="J243" s="36"/>
      <c r="K243" s="37"/>
      <c r="L243" s="36"/>
      <c r="M243" s="37"/>
      <c r="N243" s="36"/>
      <c r="O243" s="37"/>
      <c r="P243" s="36"/>
      <c r="Q243" s="37"/>
      <c r="R243" s="36"/>
      <c r="S243" s="37"/>
      <c r="T243" s="36"/>
      <c r="U243" s="37"/>
      <c r="V243" s="36"/>
      <c r="W243" s="37"/>
      <c r="X243" s="36"/>
      <c r="Y243" s="37"/>
      <c r="Z243" s="36"/>
      <c r="AA243" s="37"/>
      <c r="AB243" s="36"/>
      <c r="AC243" s="37"/>
      <c r="AD243" s="36"/>
      <c r="AE243" s="37"/>
      <c r="AF243" s="36"/>
    </row>
    <row r="244" spans="1:32" x14ac:dyDescent="0.25">
      <c r="A244" s="37"/>
      <c r="B244" s="36"/>
      <c r="C244" s="37"/>
      <c r="D244" s="36"/>
      <c r="E244" s="37"/>
      <c r="F244" s="36"/>
      <c r="G244" s="37"/>
      <c r="H244" s="36"/>
      <c r="I244" s="37"/>
      <c r="J244" s="36"/>
      <c r="K244" s="37"/>
      <c r="L244" s="36"/>
      <c r="M244" s="37"/>
      <c r="N244" s="36"/>
      <c r="O244" s="37"/>
      <c r="P244" s="36"/>
      <c r="Q244" s="37"/>
      <c r="R244" s="36"/>
      <c r="S244" s="37"/>
      <c r="T244" s="36"/>
      <c r="U244" s="37"/>
      <c r="V244" s="36"/>
      <c r="W244" s="37"/>
      <c r="X244" s="36"/>
      <c r="Y244" s="37"/>
      <c r="Z244" s="36"/>
      <c r="AA244" s="37"/>
      <c r="AB244" s="36"/>
      <c r="AC244" s="37"/>
      <c r="AD244" s="36"/>
      <c r="AE244" s="37"/>
      <c r="AF244" s="36"/>
    </row>
    <row r="245" spans="1:32" x14ac:dyDescent="0.25">
      <c r="A245" s="37"/>
      <c r="B245" s="36"/>
      <c r="C245" s="37"/>
      <c r="D245" s="36"/>
      <c r="E245" s="37"/>
      <c r="F245" s="36"/>
      <c r="G245" s="37"/>
      <c r="H245" s="36"/>
      <c r="I245" s="37"/>
      <c r="J245" s="36"/>
      <c r="K245" s="37"/>
      <c r="L245" s="36"/>
      <c r="M245" s="37"/>
      <c r="N245" s="36"/>
      <c r="O245" s="37"/>
      <c r="P245" s="36"/>
      <c r="Q245" s="37"/>
      <c r="R245" s="36"/>
      <c r="S245" s="37"/>
      <c r="T245" s="36"/>
      <c r="U245" s="37"/>
      <c r="V245" s="36"/>
      <c r="W245" s="37"/>
      <c r="X245" s="36"/>
      <c r="Y245" s="37"/>
      <c r="Z245" s="36"/>
      <c r="AA245" s="37"/>
      <c r="AB245" s="36"/>
      <c r="AC245" s="37"/>
      <c r="AD245" s="36"/>
      <c r="AE245" s="37"/>
      <c r="AF245" s="36"/>
    </row>
    <row r="246" spans="1:32" x14ac:dyDescent="0.25">
      <c r="A246" s="37"/>
      <c r="B246" s="36"/>
      <c r="C246" s="37"/>
      <c r="D246" s="36"/>
      <c r="E246" s="37"/>
      <c r="F246" s="36"/>
      <c r="G246" s="37"/>
      <c r="H246" s="36"/>
      <c r="I246" s="37"/>
      <c r="J246" s="36"/>
      <c r="K246" s="37"/>
      <c r="L246" s="36"/>
      <c r="M246" s="37"/>
      <c r="N246" s="36"/>
      <c r="O246" s="37"/>
      <c r="P246" s="36"/>
      <c r="Q246" s="37"/>
      <c r="R246" s="36"/>
      <c r="S246" s="37"/>
      <c r="T246" s="36"/>
      <c r="U246" s="37"/>
      <c r="V246" s="36"/>
      <c r="W246" s="37"/>
      <c r="X246" s="36"/>
      <c r="Y246" s="37"/>
      <c r="Z246" s="36"/>
      <c r="AA246" s="37"/>
      <c r="AB246" s="36"/>
      <c r="AC246" s="37"/>
      <c r="AD246" s="36"/>
      <c r="AE246" s="37"/>
      <c r="AF246" s="36"/>
    </row>
    <row r="247" spans="1:32" x14ac:dyDescent="0.25">
      <c r="A247" s="37"/>
      <c r="B247" s="36"/>
      <c r="C247" s="37"/>
      <c r="D247" s="36"/>
      <c r="E247" s="37"/>
      <c r="F247" s="36"/>
      <c r="G247" s="37"/>
      <c r="H247" s="36"/>
      <c r="I247" s="37"/>
      <c r="J247" s="36"/>
      <c r="K247" s="37"/>
      <c r="L247" s="36"/>
      <c r="M247" s="37"/>
      <c r="N247" s="36"/>
      <c r="O247" s="37"/>
      <c r="P247" s="36"/>
      <c r="Q247" s="37"/>
      <c r="R247" s="36"/>
      <c r="S247" s="37"/>
      <c r="T247" s="36"/>
      <c r="U247" s="37"/>
      <c r="V247" s="36"/>
      <c r="W247" s="37"/>
      <c r="X247" s="36"/>
      <c r="Y247" s="37"/>
      <c r="Z247" s="36"/>
      <c r="AA247" s="37"/>
      <c r="AB247" s="36"/>
      <c r="AC247" s="37"/>
      <c r="AD247" s="36"/>
      <c r="AE247" s="37"/>
      <c r="AF247" s="36"/>
    </row>
    <row r="248" spans="1:32" x14ac:dyDescent="0.25">
      <c r="A248" s="37"/>
      <c r="B248" s="36"/>
      <c r="C248" s="37"/>
      <c r="D248" s="36"/>
      <c r="E248" s="37"/>
      <c r="F248" s="36"/>
      <c r="G248" s="37"/>
      <c r="H248" s="36"/>
      <c r="I248" s="37"/>
      <c r="J248" s="36"/>
      <c r="K248" s="37"/>
      <c r="L248" s="36"/>
      <c r="M248" s="37"/>
      <c r="N248" s="36"/>
      <c r="O248" s="37"/>
      <c r="P248" s="36"/>
      <c r="Q248" s="37"/>
      <c r="R248" s="36"/>
      <c r="S248" s="37"/>
      <c r="T248" s="36"/>
      <c r="U248" s="37"/>
      <c r="V248" s="36"/>
      <c r="W248" s="37"/>
      <c r="X248" s="36"/>
      <c r="Y248" s="37"/>
      <c r="Z248" s="36"/>
      <c r="AA248" s="37"/>
      <c r="AB248" s="36"/>
      <c r="AC248" s="37"/>
      <c r="AD248" s="36"/>
      <c r="AE248" s="37"/>
      <c r="AF248" s="36"/>
    </row>
    <row r="249" spans="1:32" x14ac:dyDescent="0.25">
      <c r="A249" s="37"/>
      <c r="B249" s="36"/>
      <c r="C249" s="37"/>
      <c r="D249" s="36"/>
      <c r="E249" s="37"/>
      <c r="F249" s="36"/>
      <c r="G249" s="37"/>
      <c r="H249" s="36"/>
      <c r="I249" s="37"/>
      <c r="J249" s="36"/>
      <c r="K249" s="37"/>
      <c r="L249" s="36"/>
      <c r="M249" s="37"/>
      <c r="N249" s="36"/>
      <c r="O249" s="37"/>
      <c r="P249" s="36"/>
      <c r="Q249" s="37"/>
      <c r="R249" s="36"/>
      <c r="S249" s="37"/>
      <c r="T249" s="36"/>
      <c r="U249" s="37"/>
      <c r="V249" s="36"/>
      <c r="W249" s="37"/>
      <c r="X249" s="36"/>
      <c r="Y249" s="37"/>
      <c r="Z249" s="36"/>
      <c r="AA249" s="37"/>
      <c r="AB249" s="36"/>
      <c r="AC249" s="37"/>
      <c r="AD249" s="36"/>
      <c r="AE249" s="37"/>
      <c r="AF249" s="36"/>
    </row>
    <row r="250" spans="1:32" x14ac:dyDescent="0.25">
      <c r="A250" s="37"/>
      <c r="B250" s="36"/>
      <c r="C250" s="37"/>
      <c r="D250" s="36"/>
      <c r="E250" s="37"/>
      <c r="F250" s="36"/>
      <c r="G250" s="37"/>
      <c r="H250" s="36"/>
      <c r="I250" s="37"/>
      <c r="J250" s="36"/>
      <c r="K250" s="37"/>
      <c r="L250" s="36"/>
      <c r="M250" s="37"/>
      <c r="N250" s="36"/>
      <c r="O250" s="37"/>
      <c r="P250" s="36"/>
      <c r="Q250" s="37"/>
      <c r="R250" s="36"/>
      <c r="S250" s="37"/>
      <c r="T250" s="36"/>
      <c r="U250" s="37"/>
      <c r="V250" s="36"/>
      <c r="W250" s="37"/>
      <c r="X250" s="36"/>
      <c r="Y250" s="37"/>
      <c r="Z250" s="36"/>
      <c r="AA250" s="37"/>
      <c r="AB250" s="36"/>
      <c r="AC250" s="37"/>
      <c r="AD250" s="36"/>
      <c r="AE250" s="37"/>
      <c r="AF250" s="36"/>
    </row>
    <row r="251" spans="1:32" x14ac:dyDescent="0.25">
      <c r="A251" s="37"/>
      <c r="B251" s="36"/>
      <c r="C251" s="37"/>
      <c r="D251" s="36"/>
      <c r="E251" s="37"/>
      <c r="F251" s="36"/>
      <c r="G251" s="37"/>
      <c r="H251" s="36"/>
      <c r="I251" s="37"/>
      <c r="J251" s="36"/>
      <c r="K251" s="37"/>
      <c r="L251" s="36"/>
      <c r="M251" s="37"/>
      <c r="N251" s="36"/>
      <c r="O251" s="37"/>
      <c r="P251" s="36"/>
      <c r="Q251" s="37"/>
      <c r="R251" s="36"/>
      <c r="S251" s="37"/>
      <c r="T251" s="36"/>
      <c r="U251" s="37"/>
      <c r="V251" s="36"/>
      <c r="W251" s="37"/>
      <c r="X251" s="36"/>
      <c r="Y251" s="37"/>
      <c r="Z251" s="36"/>
      <c r="AA251" s="37"/>
      <c r="AB251" s="36"/>
      <c r="AC251" s="37"/>
      <c r="AD251" s="36"/>
      <c r="AE251" s="37"/>
      <c r="AF251" s="36"/>
    </row>
    <row r="252" spans="1:32" x14ac:dyDescent="0.25">
      <c r="A252" s="37"/>
      <c r="B252" s="36"/>
      <c r="C252" s="37"/>
      <c r="D252" s="36"/>
      <c r="E252" s="37"/>
      <c r="F252" s="36"/>
      <c r="G252" s="37"/>
      <c r="H252" s="36"/>
      <c r="I252" s="37"/>
      <c r="J252" s="36"/>
      <c r="K252" s="37"/>
      <c r="L252" s="36"/>
      <c r="M252" s="37"/>
      <c r="N252" s="36"/>
      <c r="O252" s="37"/>
      <c r="P252" s="36"/>
      <c r="Q252" s="37"/>
      <c r="R252" s="36"/>
      <c r="S252" s="37"/>
      <c r="T252" s="36"/>
      <c r="U252" s="37"/>
      <c r="V252" s="36"/>
      <c r="W252" s="37"/>
      <c r="X252" s="36"/>
      <c r="Y252" s="37"/>
      <c r="Z252" s="36"/>
      <c r="AA252" s="37"/>
      <c r="AB252" s="36"/>
      <c r="AC252" s="37"/>
      <c r="AD252" s="36"/>
      <c r="AE252" s="37"/>
      <c r="AF252" s="36"/>
    </row>
    <row r="253" spans="1:32" x14ac:dyDescent="0.25">
      <c r="A253" s="37"/>
      <c r="B253" s="36"/>
      <c r="C253" s="37"/>
      <c r="D253" s="36"/>
      <c r="E253" s="37"/>
      <c r="F253" s="36"/>
      <c r="G253" s="37"/>
      <c r="H253" s="36"/>
      <c r="I253" s="37"/>
      <c r="J253" s="36"/>
      <c r="K253" s="37"/>
      <c r="L253" s="36"/>
      <c r="M253" s="37"/>
      <c r="N253" s="36"/>
      <c r="O253" s="37"/>
      <c r="P253" s="36"/>
      <c r="Q253" s="37"/>
      <c r="R253" s="36"/>
      <c r="S253" s="37"/>
      <c r="T253" s="36"/>
      <c r="U253" s="37"/>
      <c r="V253" s="36"/>
      <c r="W253" s="37"/>
      <c r="X253" s="36"/>
      <c r="Y253" s="37"/>
      <c r="Z253" s="36"/>
      <c r="AA253" s="37"/>
      <c r="AB253" s="36"/>
      <c r="AC253" s="37"/>
      <c r="AD253" s="36"/>
      <c r="AE253" s="37"/>
      <c r="AF253" s="36"/>
    </row>
    <row r="254" spans="1:32" x14ac:dyDescent="0.25">
      <c r="A254" s="37"/>
      <c r="B254" s="36"/>
      <c r="C254" s="37"/>
      <c r="D254" s="36"/>
      <c r="E254" s="37"/>
      <c r="F254" s="36"/>
      <c r="G254" s="37"/>
      <c r="H254" s="36"/>
      <c r="I254" s="37"/>
      <c r="J254" s="36"/>
      <c r="K254" s="37"/>
      <c r="L254" s="36"/>
      <c r="M254" s="37"/>
      <c r="N254" s="36"/>
      <c r="O254" s="37"/>
      <c r="P254" s="36"/>
      <c r="Q254" s="37"/>
      <c r="R254" s="36"/>
      <c r="S254" s="37"/>
      <c r="T254" s="36"/>
      <c r="U254" s="37"/>
      <c r="V254" s="36"/>
      <c r="W254" s="37"/>
      <c r="X254" s="36"/>
      <c r="Y254" s="37"/>
      <c r="Z254" s="36"/>
      <c r="AA254" s="37"/>
      <c r="AB254" s="36"/>
      <c r="AC254" s="37"/>
      <c r="AD254" s="36"/>
      <c r="AE254" s="37"/>
      <c r="AF254" s="36"/>
    </row>
    <row r="255" spans="1:32" x14ac:dyDescent="0.25">
      <c r="A255" s="37"/>
      <c r="B255" s="36"/>
      <c r="C255" s="37"/>
      <c r="D255" s="36"/>
      <c r="E255" s="37"/>
      <c r="F255" s="36"/>
      <c r="G255" s="37"/>
      <c r="H255" s="36"/>
      <c r="I255" s="37"/>
      <c r="J255" s="36"/>
      <c r="K255" s="37"/>
      <c r="L255" s="36"/>
      <c r="M255" s="37"/>
      <c r="N255" s="36"/>
      <c r="O255" s="37"/>
      <c r="P255" s="36"/>
      <c r="Q255" s="37"/>
      <c r="R255" s="36"/>
      <c r="S255" s="37"/>
      <c r="T255" s="36"/>
      <c r="U255" s="37"/>
      <c r="V255" s="36"/>
      <c r="W255" s="37"/>
      <c r="X255" s="36"/>
      <c r="Y255" s="37"/>
      <c r="Z255" s="36"/>
      <c r="AA255" s="37"/>
      <c r="AB255" s="36"/>
      <c r="AC255" s="37"/>
      <c r="AD255" s="36"/>
      <c r="AE255" s="37"/>
      <c r="AF255" s="36"/>
    </row>
    <row r="256" spans="1:32" x14ac:dyDescent="0.25">
      <c r="A256" s="37"/>
      <c r="B256" s="36"/>
      <c r="C256" s="37"/>
      <c r="D256" s="36"/>
      <c r="E256" s="37"/>
      <c r="F256" s="36"/>
      <c r="G256" s="37"/>
      <c r="H256" s="36"/>
      <c r="I256" s="37"/>
      <c r="J256" s="36"/>
      <c r="K256" s="37"/>
      <c r="L256" s="36"/>
      <c r="M256" s="37"/>
      <c r="N256" s="36"/>
      <c r="O256" s="37"/>
      <c r="P256" s="36"/>
      <c r="Q256" s="37"/>
      <c r="R256" s="36"/>
      <c r="S256" s="37"/>
      <c r="T256" s="36"/>
      <c r="U256" s="37"/>
      <c r="V256" s="36"/>
      <c r="W256" s="37"/>
      <c r="X256" s="36"/>
      <c r="Y256" s="37"/>
      <c r="Z256" s="36"/>
      <c r="AA256" s="37"/>
      <c r="AB256" s="36"/>
      <c r="AC256" s="37"/>
      <c r="AD256" s="36"/>
      <c r="AE256" s="37"/>
      <c r="AF256" s="36"/>
    </row>
    <row r="257" spans="1:32" x14ac:dyDescent="0.25">
      <c r="A257" s="37"/>
      <c r="B257" s="36"/>
      <c r="C257" s="37"/>
      <c r="D257" s="36"/>
      <c r="E257" s="37"/>
      <c r="F257" s="36"/>
      <c r="G257" s="37"/>
      <c r="H257" s="36"/>
      <c r="I257" s="37"/>
      <c r="J257" s="36"/>
      <c r="K257" s="37"/>
      <c r="L257" s="36"/>
      <c r="M257" s="37"/>
      <c r="N257" s="36"/>
      <c r="O257" s="37"/>
      <c r="P257" s="36"/>
      <c r="Q257" s="37"/>
      <c r="R257" s="36"/>
      <c r="S257" s="37"/>
      <c r="T257" s="36"/>
      <c r="U257" s="37"/>
      <c r="V257" s="36"/>
      <c r="W257" s="37"/>
      <c r="X257" s="36"/>
      <c r="Y257" s="37"/>
      <c r="Z257" s="36"/>
      <c r="AA257" s="37"/>
      <c r="AB257" s="36"/>
      <c r="AC257" s="37"/>
      <c r="AD257" s="36"/>
      <c r="AE257" s="37"/>
      <c r="AF257" s="36"/>
    </row>
    <row r="258" spans="1:32" x14ac:dyDescent="0.25">
      <c r="A258" s="37"/>
      <c r="B258" s="36"/>
      <c r="C258" s="37"/>
      <c r="D258" s="36"/>
      <c r="E258" s="37"/>
      <c r="F258" s="36"/>
      <c r="G258" s="37"/>
      <c r="H258" s="36"/>
      <c r="I258" s="37"/>
      <c r="J258" s="36"/>
      <c r="K258" s="37"/>
      <c r="L258" s="36"/>
      <c r="M258" s="37"/>
      <c r="N258" s="36"/>
      <c r="O258" s="37"/>
      <c r="P258" s="36"/>
      <c r="Q258" s="37"/>
      <c r="R258" s="36"/>
      <c r="S258" s="37"/>
      <c r="T258" s="36"/>
      <c r="U258" s="37"/>
      <c r="V258" s="36"/>
      <c r="W258" s="37"/>
      <c r="X258" s="36"/>
      <c r="Y258" s="37"/>
      <c r="Z258" s="36"/>
      <c r="AA258" s="37"/>
      <c r="AB258" s="36"/>
      <c r="AC258" s="37"/>
      <c r="AD258" s="36"/>
      <c r="AE258" s="37"/>
      <c r="AF258" s="36"/>
    </row>
    <row r="259" spans="1:32" x14ac:dyDescent="0.25">
      <c r="A259" s="37"/>
      <c r="B259" s="36"/>
      <c r="C259" s="37"/>
      <c r="D259" s="36"/>
      <c r="E259" s="37"/>
      <c r="F259" s="36"/>
      <c r="G259" s="37"/>
      <c r="H259" s="36"/>
      <c r="I259" s="37"/>
      <c r="J259" s="36"/>
      <c r="K259" s="37"/>
      <c r="L259" s="36"/>
      <c r="M259" s="37"/>
      <c r="N259" s="36"/>
      <c r="O259" s="37"/>
      <c r="P259" s="36"/>
      <c r="Q259" s="37"/>
      <c r="R259" s="36"/>
      <c r="S259" s="37"/>
      <c r="T259" s="36"/>
      <c r="U259" s="37"/>
      <c r="V259" s="36"/>
      <c r="W259" s="37"/>
      <c r="X259" s="36"/>
      <c r="Y259" s="37"/>
      <c r="Z259" s="36"/>
      <c r="AA259" s="37"/>
      <c r="AB259" s="36"/>
      <c r="AC259" s="37"/>
      <c r="AD259" s="36"/>
      <c r="AE259" s="37"/>
      <c r="AF259" s="36"/>
    </row>
    <row r="260" spans="1:32" x14ac:dyDescent="0.25">
      <c r="A260" s="37"/>
      <c r="B260" s="36"/>
      <c r="C260" s="37"/>
      <c r="D260" s="36"/>
      <c r="E260" s="37"/>
      <c r="F260" s="36"/>
      <c r="G260" s="37"/>
      <c r="H260" s="36"/>
      <c r="I260" s="37"/>
      <c r="J260" s="36"/>
      <c r="K260" s="37"/>
      <c r="L260" s="36"/>
      <c r="M260" s="37"/>
      <c r="N260" s="36"/>
      <c r="O260" s="37"/>
      <c r="P260" s="36"/>
      <c r="Q260" s="37"/>
      <c r="R260" s="36"/>
      <c r="S260" s="37"/>
      <c r="T260" s="36"/>
      <c r="U260" s="37"/>
      <c r="V260" s="36"/>
      <c r="W260" s="37"/>
      <c r="X260" s="36"/>
      <c r="Y260" s="37"/>
      <c r="Z260" s="36"/>
      <c r="AA260" s="37"/>
      <c r="AB260" s="36"/>
      <c r="AC260" s="37"/>
      <c r="AD260" s="36"/>
      <c r="AE260" s="37"/>
      <c r="AF260" s="36"/>
    </row>
    <row r="261" spans="1:32" x14ac:dyDescent="0.25">
      <c r="A261" s="37"/>
      <c r="B261" s="36"/>
      <c r="C261" s="37"/>
      <c r="D261" s="36"/>
      <c r="E261" s="37"/>
      <c r="F261" s="36"/>
      <c r="G261" s="37"/>
      <c r="H261" s="36"/>
      <c r="I261" s="37"/>
      <c r="J261" s="36"/>
      <c r="K261" s="37"/>
      <c r="L261" s="36"/>
      <c r="M261" s="37"/>
      <c r="N261" s="36"/>
      <c r="O261" s="37"/>
      <c r="P261" s="36"/>
      <c r="Q261" s="37"/>
      <c r="R261" s="36"/>
      <c r="S261" s="37"/>
      <c r="T261" s="36"/>
      <c r="U261" s="37"/>
      <c r="V261" s="36"/>
      <c r="W261" s="37"/>
      <c r="X261" s="36"/>
      <c r="Y261" s="37"/>
      <c r="Z261" s="36"/>
      <c r="AA261" s="37"/>
      <c r="AB261" s="36"/>
      <c r="AC261" s="37"/>
      <c r="AD261" s="36"/>
      <c r="AE261" s="37"/>
      <c r="AF261" s="36"/>
    </row>
    <row r="262" spans="1:32" x14ac:dyDescent="0.25">
      <c r="A262" s="37"/>
      <c r="B262" s="36"/>
      <c r="C262" s="37"/>
      <c r="D262" s="36"/>
      <c r="E262" s="37"/>
      <c r="F262" s="36"/>
      <c r="G262" s="37"/>
      <c r="H262" s="36"/>
      <c r="I262" s="37"/>
      <c r="J262" s="36"/>
      <c r="K262" s="37"/>
      <c r="L262" s="36"/>
      <c r="M262" s="37"/>
      <c r="N262" s="36"/>
      <c r="O262" s="37"/>
      <c r="P262" s="36"/>
      <c r="Q262" s="37"/>
      <c r="R262" s="36"/>
      <c r="S262" s="37"/>
      <c r="T262" s="36"/>
      <c r="U262" s="37"/>
      <c r="V262" s="36"/>
      <c r="W262" s="37"/>
      <c r="X262" s="36"/>
      <c r="Y262" s="37"/>
      <c r="Z262" s="36"/>
      <c r="AA262" s="37"/>
      <c r="AB262" s="36"/>
      <c r="AC262" s="37"/>
      <c r="AD262" s="36"/>
      <c r="AE262" s="37"/>
      <c r="AF262" s="36"/>
    </row>
    <row r="263" spans="1:32" x14ac:dyDescent="0.25">
      <c r="A263" s="37"/>
      <c r="B263" s="36"/>
      <c r="C263" s="37"/>
      <c r="D263" s="36"/>
      <c r="E263" s="37"/>
      <c r="F263" s="36"/>
      <c r="G263" s="37"/>
      <c r="H263" s="36"/>
      <c r="I263" s="37"/>
      <c r="J263" s="36"/>
      <c r="K263" s="37"/>
      <c r="L263" s="36"/>
      <c r="M263" s="37"/>
      <c r="N263" s="36"/>
      <c r="O263" s="37"/>
      <c r="P263" s="36"/>
      <c r="Q263" s="37"/>
      <c r="R263" s="36"/>
      <c r="S263" s="37"/>
      <c r="T263" s="36"/>
      <c r="U263" s="37"/>
      <c r="V263" s="36"/>
      <c r="W263" s="37"/>
      <c r="X263" s="36"/>
      <c r="Y263" s="37"/>
      <c r="Z263" s="36"/>
      <c r="AA263" s="37"/>
      <c r="AB263" s="36"/>
      <c r="AC263" s="37"/>
      <c r="AD263" s="36"/>
      <c r="AE263" s="37"/>
      <c r="AF263" s="36"/>
    </row>
    <row r="264" spans="1:32" x14ac:dyDescent="0.25">
      <c r="A264" s="37"/>
      <c r="B264" s="36"/>
      <c r="C264" s="37"/>
      <c r="D264" s="36"/>
      <c r="E264" s="37"/>
      <c r="F264" s="36"/>
      <c r="G264" s="37"/>
      <c r="H264" s="36"/>
      <c r="I264" s="37"/>
      <c r="J264" s="36"/>
      <c r="K264" s="37"/>
      <c r="L264" s="36"/>
      <c r="M264" s="37"/>
      <c r="N264" s="36"/>
      <c r="O264" s="37"/>
      <c r="P264" s="36"/>
      <c r="Q264" s="37"/>
      <c r="R264" s="36"/>
      <c r="S264" s="37"/>
      <c r="T264" s="36"/>
      <c r="U264" s="37"/>
      <c r="V264" s="36"/>
      <c r="W264" s="37"/>
      <c r="X264" s="36"/>
      <c r="Y264" s="37"/>
      <c r="Z264" s="36"/>
      <c r="AA264" s="37"/>
      <c r="AB264" s="36"/>
      <c r="AC264" s="37"/>
      <c r="AD264" s="36"/>
      <c r="AE264" s="37"/>
      <c r="AF264" s="36"/>
    </row>
    <row r="265" spans="1:32" x14ac:dyDescent="0.25">
      <c r="A265" s="37"/>
      <c r="B265" s="36"/>
      <c r="C265" s="37"/>
      <c r="D265" s="36"/>
      <c r="E265" s="37"/>
      <c r="F265" s="36"/>
      <c r="G265" s="37"/>
      <c r="H265" s="36"/>
      <c r="I265" s="37"/>
      <c r="J265" s="36"/>
      <c r="K265" s="37"/>
      <c r="L265" s="36"/>
      <c r="M265" s="37"/>
      <c r="N265" s="36"/>
      <c r="O265" s="37"/>
      <c r="P265" s="36"/>
      <c r="Q265" s="37"/>
      <c r="R265" s="36"/>
      <c r="S265" s="37"/>
      <c r="T265" s="36"/>
      <c r="U265" s="37"/>
      <c r="V265" s="36"/>
      <c r="W265" s="37"/>
      <c r="X265" s="36"/>
      <c r="Y265" s="37"/>
      <c r="Z265" s="36"/>
      <c r="AA265" s="37"/>
      <c r="AB265" s="36"/>
      <c r="AC265" s="37"/>
      <c r="AD265" s="36"/>
      <c r="AE265" s="37"/>
      <c r="AF265" s="36"/>
    </row>
    <row r="266" spans="1:32" x14ac:dyDescent="0.25">
      <c r="A266" s="37"/>
      <c r="B266" s="36"/>
      <c r="C266" s="37"/>
      <c r="D266" s="36"/>
      <c r="E266" s="37"/>
      <c r="F266" s="36"/>
      <c r="G266" s="37"/>
      <c r="H266" s="36"/>
      <c r="I266" s="37"/>
      <c r="J266" s="36"/>
      <c r="K266" s="37"/>
      <c r="L266" s="36"/>
      <c r="M266" s="37"/>
      <c r="N266" s="36"/>
      <c r="O266" s="37"/>
      <c r="P266" s="36"/>
      <c r="Q266" s="37"/>
      <c r="R266" s="36"/>
      <c r="S266" s="37"/>
      <c r="T266" s="36"/>
      <c r="U266" s="37"/>
      <c r="V266" s="36"/>
      <c r="W266" s="37"/>
      <c r="X266" s="36"/>
      <c r="Y266" s="37"/>
      <c r="Z266" s="36"/>
      <c r="AA266" s="37"/>
      <c r="AB266" s="36"/>
      <c r="AC266" s="37"/>
      <c r="AD266" s="36"/>
      <c r="AE266" s="37"/>
      <c r="AF266" s="36"/>
    </row>
    <row r="267" spans="1:32" x14ac:dyDescent="0.25">
      <c r="A267" s="37"/>
      <c r="B267" s="36"/>
      <c r="C267" s="37"/>
      <c r="D267" s="36"/>
      <c r="E267" s="37"/>
      <c r="F267" s="36"/>
      <c r="G267" s="37"/>
      <c r="H267" s="36"/>
      <c r="I267" s="37"/>
      <c r="J267" s="36"/>
      <c r="K267" s="37"/>
      <c r="L267" s="36"/>
      <c r="M267" s="37"/>
      <c r="N267" s="36"/>
      <c r="O267" s="37"/>
      <c r="P267" s="36"/>
      <c r="Q267" s="37"/>
      <c r="R267" s="36"/>
      <c r="S267" s="37"/>
      <c r="T267" s="36"/>
      <c r="U267" s="37"/>
      <c r="V267" s="36"/>
      <c r="W267" s="37"/>
      <c r="X267" s="36"/>
      <c r="Y267" s="37"/>
      <c r="Z267" s="36"/>
      <c r="AA267" s="37"/>
      <c r="AB267" s="36"/>
      <c r="AC267" s="37"/>
      <c r="AD267" s="36"/>
      <c r="AE267" s="37"/>
      <c r="AF267" s="36"/>
    </row>
    <row r="268" spans="1:32" x14ac:dyDescent="0.25">
      <c r="A268" s="37"/>
      <c r="B268" s="36"/>
      <c r="C268" s="37"/>
      <c r="D268" s="36"/>
      <c r="E268" s="37"/>
      <c r="F268" s="36"/>
      <c r="G268" s="37"/>
      <c r="H268" s="36"/>
      <c r="I268" s="37"/>
      <c r="J268" s="36"/>
      <c r="K268" s="37"/>
      <c r="L268" s="36"/>
      <c r="M268" s="37"/>
      <c r="N268" s="36"/>
      <c r="O268" s="37"/>
      <c r="P268" s="36"/>
      <c r="Q268" s="37"/>
      <c r="R268" s="36"/>
      <c r="S268" s="37"/>
      <c r="T268" s="36"/>
      <c r="U268" s="37"/>
      <c r="V268" s="36"/>
      <c r="W268" s="37"/>
      <c r="X268" s="36"/>
      <c r="Y268" s="37"/>
      <c r="Z268" s="36"/>
      <c r="AA268" s="37"/>
      <c r="AB268" s="36"/>
      <c r="AC268" s="37"/>
      <c r="AD268" s="36"/>
      <c r="AE268" s="37"/>
      <c r="AF268" s="36"/>
    </row>
    <row r="269" spans="1:32" x14ac:dyDescent="0.25">
      <c r="A269" s="37"/>
      <c r="B269" s="36"/>
      <c r="C269" s="37"/>
      <c r="D269" s="36"/>
      <c r="E269" s="37"/>
      <c r="F269" s="36"/>
      <c r="G269" s="37"/>
      <c r="H269" s="36"/>
      <c r="I269" s="37"/>
      <c r="J269" s="36"/>
      <c r="K269" s="37"/>
      <c r="L269" s="36"/>
      <c r="M269" s="37"/>
      <c r="N269" s="36"/>
      <c r="O269" s="37"/>
      <c r="P269" s="36"/>
      <c r="Q269" s="37"/>
      <c r="R269" s="36"/>
      <c r="S269" s="37"/>
      <c r="T269" s="36"/>
      <c r="U269" s="37"/>
      <c r="V269" s="36"/>
      <c r="W269" s="37"/>
      <c r="X269" s="36"/>
      <c r="Y269" s="37"/>
      <c r="Z269" s="36"/>
      <c r="AA269" s="37"/>
      <c r="AB269" s="36"/>
      <c r="AC269" s="37"/>
      <c r="AD269" s="36"/>
      <c r="AE269" s="37"/>
      <c r="AF269" s="36"/>
    </row>
    <row r="270" spans="1:32" x14ac:dyDescent="0.25">
      <c r="A270" s="37"/>
      <c r="B270" s="36"/>
      <c r="C270" s="37"/>
      <c r="D270" s="36"/>
      <c r="E270" s="37"/>
      <c r="F270" s="36"/>
      <c r="G270" s="37"/>
      <c r="H270" s="36"/>
      <c r="I270" s="37"/>
      <c r="J270" s="36"/>
      <c r="K270" s="37"/>
      <c r="L270" s="36"/>
      <c r="M270" s="37"/>
      <c r="N270" s="36"/>
      <c r="O270" s="37"/>
      <c r="P270" s="36"/>
      <c r="Q270" s="37"/>
      <c r="R270" s="36"/>
      <c r="S270" s="37"/>
      <c r="T270" s="36"/>
      <c r="U270" s="37"/>
      <c r="V270" s="36"/>
      <c r="W270" s="37"/>
      <c r="X270" s="36"/>
      <c r="Y270" s="37"/>
      <c r="Z270" s="36"/>
      <c r="AA270" s="37"/>
      <c r="AB270" s="36"/>
      <c r="AC270" s="37"/>
      <c r="AD270" s="36"/>
      <c r="AE270" s="37"/>
      <c r="AF270" s="36"/>
    </row>
    <row r="271" spans="1:32" x14ac:dyDescent="0.25">
      <c r="A271" s="37"/>
      <c r="B271" s="36"/>
      <c r="C271" s="37"/>
      <c r="D271" s="36"/>
      <c r="E271" s="37"/>
      <c r="F271" s="36"/>
      <c r="G271" s="37"/>
      <c r="H271" s="36"/>
      <c r="I271" s="37"/>
      <c r="J271" s="36"/>
      <c r="K271" s="37"/>
      <c r="L271" s="36"/>
      <c r="M271" s="37"/>
      <c r="N271" s="36"/>
      <c r="O271" s="37"/>
      <c r="P271" s="36"/>
      <c r="Q271" s="37"/>
      <c r="R271" s="36"/>
      <c r="S271" s="37"/>
      <c r="T271" s="36"/>
      <c r="U271" s="37"/>
      <c r="V271" s="36"/>
      <c r="W271" s="37"/>
      <c r="X271" s="36"/>
      <c r="Y271" s="37"/>
      <c r="Z271" s="36"/>
      <c r="AA271" s="37"/>
      <c r="AB271" s="36"/>
      <c r="AC271" s="37"/>
      <c r="AD271" s="36"/>
      <c r="AE271" s="37"/>
      <c r="AF271" s="36"/>
    </row>
    <row r="272" spans="1:32" x14ac:dyDescent="0.25">
      <c r="A272" s="37"/>
      <c r="B272" s="36"/>
      <c r="C272" s="37"/>
      <c r="D272" s="36"/>
      <c r="E272" s="37"/>
      <c r="F272" s="36"/>
      <c r="G272" s="37"/>
      <c r="H272" s="36"/>
      <c r="I272" s="37"/>
      <c r="J272" s="36"/>
      <c r="K272" s="37"/>
      <c r="L272" s="36"/>
      <c r="M272" s="37"/>
      <c r="N272" s="36"/>
      <c r="O272" s="37"/>
      <c r="P272" s="36"/>
      <c r="Q272" s="37"/>
      <c r="R272" s="36"/>
      <c r="S272" s="37"/>
      <c r="T272" s="36"/>
      <c r="U272" s="37"/>
      <c r="V272" s="36"/>
      <c r="W272" s="37"/>
      <c r="X272" s="36"/>
      <c r="Y272" s="37"/>
      <c r="Z272" s="36"/>
      <c r="AA272" s="37"/>
      <c r="AB272" s="36"/>
      <c r="AC272" s="37"/>
      <c r="AD272" s="36"/>
      <c r="AE272" s="37"/>
      <c r="AF272" s="36"/>
    </row>
    <row r="273" spans="1:32" x14ac:dyDescent="0.25">
      <c r="A273" s="37"/>
      <c r="B273" s="36"/>
      <c r="C273" s="37"/>
      <c r="D273" s="36"/>
      <c r="E273" s="37"/>
      <c r="F273" s="36"/>
      <c r="G273" s="37"/>
      <c r="H273" s="36"/>
      <c r="I273" s="37"/>
      <c r="J273" s="36"/>
      <c r="K273" s="37"/>
      <c r="L273" s="36"/>
      <c r="M273" s="37"/>
      <c r="N273" s="36"/>
      <c r="O273" s="37"/>
      <c r="P273" s="36"/>
      <c r="Q273" s="37"/>
      <c r="R273" s="36"/>
      <c r="S273" s="37"/>
      <c r="T273" s="36"/>
      <c r="U273" s="37"/>
      <c r="V273" s="36"/>
      <c r="W273" s="37"/>
      <c r="X273" s="36"/>
      <c r="Y273" s="37"/>
      <c r="Z273" s="36"/>
      <c r="AA273" s="37"/>
      <c r="AB273" s="36"/>
      <c r="AC273" s="37"/>
      <c r="AD273" s="36"/>
      <c r="AE273" s="37"/>
      <c r="AF273" s="36"/>
    </row>
    <row r="274" spans="1:32" x14ac:dyDescent="0.25">
      <c r="A274" s="37"/>
      <c r="B274" s="36"/>
      <c r="C274" s="37"/>
      <c r="D274" s="36"/>
      <c r="E274" s="37"/>
      <c r="F274" s="36"/>
      <c r="G274" s="37"/>
      <c r="H274" s="36"/>
      <c r="I274" s="37"/>
      <c r="J274" s="36"/>
      <c r="K274" s="37"/>
      <c r="L274" s="36"/>
      <c r="M274" s="37"/>
      <c r="N274" s="36"/>
      <c r="O274" s="37"/>
      <c r="P274" s="36"/>
      <c r="Q274" s="37"/>
      <c r="R274" s="36"/>
      <c r="S274" s="37"/>
      <c r="T274" s="36"/>
      <c r="U274" s="37"/>
      <c r="V274" s="36"/>
      <c r="W274" s="37"/>
      <c r="X274" s="36"/>
      <c r="Y274" s="37"/>
      <c r="Z274" s="36"/>
      <c r="AA274" s="37"/>
      <c r="AB274" s="36"/>
      <c r="AC274" s="37"/>
      <c r="AD274" s="36"/>
      <c r="AE274" s="37"/>
      <c r="AF274" s="36"/>
    </row>
    <row r="275" spans="1:32" x14ac:dyDescent="0.25">
      <c r="A275" s="37"/>
      <c r="B275" s="36"/>
      <c r="C275" s="37"/>
      <c r="D275" s="36"/>
      <c r="E275" s="37"/>
      <c r="F275" s="36"/>
      <c r="G275" s="37"/>
      <c r="H275" s="36"/>
      <c r="I275" s="37"/>
      <c r="J275" s="36"/>
      <c r="K275" s="37"/>
      <c r="L275" s="36"/>
      <c r="M275" s="37"/>
      <c r="N275" s="36"/>
      <c r="O275" s="37"/>
      <c r="P275" s="36"/>
      <c r="Q275" s="37"/>
      <c r="R275" s="36"/>
      <c r="S275" s="37"/>
      <c r="T275" s="36"/>
      <c r="U275" s="37"/>
      <c r="V275" s="36"/>
      <c r="W275" s="37"/>
      <c r="X275" s="36"/>
      <c r="Y275" s="37"/>
      <c r="Z275" s="36"/>
      <c r="AA275" s="37"/>
      <c r="AB275" s="36"/>
      <c r="AC275" s="37"/>
      <c r="AD275" s="36"/>
      <c r="AE275" s="37"/>
      <c r="AF275" s="36"/>
    </row>
    <row r="276" spans="1:32" x14ac:dyDescent="0.25">
      <c r="A276" s="37"/>
      <c r="B276" s="36"/>
      <c r="C276" s="37"/>
      <c r="D276" s="36"/>
      <c r="E276" s="37"/>
      <c r="F276" s="36"/>
      <c r="G276" s="37"/>
      <c r="H276" s="36"/>
      <c r="I276" s="37"/>
      <c r="J276" s="36"/>
      <c r="K276" s="37"/>
      <c r="L276" s="36"/>
      <c r="M276" s="37"/>
      <c r="N276" s="36"/>
      <c r="O276" s="37"/>
      <c r="P276" s="36"/>
      <c r="Q276" s="37"/>
      <c r="R276" s="36"/>
      <c r="S276" s="37"/>
      <c r="T276" s="36"/>
      <c r="U276" s="37"/>
      <c r="V276" s="36"/>
      <c r="W276" s="37"/>
      <c r="X276" s="36"/>
      <c r="Y276" s="37"/>
      <c r="Z276" s="36"/>
      <c r="AA276" s="37"/>
      <c r="AB276" s="36"/>
      <c r="AC276" s="37"/>
      <c r="AD276" s="36"/>
      <c r="AE276" s="37"/>
      <c r="AF276" s="36"/>
    </row>
    <row r="277" spans="1:32" x14ac:dyDescent="0.25">
      <c r="A277" s="37"/>
      <c r="B277" s="36"/>
      <c r="C277" s="37"/>
      <c r="D277" s="36"/>
      <c r="E277" s="37"/>
      <c r="F277" s="36"/>
      <c r="G277" s="37"/>
      <c r="H277" s="36"/>
      <c r="I277" s="37"/>
      <c r="J277" s="36"/>
      <c r="K277" s="37"/>
      <c r="L277" s="36"/>
      <c r="M277" s="37"/>
      <c r="N277" s="36"/>
      <c r="O277" s="37"/>
      <c r="P277" s="36"/>
      <c r="Q277" s="37"/>
      <c r="R277" s="36"/>
      <c r="S277" s="37"/>
      <c r="T277" s="36"/>
      <c r="U277" s="37"/>
      <c r="V277" s="36"/>
      <c r="W277" s="37"/>
      <c r="X277" s="36"/>
      <c r="Y277" s="37"/>
      <c r="Z277" s="36"/>
      <c r="AA277" s="37"/>
      <c r="AB277" s="36"/>
      <c r="AC277" s="37"/>
      <c r="AD277" s="36"/>
      <c r="AE277" s="37"/>
      <c r="AF277" s="36"/>
    </row>
    <row r="278" spans="1:32" x14ac:dyDescent="0.25">
      <c r="A278" s="37"/>
      <c r="B278" s="36"/>
      <c r="C278" s="37"/>
      <c r="D278" s="36"/>
      <c r="E278" s="37"/>
      <c r="F278" s="36"/>
      <c r="G278" s="37"/>
      <c r="H278" s="36"/>
      <c r="I278" s="37"/>
      <c r="J278" s="36"/>
      <c r="K278" s="37"/>
      <c r="L278" s="36"/>
      <c r="M278" s="37"/>
      <c r="N278" s="36"/>
      <c r="O278" s="37"/>
      <c r="P278" s="36"/>
      <c r="Q278" s="37"/>
      <c r="R278" s="36"/>
      <c r="S278" s="37"/>
      <c r="T278" s="36"/>
      <c r="U278" s="37"/>
      <c r="V278" s="36"/>
      <c r="W278" s="37"/>
      <c r="X278" s="36"/>
      <c r="Y278" s="37"/>
      <c r="Z278" s="36"/>
      <c r="AA278" s="37"/>
      <c r="AB278" s="36"/>
      <c r="AC278" s="37"/>
      <c r="AD278" s="36"/>
      <c r="AE278" s="37"/>
      <c r="AF278" s="36"/>
    </row>
    <row r="279" spans="1:32" x14ac:dyDescent="0.25">
      <c r="A279" s="37"/>
      <c r="B279" s="36"/>
      <c r="C279" s="37"/>
      <c r="D279" s="36"/>
      <c r="E279" s="37"/>
      <c r="F279" s="36"/>
      <c r="G279" s="37"/>
      <c r="H279" s="36"/>
      <c r="I279" s="37"/>
      <c r="J279" s="36"/>
      <c r="K279" s="37"/>
      <c r="L279" s="36"/>
      <c r="M279" s="37"/>
      <c r="N279" s="36"/>
      <c r="O279" s="37"/>
      <c r="P279" s="36"/>
      <c r="Q279" s="37"/>
      <c r="R279" s="36"/>
      <c r="S279" s="37"/>
      <c r="T279" s="36"/>
      <c r="U279" s="37"/>
      <c r="V279" s="36"/>
      <c r="W279" s="37"/>
      <c r="X279" s="36"/>
      <c r="Y279" s="37"/>
      <c r="Z279" s="36"/>
      <c r="AA279" s="37"/>
      <c r="AB279" s="36"/>
      <c r="AC279" s="37"/>
      <c r="AD279" s="36"/>
      <c r="AE279" s="37"/>
      <c r="AF279" s="36"/>
    </row>
    <row r="280" spans="1:32" x14ac:dyDescent="0.25">
      <c r="A280" s="37"/>
      <c r="B280" s="36"/>
      <c r="C280" s="37"/>
      <c r="D280" s="36"/>
      <c r="E280" s="37"/>
      <c r="F280" s="36"/>
      <c r="G280" s="37"/>
      <c r="H280" s="36"/>
      <c r="I280" s="37"/>
      <c r="J280" s="36"/>
      <c r="K280" s="37"/>
      <c r="L280" s="36"/>
      <c r="M280" s="37"/>
      <c r="N280" s="36"/>
      <c r="O280" s="37"/>
      <c r="P280" s="36"/>
      <c r="Q280" s="37"/>
      <c r="R280" s="36"/>
      <c r="S280" s="37"/>
      <c r="T280" s="36"/>
      <c r="U280" s="37"/>
      <c r="V280" s="36"/>
      <c r="W280" s="37"/>
      <c r="X280" s="36"/>
      <c r="Y280" s="37"/>
      <c r="Z280" s="36"/>
      <c r="AA280" s="37"/>
      <c r="AB280" s="36"/>
      <c r="AC280" s="37"/>
      <c r="AD280" s="36"/>
      <c r="AE280" s="37"/>
      <c r="AF280" s="36"/>
    </row>
    <row r="281" spans="1:32" x14ac:dyDescent="0.25">
      <c r="A281" s="37"/>
      <c r="B281" s="36"/>
      <c r="C281" s="37"/>
      <c r="D281" s="36"/>
      <c r="E281" s="37"/>
      <c r="F281" s="36"/>
      <c r="G281" s="37"/>
      <c r="H281" s="36"/>
      <c r="I281" s="37"/>
      <c r="J281" s="36"/>
      <c r="K281" s="37"/>
      <c r="L281" s="36"/>
      <c r="M281" s="37"/>
      <c r="N281" s="36"/>
      <c r="O281" s="37"/>
      <c r="P281" s="36"/>
      <c r="Q281" s="37"/>
      <c r="R281" s="36"/>
      <c r="S281" s="37"/>
      <c r="T281" s="36"/>
      <c r="U281" s="37"/>
      <c r="V281" s="36"/>
      <c r="W281" s="37"/>
      <c r="X281" s="36"/>
      <c r="Y281" s="37"/>
      <c r="Z281" s="36"/>
      <c r="AA281" s="37"/>
      <c r="AB281" s="36"/>
      <c r="AC281" s="37"/>
      <c r="AD281" s="36"/>
      <c r="AE281" s="37"/>
      <c r="AF281" s="36"/>
    </row>
    <row r="282" spans="1:32" x14ac:dyDescent="0.25">
      <c r="A282" s="37"/>
      <c r="B282" s="36"/>
      <c r="C282" s="37"/>
      <c r="D282" s="36"/>
      <c r="E282" s="37"/>
      <c r="F282" s="36"/>
      <c r="G282" s="37"/>
      <c r="H282" s="36"/>
      <c r="I282" s="37"/>
      <c r="J282" s="36"/>
      <c r="K282" s="37"/>
      <c r="L282" s="36"/>
      <c r="M282" s="37"/>
      <c r="N282" s="36"/>
      <c r="O282" s="37"/>
      <c r="P282" s="36"/>
      <c r="Q282" s="37"/>
      <c r="R282" s="36"/>
      <c r="S282" s="37"/>
      <c r="T282" s="36"/>
      <c r="U282" s="37"/>
      <c r="V282" s="36"/>
      <c r="W282" s="37"/>
      <c r="X282" s="36"/>
      <c r="Y282" s="37"/>
      <c r="Z282" s="36"/>
      <c r="AA282" s="37"/>
      <c r="AB282" s="36"/>
      <c r="AC282" s="37"/>
      <c r="AD282" s="36"/>
      <c r="AE282" s="37"/>
      <c r="AF282" s="36"/>
    </row>
    <row r="283" spans="1:32" x14ac:dyDescent="0.25">
      <c r="A283" s="37"/>
      <c r="B283" s="36"/>
      <c r="C283" s="37"/>
      <c r="D283" s="36"/>
      <c r="E283" s="37"/>
      <c r="F283" s="36"/>
      <c r="G283" s="37"/>
      <c r="H283" s="36"/>
      <c r="I283" s="37"/>
      <c r="J283" s="36"/>
      <c r="K283" s="37"/>
      <c r="L283" s="36"/>
      <c r="M283" s="37"/>
      <c r="N283" s="36"/>
      <c r="O283" s="37"/>
      <c r="P283" s="36"/>
      <c r="Q283" s="37"/>
      <c r="R283" s="36"/>
      <c r="S283" s="37"/>
      <c r="T283" s="36"/>
      <c r="U283" s="37"/>
      <c r="V283" s="36"/>
      <c r="W283" s="37"/>
      <c r="X283" s="36"/>
      <c r="Y283" s="37"/>
      <c r="Z283" s="36"/>
      <c r="AA283" s="37"/>
      <c r="AB283" s="36"/>
      <c r="AC283" s="37"/>
      <c r="AD283" s="36"/>
      <c r="AE283" s="37"/>
      <c r="AF283" s="36"/>
    </row>
    <row r="284" spans="1:32" x14ac:dyDescent="0.25">
      <c r="A284" s="37"/>
      <c r="B284" s="36"/>
      <c r="C284" s="37"/>
      <c r="D284" s="36"/>
      <c r="E284" s="37"/>
      <c r="F284" s="36"/>
      <c r="G284" s="37"/>
      <c r="H284" s="36"/>
      <c r="I284" s="37"/>
      <c r="J284" s="36"/>
      <c r="K284" s="37"/>
      <c r="L284" s="36"/>
      <c r="M284" s="37"/>
      <c r="N284" s="36"/>
      <c r="O284" s="37"/>
      <c r="P284" s="36"/>
      <c r="Q284" s="37"/>
      <c r="R284" s="36"/>
      <c r="S284" s="37"/>
      <c r="T284" s="36"/>
      <c r="U284" s="37"/>
      <c r="V284" s="36"/>
      <c r="W284" s="37"/>
      <c r="X284" s="36"/>
      <c r="Y284" s="37"/>
      <c r="Z284" s="36"/>
      <c r="AA284" s="37"/>
      <c r="AB284" s="36"/>
      <c r="AC284" s="37"/>
      <c r="AD284" s="36"/>
      <c r="AE284" s="37"/>
      <c r="AF284" s="36"/>
    </row>
    <row r="285" spans="1:32" x14ac:dyDescent="0.25">
      <c r="A285" s="37"/>
      <c r="B285" s="36"/>
      <c r="C285" s="37"/>
      <c r="D285" s="36"/>
      <c r="E285" s="37"/>
      <c r="F285" s="36"/>
      <c r="G285" s="37"/>
      <c r="H285" s="36"/>
      <c r="I285" s="37"/>
      <c r="J285" s="36"/>
      <c r="K285" s="37"/>
      <c r="L285" s="36"/>
      <c r="M285" s="37"/>
      <c r="N285" s="36"/>
      <c r="O285" s="37"/>
      <c r="P285" s="36"/>
      <c r="Q285" s="37"/>
      <c r="R285" s="36"/>
      <c r="S285" s="37"/>
      <c r="T285" s="36"/>
      <c r="U285" s="37"/>
      <c r="V285" s="36"/>
      <c r="W285" s="37"/>
      <c r="X285" s="36"/>
      <c r="Y285" s="37"/>
      <c r="Z285" s="36"/>
      <c r="AA285" s="37"/>
      <c r="AB285" s="36"/>
      <c r="AC285" s="37"/>
      <c r="AD285" s="36"/>
      <c r="AE285" s="37"/>
      <c r="AF285" s="36"/>
    </row>
    <row r="286" spans="1:32" x14ac:dyDescent="0.25">
      <c r="A286" s="37"/>
      <c r="B286" s="36"/>
      <c r="C286" s="37"/>
      <c r="D286" s="36"/>
      <c r="E286" s="37"/>
      <c r="F286" s="36"/>
      <c r="G286" s="37"/>
      <c r="H286" s="36"/>
      <c r="I286" s="37"/>
      <c r="J286" s="36"/>
      <c r="K286" s="37"/>
      <c r="L286" s="36"/>
      <c r="M286" s="37"/>
      <c r="N286" s="36"/>
      <c r="O286" s="37"/>
      <c r="P286" s="36"/>
      <c r="Q286" s="37"/>
      <c r="R286" s="36"/>
      <c r="S286" s="37"/>
      <c r="T286" s="36"/>
      <c r="U286" s="37"/>
      <c r="V286" s="36"/>
      <c r="W286" s="37"/>
      <c r="X286" s="36"/>
      <c r="Y286" s="37"/>
      <c r="Z286" s="36"/>
      <c r="AA286" s="37"/>
      <c r="AB286" s="36"/>
      <c r="AC286" s="37"/>
      <c r="AD286" s="36"/>
      <c r="AE286" s="37"/>
      <c r="AF286" s="36"/>
    </row>
    <row r="287" spans="1:32" x14ac:dyDescent="0.25">
      <c r="A287" s="37"/>
      <c r="B287" s="36"/>
      <c r="C287" s="37"/>
      <c r="D287" s="36"/>
      <c r="E287" s="37"/>
      <c r="F287" s="36"/>
      <c r="G287" s="37"/>
      <c r="H287" s="36"/>
      <c r="I287" s="37"/>
      <c r="J287" s="36"/>
      <c r="K287" s="37"/>
      <c r="L287" s="36"/>
      <c r="M287" s="37"/>
      <c r="N287" s="36"/>
      <c r="O287" s="37"/>
      <c r="P287" s="36"/>
      <c r="Q287" s="37"/>
      <c r="R287" s="36"/>
      <c r="S287" s="37"/>
      <c r="T287" s="36"/>
      <c r="U287" s="37"/>
      <c r="V287" s="36"/>
      <c r="W287" s="37"/>
      <c r="X287" s="36"/>
      <c r="Y287" s="37"/>
      <c r="Z287" s="36"/>
      <c r="AA287" s="37"/>
      <c r="AB287" s="36"/>
      <c r="AC287" s="37"/>
      <c r="AD287" s="36"/>
      <c r="AE287" s="37"/>
      <c r="AF287" s="36"/>
    </row>
    <row r="288" spans="1:32" x14ac:dyDescent="0.25">
      <c r="A288" s="37"/>
      <c r="B288" s="36"/>
      <c r="C288" s="37"/>
      <c r="D288" s="36"/>
      <c r="E288" s="37"/>
      <c r="F288" s="36"/>
      <c r="G288" s="37"/>
      <c r="H288" s="36"/>
      <c r="I288" s="37"/>
      <c r="J288" s="36"/>
      <c r="K288" s="37"/>
      <c r="L288" s="36"/>
      <c r="M288" s="37"/>
      <c r="N288" s="36"/>
      <c r="O288" s="37"/>
      <c r="P288" s="36"/>
      <c r="Q288" s="37"/>
      <c r="R288" s="36"/>
      <c r="S288" s="37"/>
      <c r="T288" s="36"/>
      <c r="U288" s="37"/>
      <c r="V288" s="36"/>
      <c r="W288" s="37"/>
      <c r="X288" s="36"/>
      <c r="Y288" s="37"/>
      <c r="Z288" s="36"/>
      <c r="AA288" s="37"/>
      <c r="AB288" s="36"/>
      <c r="AC288" s="37"/>
      <c r="AD288" s="36"/>
      <c r="AE288" s="37"/>
      <c r="AF288" s="36"/>
    </row>
    <row r="289" spans="1:32" x14ac:dyDescent="0.25">
      <c r="A289" s="37"/>
      <c r="B289" s="36"/>
      <c r="C289" s="37"/>
      <c r="D289" s="36"/>
      <c r="E289" s="37"/>
      <c r="F289" s="36"/>
      <c r="G289" s="37"/>
      <c r="H289" s="36"/>
      <c r="I289" s="37"/>
      <c r="J289" s="36"/>
      <c r="K289" s="37"/>
      <c r="L289" s="36"/>
      <c r="M289" s="37"/>
      <c r="N289" s="36"/>
      <c r="O289" s="37"/>
      <c r="P289" s="36"/>
      <c r="Q289" s="37"/>
      <c r="R289" s="36"/>
      <c r="S289" s="37"/>
      <c r="T289" s="36"/>
      <c r="U289" s="37"/>
      <c r="V289" s="36"/>
      <c r="W289" s="37"/>
      <c r="X289" s="36"/>
      <c r="Y289" s="37"/>
      <c r="Z289" s="36"/>
      <c r="AA289" s="37"/>
      <c r="AB289" s="36"/>
      <c r="AC289" s="37"/>
      <c r="AD289" s="36"/>
      <c r="AE289" s="37"/>
      <c r="AF289" s="36"/>
    </row>
    <row r="290" spans="1:32" x14ac:dyDescent="0.25">
      <c r="A290" s="37"/>
      <c r="B290" s="36"/>
      <c r="C290" s="37"/>
      <c r="D290" s="36"/>
      <c r="E290" s="37"/>
      <c r="F290" s="36"/>
      <c r="G290" s="37"/>
      <c r="H290" s="36"/>
      <c r="I290" s="37"/>
      <c r="J290" s="36"/>
      <c r="K290" s="37"/>
      <c r="L290" s="36"/>
      <c r="M290" s="37"/>
      <c r="N290" s="36"/>
      <c r="O290" s="37"/>
      <c r="P290" s="36"/>
      <c r="Q290" s="37"/>
      <c r="R290" s="36"/>
      <c r="S290" s="37"/>
      <c r="T290" s="36"/>
      <c r="U290" s="37"/>
      <c r="V290" s="36"/>
      <c r="W290" s="37"/>
      <c r="X290" s="36"/>
      <c r="Y290" s="37"/>
      <c r="Z290" s="36"/>
      <c r="AA290" s="37"/>
      <c r="AB290" s="36"/>
      <c r="AC290" s="37"/>
      <c r="AD290" s="36"/>
      <c r="AE290" s="37"/>
      <c r="AF290" s="36"/>
    </row>
    <row r="291" spans="1:32" x14ac:dyDescent="0.25">
      <c r="A291" s="37"/>
      <c r="B291" s="36"/>
      <c r="C291" s="37"/>
      <c r="D291" s="36"/>
      <c r="E291" s="37"/>
      <c r="F291" s="36"/>
      <c r="G291" s="37"/>
      <c r="H291" s="36"/>
      <c r="I291" s="37"/>
      <c r="J291" s="36"/>
      <c r="K291" s="37"/>
      <c r="L291" s="36"/>
      <c r="M291" s="37"/>
      <c r="N291" s="36"/>
      <c r="O291" s="37"/>
      <c r="P291" s="36"/>
      <c r="Q291" s="37"/>
      <c r="R291" s="36"/>
      <c r="S291" s="37"/>
      <c r="T291" s="36"/>
      <c r="U291" s="37"/>
      <c r="V291" s="36"/>
      <c r="W291" s="37"/>
      <c r="X291" s="36"/>
      <c r="Y291" s="37"/>
      <c r="Z291" s="36"/>
      <c r="AA291" s="37"/>
      <c r="AB291" s="36"/>
      <c r="AC291" s="37"/>
      <c r="AD291" s="36"/>
      <c r="AE291" s="37"/>
      <c r="AF291" s="36"/>
    </row>
    <row r="292" spans="1:32" x14ac:dyDescent="0.25">
      <c r="A292" s="37"/>
      <c r="B292" s="36"/>
      <c r="C292" s="37"/>
      <c r="D292" s="36"/>
      <c r="E292" s="37"/>
      <c r="F292" s="36"/>
      <c r="G292" s="37"/>
      <c r="H292" s="36"/>
      <c r="I292" s="37"/>
      <c r="J292" s="36"/>
      <c r="K292" s="37"/>
      <c r="L292" s="36"/>
      <c r="M292" s="37"/>
      <c r="N292" s="36"/>
      <c r="O292" s="37"/>
      <c r="P292" s="36"/>
      <c r="Q292" s="37"/>
      <c r="R292" s="36"/>
      <c r="S292" s="37"/>
      <c r="T292" s="36"/>
      <c r="U292" s="37"/>
      <c r="V292" s="36"/>
      <c r="W292" s="37"/>
      <c r="X292" s="36"/>
      <c r="Y292" s="37"/>
      <c r="Z292" s="36"/>
      <c r="AA292" s="37"/>
      <c r="AB292" s="36"/>
      <c r="AC292" s="37"/>
      <c r="AD292" s="36"/>
      <c r="AE292" s="37"/>
      <c r="AF292" s="36"/>
    </row>
    <row r="293" spans="1:32" x14ac:dyDescent="0.25">
      <c r="A293" s="37"/>
      <c r="B293" s="36"/>
      <c r="C293" s="37"/>
      <c r="D293" s="36"/>
      <c r="E293" s="37"/>
      <c r="F293" s="36"/>
      <c r="G293" s="37"/>
      <c r="H293" s="36"/>
      <c r="I293" s="37"/>
      <c r="J293" s="36"/>
      <c r="K293" s="37"/>
      <c r="L293" s="36"/>
      <c r="M293" s="37"/>
      <c r="N293" s="36"/>
      <c r="O293" s="37"/>
      <c r="P293" s="36"/>
      <c r="Q293" s="37"/>
      <c r="R293" s="36"/>
      <c r="S293" s="37"/>
      <c r="T293" s="36"/>
      <c r="U293" s="37"/>
      <c r="V293" s="36"/>
      <c r="W293" s="37"/>
      <c r="X293" s="36"/>
      <c r="Y293" s="37"/>
      <c r="Z293" s="36"/>
      <c r="AA293" s="37"/>
      <c r="AB293" s="36"/>
      <c r="AC293" s="37"/>
      <c r="AD293" s="36"/>
      <c r="AE293" s="37"/>
      <c r="AF293" s="36"/>
    </row>
    <row r="294" spans="1:32" x14ac:dyDescent="0.25">
      <c r="A294" s="37"/>
      <c r="B294" s="36"/>
      <c r="C294" s="37"/>
      <c r="D294" s="36"/>
      <c r="E294" s="37"/>
      <c r="F294" s="36"/>
      <c r="G294" s="37"/>
      <c r="H294" s="36"/>
      <c r="I294" s="37"/>
      <c r="J294" s="36"/>
      <c r="K294" s="37"/>
      <c r="L294" s="36"/>
      <c r="M294" s="37"/>
      <c r="N294" s="36"/>
      <c r="O294" s="37"/>
      <c r="P294" s="36"/>
      <c r="Q294" s="37"/>
      <c r="R294" s="36"/>
      <c r="S294" s="37"/>
      <c r="T294" s="36"/>
      <c r="U294" s="37"/>
      <c r="V294" s="36"/>
      <c r="W294" s="37"/>
      <c r="X294" s="36"/>
      <c r="Y294" s="37"/>
      <c r="Z294" s="36"/>
      <c r="AA294" s="37"/>
      <c r="AB294" s="36"/>
      <c r="AC294" s="37"/>
      <c r="AD294" s="36"/>
      <c r="AE294" s="37"/>
      <c r="AF294" s="36"/>
    </row>
    <row r="295" spans="1:32" x14ac:dyDescent="0.25">
      <c r="A295" s="37"/>
      <c r="B295" s="36"/>
      <c r="C295" s="37"/>
      <c r="D295" s="36"/>
      <c r="E295" s="37"/>
      <c r="F295" s="36"/>
      <c r="G295" s="37"/>
      <c r="H295" s="36"/>
      <c r="I295" s="37"/>
      <c r="J295" s="36"/>
      <c r="K295" s="37"/>
      <c r="L295" s="36"/>
      <c r="M295" s="37"/>
      <c r="N295" s="36"/>
      <c r="O295" s="37"/>
      <c r="P295" s="36"/>
      <c r="Q295" s="37"/>
      <c r="R295" s="36"/>
      <c r="S295" s="37"/>
      <c r="T295" s="36"/>
      <c r="U295" s="37"/>
      <c r="V295" s="36"/>
      <c r="W295" s="37"/>
      <c r="X295" s="36"/>
      <c r="Y295" s="37"/>
      <c r="Z295" s="36"/>
      <c r="AA295" s="37"/>
      <c r="AB295" s="36"/>
      <c r="AC295" s="37"/>
      <c r="AD295" s="36"/>
      <c r="AE295" s="37"/>
      <c r="AF295" s="36"/>
    </row>
    <row r="296" spans="1:32" x14ac:dyDescent="0.25">
      <c r="A296" s="37"/>
      <c r="B296" s="36"/>
      <c r="C296" s="37"/>
      <c r="D296" s="36"/>
      <c r="E296" s="37"/>
      <c r="F296" s="36"/>
      <c r="G296" s="37"/>
      <c r="H296" s="36"/>
      <c r="I296" s="37"/>
      <c r="J296" s="36"/>
      <c r="K296" s="37"/>
      <c r="L296" s="36"/>
      <c r="M296" s="37"/>
      <c r="N296" s="36"/>
      <c r="O296" s="37"/>
      <c r="P296" s="36"/>
      <c r="Q296" s="37"/>
      <c r="R296" s="36"/>
      <c r="S296" s="37"/>
      <c r="T296" s="36"/>
      <c r="U296" s="37"/>
      <c r="V296" s="36"/>
      <c r="W296" s="37"/>
      <c r="X296" s="36"/>
      <c r="Y296" s="37"/>
      <c r="Z296" s="36"/>
      <c r="AA296" s="37"/>
      <c r="AB296" s="36"/>
      <c r="AC296" s="37"/>
      <c r="AD296" s="36"/>
      <c r="AE296" s="37"/>
      <c r="AF296" s="36"/>
    </row>
    <row r="297" spans="1:32" x14ac:dyDescent="0.25">
      <c r="A297" s="37"/>
      <c r="B297" s="36"/>
      <c r="C297" s="37"/>
      <c r="D297" s="36"/>
      <c r="E297" s="37"/>
      <c r="F297" s="36"/>
      <c r="G297" s="37"/>
      <c r="H297" s="36"/>
      <c r="I297" s="37"/>
      <c r="J297" s="36"/>
      <c r="K297" s="37"/>
      <c r="L297" s="36"/>
      <c r="M297" s="37"/>
      <c r="N297" s="36"/>
      <c r="O297" s="37"/>
      <c r="P297" s="36"/>
      <c r="Q297" s="37"/>
      <c r="R297" s="36"/>
      <c r="S297" s="37"/>
      <c r="T297" s="36"/>
      <c r="U297" s="37"/>
      <c r="V297" s="36"/>
      <c r="W297" s="37"/>
      <c r="X297" s="36"/>
      <c r="Y297" s="37"/>
      <c r="Z297" s="36"/>
      <c r="AA297" s="37"/>
      <c r="AB297" s="36"/>
      <c r="AC297" s="37"/>
      <c r="AD297" s="36"/>
      <c r="AE297" s="37"/>
      <c r="AF297" s="36"/>
    </row>
    <row r="298" spans="1:32" x14ac:dyDescent="0.25">
      <c r="A298" s="37"/>
      <c r="B298" s="36"/>
      <c r="C298" s="37"/>
      <c r="D298" s="36"/>
      <c r="E298" s="37"/>
      <c r="F298" s="36"/>
      <c r="G298" s="37"/>
      <c r="H298" s="36"/>
      <c r="I298" s="37"/>
      <c r="J298" s="36"/>
      <c r="K298" s="37"/>
      <c r="L298" s="36"/>
      <c r="M298" s="37"/>
      <c r="N298" s="36"/>
      <c r="O298" s="37"/>
      <c r="P298" s="36"/>
      <c r="Q298" s="37"/>
      <c r="R298" s="36"/>
      <c r="S298" s="37"/>
      <c r="T298" s="36"/>
      <c r="U298" s="37"/>
      <c r="V298" s="36"/>
      <c r="W298" s="37"/>
      <c r="X298" s="36"/>
      <c r="Y298" s="37"/>
      <c r="Z298" s="36"/>
      <c r="AA298" s="37"/>
      <c r="AB298" s="36"/>
      <c r="AC298" s="37"/>
      <c r="AD298" s="36"/>
      <c r="AE298" s="37"/>
      <c r="AF298" s="36"/>
    </row>
    <row r="299" spans="1:32" x14ac:dyDescent="0.25">
      <c r="A299" s="37"/>
      <c r="B299" s="36"/>
      <c r="C299" s="37"/>
      <c r="D299" s="36"/>
      <c r="E299" s="37"/>
      <c r="F299" s="36"/>
      <c r="G299" s="37"/>
      <c r="H299" s="36"/>
      <c r="I299" s="37"/>
      <c r="J299" s="36"/>
      <c r="K299" s="37"/>
      <c r="L299" s="36"/>
      <c r="M299" s="37"/>
      <c r="N299" s="36"/>
      <c r="O299" s="37"/>
      <c r="P299" s="36"/>
      <c r="Q299" s="37"/>
      <c r="R299" s="36"/>
      <c r="S299" s="37"/>
      <c r="T299" s="36"/>
      <c r="U299" s="37"/>
      <c r="V299" s="36"/>
      <c r="W299" s="37"/>
      <c r="X299" s="36"/>
      <c r="Y299" s="37"/>
      <c r="Z299" s="36"/>
      <c r="AA299" s="37"/>
      <c r="AB299" s="36"/>
      <c r="AC299" s="37"/>
      <c r="AD299" s="36"/>
      <c r="AE299" s="37"/>
      <c r="AF299" s="36"/>
    </row>
    <row r="300" spans="1:32" x14ac:dyDescent="0.25">
      <c r="A300" s="37"/>
      <c r="B300" s="36"/>
      <c r="C300" s="37"/>
      <c r="D300" s="36"/>
      <c r="E300" s="37"/>
      <c r="F300" s="36"/>
      <c r="G300" s="37"/>
      <c r="H300" s="36"/>
      <c r="I300" s="37"/>
      <c r="J300" s="36"/>
      <c r="K300" s="37"/>
      <c r="L300" s="36"/>
      <c r="M300" s="37"/>
      <c r="N300" s="36"/>
      <c r="O300" s="37"/>
      <c r="P300" s="36"/>
      <c r="Q300" s="37"/>
      <c r="R300" s="36"/>
      <c r="S300" s="37"/>
      <c r="T300" s="36"/>
      <c r="U300" s="37"/>
      <c r="V300" s="36"/>
      <c r="W300" s="37"/>
      <c r="X300" s="36"/>
      <c r="Y300" s="37"/>
      <c r="Z300" s="36"/>
      <c r="AA300" s="37"/>
      <c r="AB300" s="36"/>
      <c r="AC300" s="37"/>
      <c r="AD300" s="36"/>
      <c r="AE300" s="37"/>
      <c r="AF300" s="36"/>
    </row>
    <row r="301" spans="1:32" x14ac:dyDescent="0.25">
      <c r="A301" s="2"/>
      <c r="C301" s="2"/>
      <c r="E301" s="2"/>
      <c r="G301" s="2"/>
      <c r="I301" s="2"/>
      <c r="K301" s="2"/>
      <c r="M301" s="2"/>
      <c r="O301" s="2"/>
      <c r="Q301" s="2"/>
      <c r="S301" s="2"/>
      <c r="U301" s="2"/>
      <c r="W301" s="2"/>
      <c r="Y301" s="2"/>
      <c r="AA301" s="2"/>
      <c r="AC301" s="2"/>
      <c r="AE301" s="2"/>
    </row>
    <row r="302" spans="1:32" x14ac:dyDescent="0.25">
      <c r="A302" s="2"/>
      <c r="C302" s="2"/>
      <c r="E302" s="2"/>
      <c r="G302" s="2"/>
      <c r="I302" s="2"/>
      <c r="K302" s="2"/>
      <c r="M302" s="2"/>
      <c r="O302" s="2"/>
      <c r="Q302" s="2"/>
      <c r="S302" s="2"/>
      <c r="U302" s="2"/>
      <c r="W302" s="2"/>
      <c r="Y302" s="2"/>
      <c r="AA302" s="2"/>
      <c r="AC302" s="2"/>
      <c r="AE302" s="2"/>
    </row>
    <row r="303" spans="1:32" x14ac:dyDescent="0.25">
      <c r="A303" s="2"/>
      <c r="C303" s="2"/>
      <c r="E303" s="2"/>
      <c r="G303" s="2"/>
      <c r="I303" s="2"/>
      <c r="K303" s="2"/>
      <c r="M303" s="2"/>
      <c r="O303" s="2"/>
      <c r="Q303" s="2"/>
      <c r="S303" s="2"/>
      <c r="U303" s="2"/>
      <c r="W303" s="2"/>
      <c r="Y303" s="2"/>
      <c r="AA303" s="2"/>
      <c r="AC303" s="2"/>
      <c r="AE303" s="2"/>
    </row>
    <row r="304" spans="1:32" x14ac:dyDescent="0.25">
      <c r="A304" s="2"/>
      <c r="C304" s="2"/>
      <c r="E304" s="2"/>
      <c r="G304" s="2"/>
      <c r="I304" s="2"/>
      <c r="K304" s="2"/>
      <c r="M304" s="2"/>
      <c r="O304" s="2"/>
      <c r="Q304" s="2"/>
      <c r="S304" s="2"/>
      <c r="U304" s="2"/>
      <c r="W304" s="2"/>
      <c r="Y304" s="2"/>
      <c r="AA304" s="2"/>
      <c r="AC304" s="2"/>
      <c r="AE304" s="2"/>
    </row>
    <row r="305" spans="1:31" x14ac:dyDescent="0.25">
      <c r="A305" s="2"/>
      <c r="C305" s="2"/>
      <c r="E305" s="2"/>
      <c r="G305" s="2"/>
      <c r="I305" s="2"/>
      <c r="K305" s="2"/>
      <c r="M305" s="2"/>
      <c r="O305" s="2"/>
      <c r="Q305" s="2"/>
      <c r="S305" s="2"/>
      <c r="U305" s="2"/>
      <c r="W305" s="2"/>
      <c r="Y305" s="2"/>
      <c r="AA305" s="2"/>
      <c r="AC305" s="2"/>
      <c r="AE305" s="2"/>
    </row>
    <row r="306" spans="1:31" x14ac:dyDescent="0.25">
      <c r="A306" s="2"/>
      <c r="C306" s="2"/>
      <c r="E306" s="2"/>
      <c r="G306" s="2"/>
      <c r="I306" s="2"/>
      <c r="K306" s="2"/>
      <c r="M306" s="2"/>
      <c r="O306" s="2"/>
      <c r="Q306" s="2"/>
      <c r="S306" s="2"/>
      <c r="U306" s="2"/>
      <c r="W306" s="2"/>
      <c r="Y306" s="2"/>
      <c r="AA306" s="2"/>
      <c r="AC306" s="2"/>
      <c r="AE306" s="2"/>
    </row>
    <row r="307" spans="1:31" x14ac:dyDescent="0.25">
      <c r="A307" s="2"/>
      <c r="C307" s="2"/>
      <c r="E307" s="2"/>
      <c r="G307" s="2"/>
      <c r="I307" s="2"/>
      <c r="K307" s="2"/>
      <c r="M307" s="2"/>
      <c r="O307" s="2"/>
      <c r="Q307" s="2"/>
      <c r="S307" s="2"/>
      <c r="U307" s="2"/>
      <c r="W307" s="2"/>
      <c r="Y307" s="2"/>
      <c r="AA307" s="2"/>
      <c r="AC307" s="2"/>
      <c r="AE307" s="2"/>
    </row>
    <row r="308" spans="1:31" x14ac:dyDescent="0.25">
      <c r="A308" s="2"/>
      <c r="C308" s="2"/>
      <c r="E308" s="2"/>
      <c r="G308" s="2"/>
      <c r="I308" s="2"/>
      <c r="K308" s="2"/>
      <c r="M308" s="2"/>
      <c r="O308" s="2"/>
      <c r="Q308" s="2"/>
      <c r="S308" s="2"/>
      <c r="U308" s="2"/>
      <c r="W308" s="2"/>
      <c r="Y308" s="2"/>
      <c r="AA308" s="2"/>
      <c r="AC308" s="2"/>
      <c r="AE308" s="2"/>
    </row>
    <row r="309" spans="1:31" x14ac:dyDescent="0.25">
      <c r="A309" s="2"/>
      <c r="C309" s="2"/>
      <c r="E309" s="2"/>
      <c r="G309" s="2"/>
      <c r="I309" s="2"/>
      <c r="K309" s="2"/>
      <c r="M309" s="2"/>
      <c r="O309" s="2"/>
      <c r="Q309" s="2"/>
      <c r="S309" s="2"/>
      <c r="U309" s="2"/>
      <c r="W309" s="2"/>
      <c r="Y309" s="2"/>
      <c r="AA309" s="2"/>
      <c r="AC309" s="2"/>
      <c r="AE309" s="2"/>
    </row>
    <row r="310" spans="1:31" x14ac:dyDescent="0.25">
      <c r="A310" s="2"/>
      <c r="C310" s="2"/>
      <c r="E310" s="2"/>
      <c r="G310" s="2"/>
      <c r="I310" s="2"/>
      <c r="K310" s="2"/>
      <c r="M310" s="2"/>
      <c r="O310" s="2"/>
      <c r="Q310" s="2"/>
      <c r="S310" s="2"/>
      <c r="U310" s="2"/>
      <c r="W310" s="2"/>
      <c r="Y310" s="2"/>
      <c r="AA310" s="2"/>
      <c r="AC310" s="2"/>
      <c r="AE310" s="2"/>
    </row>
    <row r="311" spans="1:31" x14ac:dyDescent="0.25">
      <c r="A311" s="2"/>
      <c r="C311" s="2"/>
      <c r="E311" s="2"/>
      <c r="G311" s="2"/>
      <c r="I311" s="2"/>
      <c r="K311" s="2"/>
      <c r="M311" s="2"/>
      <c r="O311" s="2"/>
      <c r="Q311" s="2"/>
      <c r="S311" s="2"/>
      <c r="U311" s="2"/>
      <c r="W311" s="2"/>
      <c r="Y311" s="2"/>
      <c r="AA311" s="2"/>
      <c r="AC311" s="2"/>
      <c r="AE311" s="2"/>
    </row>
    <row r="312" spans="1:31" x14ac:dyDescent="0.25">
      <c r="A312" s="2"/>
      <c r="C312" s="2"/>
      <c r="E312" s="2"/>
      <c r="G312" s="2"/>
      <c r="I312" s="2"/>
      <c r="K312" s="2"/>
      <c r="M312" s="2"/>
      <c r="O312" s="2"/>
      <c r="Q312" s="2"/>
      <c r="S312" s="2"/>
      <c r="U312" s="2"/>
      <c r="W312" s="2"/>
      <c r="Y312" s="2"/>
      <c r="AA312" s="2"/>
      <c r="AC312" s="2"/>
      <c r="AE312" s="2"/>
    </row>
    <row r="313" spans="1:31" x14ac:dyDescent="0.25">
      <c r="A313" s="2"/>
      <c r="C313" s="2"/>
      <c r="E313" s="2"/>
      <c r="G313" s="2"/>
      <c r="I313" s="2"/>
      <c r="K313" s="2"/>
      <c r="M313" s="2"/>
      <c r="O313" s="2"/>
      <c r="Q313" s="2"/>
      <c r="S313" s="2"/>
      <c r="U313" s="2"/>
      <c r="W313" s="2"/>
      <c r="Y313" s="2"/>
      <c r="AA313" s="2"/>
      <c r="AC313" s="2"/>
      <c r="AE313" s="2"/>
    </row>
    <row r="314" spans="1:31" x14ac:dyDescent="0.25">
      <c r="A314" s="2"/>
      <c r="C314" s="2"/>
      <c r="E314" s="2"/>
      <c r="G314" s="2"/>
      <c r="I314" s="2"/>
      <c r="K314" s="2"/>
      <c r="M314" s="2"/>
      <c r="O314" s="2"/>
      <c r="Q314" s="2"/>
      <c r="S314" s="2"/>
      <c r="U314" s="2"/>
      <c r="W314" s="2"/>
      <c r="Y314" s="2"/>
      <c r="AA314" s="2"/>
      <c r="AC314" s="2"/>
      <c r="AE314" s="2"/>
    </row>
    <row r="315" spans="1:31" x14ac:dyDescent="0.25">
      <c r="A315" s="2"/>
      <c r="C315" s="2"/>
      <c r="E315" s="2"/>
      <c r="G315" s="2"/>
      <c r="I315" s="2"/>
      <c r="K315" s="2"/>
      <c r="M315" s="2"/>
      <c r="O315" s="2"/>
      <c r="Q315" s="2"/>
      <c r="S315" s="2"/>
      <c r="U315" s="2"/>
      <c r="W315" s="2"/>
      <c r="Y315" s="2"/>
      <c r="AA315" s="2"/>
      <c r="AC315" s="2"/>
      <c r="AE315" s="2"/>
    </row>
    <row r="316" spans="1:31" x14ac:dyDescent="0.25">
      <c r="A316" s="2"/>
      <c r="C316" s="2"/>
      <c r="E316" s="2"/>
      <c r="G316" s="2"/>
      <c r="I316" s="2"/>
      <c r="K316" s="2"/>
      <c r="M316" s="2"/>
      <c r="O316" s="2"/>
      <c r="Q316" s="2"/>
      <c r="S316" s="2"/>
      <c r="U316" s="2"/>
      <c r="W316" s="2"/>
      <c r="Y316" s="2"/>
      <c r="AA316" s="2"/>
      <c r="AC316" s="2"/>
      <c r="AE316" s="2"/>
    </row>
    <row r="317" spans="1:31" x14ac:dyDescent="0.25">
      <c r="A317" s="2"/>
      <c r="C317" s="2"/>
      <c r="E317" s="2"/>
      <c r="G317" s="2"/>
      <c r="I317" s="2"/>
      <c r="K317" s="2"/>
      <c r="M317" s="2"/>
      <c r="O317" s="2"/>
      <c r="Q317" s="2"/>
      <c r="S317" s="2"/>
      <c r="U317" s="2"/>
      <c r="W317" s="2"/>
      <c r="Y317" s="2"/>
      <c r="AA317" s="2"/>
      <c r="AC317" s="2"/>
      <c r="AE317" s="2"/>
    </row>
    <row r="318" spans="1:31" x14ac:dyDescent="0.25">
      <c r="A318" s="2"/>
      <c r="C318" s="2"/>
      <c r="E318" s="2"/>
      <c r="G318" s="2"/>
      <c r="I318" s="2"/>
      <c r="K318" s="2"/>
      <c r="M318" s="2"/>
      <c r="O318" s="2"/>
      <c r="Q318" s="2"/>
      <c r="S318" s="2"/>
      <c r="U318" s="2"/>
      <c r="W318" s="2"/>
      <c r="Y318" s="2"/>
      <c r="AA318" s="2"/>
      <c r="AC318" s="2"/>
      <c r="AE318" s="2"/>
    </row>
    <row r="319" spans="1:31" x14ac:dyDescent="0.25">
      <c r="A319" s="2"/>
      <c r="C319" s="2"/>
      <c r="E319" s="2"/>
      <c r="G319" s="2"/>
      <c r="I319" s="2"/>
      <c r="K319" s="2"/>
      <c r="M319" s="2"/>
      <c r="O319" s="2"/>
      <c r="Q319" s="2"/>
      <c r="S319" s="2"/>
      <c r="U319" s="2"/>
      <c r="W319" s="2"/>
      <c r="Y319" s="2"/>
      <c r="AA319" s="2"/>
      <c r="AC319" s="2"/>
      <c r="AE319" s="2"/>
    </row>
    <row r="320" spans="1:31" x14ac:dyDescent="0.25">
      <c r="A320" s="2"/>
      <c r="C320" s="2"/>
      <c r="E320" s="2"/>
      <c r="G320" s="2"/>
      <c r="I320" s="2"/>
      <c r="K320" s="2"/>
      <c r="M320" s="2"/>
      <c r="O320" s="2"/>
      <c r="Q320" s="2"/>
      <c r="S320" s="2"/>
      <c r="U320" s="2"/>
      <c r="W320" s="2"/>
      <c r="Y320" s="2"/>
      <c r="AA320" s="2"/>
      <c r="AC320" s="2"/>
      <c r="AE320" s="2"/>
    </row>
    <row r="321" spans="1:31" x14ac:dyDescent="0.25">
      <c r="A321" s="2"/>
      <c r="C321" s="2"/>
      <c r="E321" s="2"/>
      <c r="G321" s="2"/>
      <c r="I321" s="2"/>
      <c r="K321" s="2"/>
      <c r="M321" s="2"/>
      <c r="O321" s="2"/>
      <c r="Q321" s="2"/>
      <c r="S321" s="2"/>
      <c r="U321" s="2"/>
      <c r="W321" s="2"/>
      <c r="Y321" s="2"/>
      <c r="AA321" s="2"/>
      <c r="AC321" s="2"/>
      <c r="AE321" s="2"/>
    </row>
    <row r="322" spans="1:31" x14ac:dyDescent="0.25">
      <c r="A322" s="2"/>
      <c r="C322" s="2"/>
      <c r="E322" s="2"/>
      <c r="G322" s="2"/>
      <c r="I322" s="2"/>
      <c r="K322" s="2"/>
      <c r="M322" s="2"/>
      <c r="O322" s="2"/>
      <c r="Q322" s="2"/>
      <c r="S322" s="2"/>
      <c r="U322" s="2"/>
      <c r="W322" s="2"/>
      <c r="Y322" s="2"/>
      <c r="AA322" s="2"/>
      <c r="AC322" s="2"/>
      <c r="AE322" s="2"/>
    </row>
    <row r="323" spans="1:31" x14ac:dyDescent="0.25">
      <c r="A323" s="2"/>
      <c r="C323" s="2"/>
      <c r="E323" s="2"/>
      <c r="G323" s="2"/>
      <c r="I323" s="2"/>
      <c r="K323" s="2"/>
      <c r="M323" s="2"/>
      <c r="O323" s="2"/>
      <c r="Q323" s="2"/>
      <c r="S323" s="2"/>
      <c r="U323" s="2"/>
      <c r="W323" s="2"/>
      <c r="Y323" s="2"/>
      <c r="AA323" s="2"/>
      <c r="AC323" s="2"/>
      <c r="AE323" s="2"/>
    </row>
    <row r="324" spans="1:31" x14ac:dyDescent="0.25">
      <c r="A324" s="2"/>
      <c r="C324" s="2"/>
      <c r="E324" s="2"/>
      <c r="G324" s="2"/>
      <c r="I324" s="2"/>
      <c r="K324" s="2"/>
      <c r="M324" s="2"/>
      <c r="O324" s="2"/>
      <c r="Q324" s="2"/>
      <c r="S324" s="2"/>
      <c r="U324" s="2"/>
      <c r="W324" s="2"/>
      <c r="Y324" s="2"/>
      <c r="AA324" s="2"/>
      <c r="AC324" s="2"/>
      <c r="AE324" s="2"/>
    </row>
    <row r="325" spans="1:31" x14ac:dyDescent="0.25">
      <c r="A325" s="2"/>
      <c r="C325" s="2"/>
      <c r="E325" s="2"/>
      <c r="G325" s="2"/>
      <c r="I325" s="2"/>
      <c r="K325" s="2"/>
      <c r="M325" s="2"/>
      <c r="O325" s="2"/>
      <c r="Q325" s="2"/>
      <c r="S325" s="2"/>
      <c r="U325" s="2"/>
      <c r="W325" s="2"/>
      <c r="Y325" s="2"/>
      <c r="AA325" s="2"/>
      <c r="AC325" s="2"/>
      <c r="AE325" s="2"/>
    </row>
    <row r="326" spans="1:31" x14ac:dyDescent="0.25">
      <c r="A326" s="2"/>
      <c r="C326" s="2"/>
      <c r="E326" s="2"/>
      <c r="G326" s="2"/>
      <c r="I326" s="2"/>
      <c r="K326" s="2"/>
      <c r="M326" s="2"/>
      <c r="O326" s="2"/>
      <c r="Q326" s="2"/>
      <c r="S326" s="2"/>
      <c r="U326" s="2"/>
      <c r="W326" s="2"/>
      <c r="Y326" s="2"/>
      <c r="AA326" s="2"/>
      <c r="AC326" s="2"/>
      <c r="AE326" s="2"/>
    </row>
    <row r="327" spans="1:31" x14ac:dyDescent="0.25">
      <c r="A327" s="2"/>
      <c r="C327" s="2"/>
      <c r="E327" s="2"/>
      <c r="G327" s="2"/>
      <c r="I327" s="2"/>
      <c r="K327" s="2"/>
      <c r="M327" s="2"/>
      <c r="O327" s="2"/>
      <c r="Q327" s="2"/>
      <c r="S327" s="2"/>
      <c r="U327" s="2"/>
      <c r="W327" s="2"/>
      <c r="Y327" s="2"/>
      <c r="AA327" s="2"/>
      <c r="AC327" s="2"/>
      <c r="AE327" s="2"/>
    </row>
    <row r="328" spans="1:31" x14ac:dyDescent="0.25">
      <c r="A328" s="2"/>
      <c r="C328" s="2"/>
      <c r="E328" s="2"/>
      <c r="G328" s="2"/>
      <c r="I328" s="2"/>
      <c r="K328" s="2"/>
      <c r="M328" s="2"/>
      <c r="O328" s="2"/>
      <c r="Q328" s="2"/>
      <c r="S328" s="2"/>
      <c r="U328" s="2"/>
      <c r="W328" s="2"/>
      <c r="Y328" s="2"/>
      <c r="AA328" s="2"/>
      <c r="AC328" s="2"/>
      <c r="AE328" s="2"/>
    </row>
    <row r="329" spans="1:31" x14ac:dyDescent="0.25">
      <c r="A329" s="2"/>
      <c r="C329" s="2"/>
      <c r="E329" s="2"/>
      <c r="G329" s="2"/>
      <c r="I329" s="2"/>
      <c r="K329" s="2"/>
      <c r="M329" s="2"/>
      <c r="O329" s="2"/>
      <c r="Q329" s="2"/>
      <c r="S329" s="2"/>
      <c r="U329" s="2"/>
      <c r="W329" s="2"/>
      <c r="Y329" s="2"/>
      <c r="AA329" s="2"/>
      <c r="AC329" s="2"/>
      <c r="AE329" s="2"/>
    </row>
    <row r="330" spans="1:31" x14ac:dyDescent="0.25">
      <c r="A330" s="2"/>
      <c r="C330" s="2"/>
      <c r="E330" s="2"/>
      <c r="G330" s="2"/>
      <c r="I330" s="2"/>
      <c r="K330" s="2"/>
      <c r="M330" s="2"/>
      <c r="O330" s="2"/>
      <c r="Q330" s="2"/>
      <c r="S330" s="2"/>
      <c r="U330" s="2"/>
      <c r="W330" s="2"/>
      <c r="Y330" s="2"/>
      <c r="AA330" s="2"/>
      <c r="AC330" s="2"/>
      <c r="AE330" s="2"/>
    </row>
    <row r="331" spans="1:31" x14ac:dyDescent="0.25">
      <c r="A331" s="2"/>
      <c r="C331" s="2"/>
      <c r="E331" s="2"/>
      <c r="G331" s="2"/>
      <c r="I331" s="2"/>
      <c r="K331" s="2"/>
      <c r="M331" s="2"/>
      <c r="O331" s="2"/>
      <c r="Q331" s="2"/>
      <c r="S331" s="2"/>
      <c r="U331" s="2"/>
      <c r="W331" s="2"/>
      <c r="Y331" s="2"/>
      <c r="AA331" s="2"/>
      <c r="AC331" s="2"/>
      <c r="AE331" s="2"/>
    </row>
    <row r="332" spans="1:31" x14ac:dyDescent="0.25">
      <c r="A332" s="2"/>
      <c r="C332" s="2"/>
      <c r="E332" s="2"/>
      <c r="G332" s="2"/>
      <c r="I332" s="2"/>
      <c r="K332" s="2"/>
      <c r="M332" s="2"/>
      <c r="O332" s="2"/>
      <c r="Q332" s="2"/>
      <c r="S332" s="2"/>
      <c r="U332" s="2"/>
      <c r="W332" s="2"/>
      <c r="Y332" s="2"/>
      <c r="AA332" s="2"/>
      <c r="AC332" s="2"/>
      <c r="AE332" s="2"/>
    </row>
    <row r="333" spans="1:31" x14ac:dyDescent="0.25">
      <c r="A333" s="2"/>
      <c r="C333" s="2"/>
      <c r="E333" s="2"/>
      <c r="G333" s="2"/>
      <c r="I333" s="2"/>
      <c r="K333" s="2"/>
      <c r="M333" s="2"/>
      <c r="O333" s="2"/>
      <c r="Q333" s="2"/>
      <c r="S333" s="2"/>
      <c r="U333" s="2"/>
      <c r="W333" s="2"/>
      <c r="Y333" s="2"/>
      <c r="AA333" s="2"/>
      <c r="AC333" s="2"/>
      <c r="AE333" s="2"/>
    </row>
    <row r="334" spans="1:31" x14ac:dyDescent="0.25">
      <c r="A334" s="2"/>
      <c r="C334" s="2"/>
      <c r="E334" s="2"/>
      <c r="G334" s="2"/>
      <c r="I334" s="2"/>
      <c r="K334" s="2"/>
      <c r="M334" s="2"/>
      <c r="O334" s="2"/>
      <c r="Q334" s="2"/>
      <c r="S334" s="2"/>
      <c r="U334" s="2"/>
      <c r="W334" s="2"/>
      <c r="Y334" s="2"/>
      <c r="AA334" s="2"/>
      <c r="AC334" s="2"/>
      <c r="AE334" s="2"/>
    </row>
    <row r="335" spans="1:31" x14ac:dyDescent="0.25">
      <c r="A335" s="2"/>
      <c r="C335" s="2"/>
      <c r="E335" s="2"/>
      <c r="G335" s="2"/>
      <c r="I335" s="2"/>
      <c r="K335" s="2"/>
      <c r="M335" s="2"/>
      <c r="O335" s="2"/>
      <c r="Q335" s="2"/>
      <c r="S335" s="2"/>
      <c r="U335" s="2"/>
      <c r="W335" s="2"/>
      <c r="Y335" s="2"/>
      <c r="AA335" s="2"/>
      <c r="AC335" s="2"/>
      <c r="AE335" s="2"/>
    </row>
    <row r="336" spans="1:31" x14ac:dyDescent="0.25">
      <c r="A336" s="2"/>
      <c r="C336" s="2"/>
      <c r="E336" s="2"/>
      <c r="G336" s="2"/>
      <c r="I336" s="2"/>
      <c r="K336" s="2"/>
      <c r="M336" s="2"/>
      <c r="O336" s="2"/>
      <c r="Q336" s="2"/>
      <c r="S336" s="2"/>
      <c r="U336" s="2"/>
      <c r="W336" s="2"/>
      <c r="Y336" s="2"/>
      <c r="AA336" s="2"/>
      <c r="AC336" s="2"/>
      <c r="AE336" s="2"/>
    </row>
    <row r="337" spans="1:31" x14ac:dyDescent="0.25">
      <c r="A337" s="2"/>
      <c r="C337" s="2"/>
      <c r="E337" s="2"/>
      <c r="G337" s="2"/>
      <c r="I337" s="2"/>
      <c r="K337" s="2"/>
      <c r="M337" s="2"/>
      <c r="O337" s="2"/>
      <c r="Q337" s="2"/>
      <c r="S337" s="2"/>
      <c r="U337" s="2"/>
      <c r="W337" s="2"/>
      <c r="Y337" s="2"/>
      <c r="AA337" s="2"/>
      <c r="AC337" s="2"/>
      <c r="AE337" s="2"/>
    </row>
    <row r="338" spans="1:31" x14ac:dyDescent="0.25">
      <c r="A338" s="2"/>
      <c r="C338" s="2"/>
      <c r="E338" s="2"/>
      <c r="G338" s="2"/>
      <c r="I338" s="2"/>
      <c r="K338" s="2"/>
      <c r="M338" s="2"/>
      <c r="O338" s="2"/>
      <c r="Q338" s="2"/>
      <c r="S338" s="2"/>
      <c r="U338" s="2"/>
      <c r="W338" s="2"/>
      <c r="Y338" s="2"/>
      <c r="AA338" s="2"/>
      <c r="AC338" s="2"/>
      <c r="AE338" s="2"/>
    </row>
    <row r="339" spans="1:31" x14ac:dyDescent="0.25">
      <c r="A339" s="2"/>
      <c r="C339" s="2"/>
      <c r="E339" s="2"/>
      <c r="G339" s="2"/>
      <c r="I339" s="2"/>
      <c r="K339" s="2"/>
      <c r="M339" s="2"/>
      <c r="O339" s="2"/>
      <c r="Q339" s="2"/>
      <c r="S339" s="2"/>
      <c r="U339" s="2"/>
      <c r="W339" s="2"/>
      <c r="Y339" s="2"/>
      <c r="AA339" s="2"/>
      <c r="AC339" s="2"/>
      <c r="AE339" s="2"/>
    </row>
    <row r="340" spans="1:31" x14ac:dyDescent="0.25">
      <c r="A340" s="2"/>
      <c r="C340" s="2"/>
      <c r="E340" s="2"/>
      <c r="G340" s="2"/>
      <c r="I340" s="2"/>
      <c r="K340" s="2"/>
      <c r="M340" s="2"/>
      <c r="O340" s="2"/>
      <c r="Q340" s="2"/>
      <c r="S340" s="2"/>
      <c r="U340" s="2"/>
      <c r="W340" s="2"/>
      <c r="Y340" s="2"/>
      <c r="AA340" s="2"/>
      <c r="AC340" s="2"/>
      <c r="AE340" s="2"/>
    </row>
    <row r="341" spans="1:31" x14ac:dyDescent="0.25">
      <c r="A341" s="2"/>
      <c r="C341" s="2"/>
      <c r="E341" s="2"/>
      <c r="G341" s="2"/>
      <c r="I341" s="2"/>
      <c r="K341" s="2"/>
      <c r="M341" s="2"/>
      <c r="O341" s="2"/>
      <c r="Q341" s="2"/>
      <c r="S341" s="2"/>
      <c r="U341" s="2"/>
      <c r="W341" s="2"/>
      <c r="Y341" s="2"/>
      <c r="AA341" s="2"/>
      <c r="AC341" s="2"/>
      <c r="AE341" s="2"/>
    </row>
    <row r="342" spans="1:31" x14ac:dyDescent="0.25">
      <c r="A342" s="2"/>
      <c r="C342" s="2"/>
      <c r="E342" s="2"/>
      <c r="G342" s="2"/>
      <c r="I342" s="2"/>
      <c r="K342" s="2"/>
      <c r="M342" s="2"/>
      <c r="O342" s="2"/>
      <c r="Q342" s="2"/>
      <c r="S342" s="2"/>
      <c r="U342" s="2"/>
      <c r="W342" s="2"/>
      <c r="Y342" s="2"/>
      <c r="AA342" s="2"/>
      <c r="AC342" s="2"/>
      <c r="AE342" s="2"/>
    </row>
    <row r="343" spans="1:31" x14ac:dyDescent="0.25">
      <c r="A343" s="2"/>
      <c r="C343" s="2"/>
      <c r="E343" s="2"/>
      <c r="G343" s="2"/>
      <c r="I343" s="2"/>
      <c r="K343" s="2"/>
      <c r="M343" s="2"/>
      <c r="O343" s="2"/>
      <c r="Q343" s="2"/>
      <c r="S343" s="2"/>
      <c r="U343" s="2"/>
      <c r="W343" s="2"/>
      <c r="Y343" s="2"/>
      <c r="AA343" s="2"/>
      <c r="AC343" s="2"/>
      <c r="AE343" s="2"/>
    </row>
    <row r="344" spans="1:31" x14ac:dyDescent="0.25">
      <c r="A344" s="2"/>
      <c r="C344" s="2"/>
      <c r="E344" s="2"/>
      <c r="G344" s="2"/>
      <c r="I344" s="2"/>
      <c r="K344" s="2"/>
      <c r="M344" s="2"/>
      <c r="O344" s="2"/>
      <c r="Q344" s="2"/>
      <c r="S344" s="2"/>
      <c r="U344" s="2"/>
      <c r="W344" s="2"/>
      <c r="Y344" s="2"/>
      <c r="AA344" s="2"/>
      <c r="AC344" s="2"/>
      <c r="AE344" s="2"/>
    </row>
    <row r="345" spans="1:31" x14ac:dyDescent="0.25">
      <c r="A345" s="2"/>
      <c r="C345" s="2"/>
      <c r="E345" s="2"/>
      <c r="G345" s="2"/>
      <c r="I345" s="2"/>
      <c r="K345" s="2"/>
      <c r="M345" s="2"/>
      <c r="O345" s="2"/>
      <c r="Q345" s="2"/>
      <c r="S345" s="2"/>
      <c r="U345" s="2"/>
      <c r="W345" s="2"/>
      <c r="Y345" s="2"/>
      <c r="AA345" s="2"/>
      <c r="AC345" s="2"/>
      <c r="AE345" s="2"/>
    </row>
    <row r="346" spans="1:31" x14ac:dyDescent="0.25">
      <c r="A346" s="2"/>
      <c r="C346" s="2"/>
      <c r="E346" s="2"/>
      <c r="G346" s="2"/>
      <c r="I346" s="2"/>
      <c r="K346" s="2"/>
      <c r="M346" s="2"/>
      <c r="O346" s="2"/>
      <c r="Q346" s="2"/>
      <c r="S346" s="2"/>
      <c r="U346" s="2"/>
      <c r="W346" s="2"/>
      <c r="Y346" s="2"/>
      <c r="AA346" s="2"/>
      <c r="AC346" s="2"/>
      <c r="AE346" s="2"/>
    </row>
    <row r="347" spans="1:31" x14ac:dyDescent="0.25">
      <c r="A347" s="2"/>
      <c r="C347" s="2"/>
      <c r="E347" s="2"/>
      <c r="G347" s="2"/>
      <c r="I347" s="2"/>
      <c r="K347" s="2"/>
      <c r="M347" s="2"/>
      <c r="O347" s="2"/>
      <c r="Q347" s="2"/>
      <c r="S347" s="2"/>
      <c r="U347" s="2"/>
      <c r="W347" s="2"/>
      <c r="Y347" s="2"/>
      <c r="AA347" s="2"/>
      <c r="AC347" s="2"/>
      <c r="AE347" s="2"/>
    </row>
    <row r="348" spans="1:31" x14ac:dyDescent="0.25">
      <c r="A348" s="2"/>
      <c r="C348" s="2"/>
      <c r="E348" s="2"/>
      <c r="G348" s="2"/>
      <c r="I348" s="2"/>
      <c r="K348" s="2"/>
      <c r="M348" s="2"/>
      <c r="O348" s="2"/>
      <c r="Q348" s="2"/>
      <c r="S348" s="2"/>
      <c r="U348" s="2"/>
      <c r="W348" s="2"/>
      <c r="Y348" s="2"/>
      <c r="AA348" s="2"/>
      <c r="AC348" s="2"/>
      <c r="AE348" s="2"/>
    </row>
    <row r="349" spans="1:31" x14ac:dyDescent="0.25">
      <c r="A349" s="2"/>
      <c r="C349" s="2"/>
      <c r="E349" s="2"/>
      <c r="G349" s="2"/>
      <c r="I349" s="2"/>
      <c r="K349" s="2"/>
      <c r="M349" s="2"/>
      <c r="O349" s="2"/>
      <c r="Q349" s="2"/>
      <c r="S349" s="2"/>
      <c r="U349" s="2"/>
      <c r="W349" s="2"/>
      <c r="Y349" s="2"/>
      <c r="AA349" s="2"/>
      <c r="AC349" s="2"/>
      <c r="AE349" s="2"/>
    </row>
    <row r="350" spans="1:31" x14ac:dyDescent="0.25">
      <c r="A350" s="2"/>
      <c r="C350" s="2"/>
      <c r="E350" s="2"/>
      <c r="G350" s="2"/>
      <c r="I350" s="2"/>
      <c r="K350" s="2"/>
      <c r="M350" s="2"/>
      <c r="O350" s="2"/>
      <c r="Q350" s="2"/>
      <c r="S350" s="2"/>
      <c r="U350" s="2"/>
      <c r="W350" s="2"/>
      <c r="Y350" s="2"/>
      <c r="AA350" s="2"/>
      <c r="AC350" s="2"/>
      <c r="AE350" s="2"/>
    </row>
    <row r="351" spans="1:31" x14ac:dyDescent="0.25">
      <c r="A351" s="2"/>
      <c r="C351" s="2"/>
      <c r="E351" s="2"/>
      <c r="G351" s="2"/>
      <c r="I351" s="2"/>
      <c r="K351" s="2"/>
      <c r="M351" s="2"/>
      <c r="O351" s="2"/>
      <c r="Q351" s="2"/>
      <c r="S351" s="2"/>
      <c r="U351" s="2"/>
      <c r="W351" s="2"/>
      <c r="Y351" s="2"/>
      <c r="AA351" s="2"/>
      <c r="AC351" s="2"/>
      <c r="AE351" s="2"/>
    </row>
    <row r="352" spans="1:31" x14ac:dyDescent="0.25">
      <c r="A352" s="2"/>
      <c r="C352" s="2"/>
      <c r="E352" s="2"/>
      <c r="G352" s="2"/>
      <c r="I352" s="2"/>
      <c r="K352" s="2"/>
      <c r="M352" s="2"/>
      <c r="O352" s="2"/>
      <c r="Q352" s="2"/>
      <c r="S352" s="2"/>
      <c r="U352" s="2"/>
      <c r="W352" s="2"/>
      <c r="Y352" s="2"/>
      <c r="AA352" s="2"/>
      <c r="AC352" s="2"/>
      <c r="AE352" s="2"/>
    </row>
    <row r="353" spans="1:31" x14ac:dyDescent="0.25">
      <c r="A353" s="2"/>
      <c r="C353" s="2"/>
      <c r="E353" s="2"/>
      <c r="G353" s="2"/>
      <c r="I353" s="2"/>
      <c r="K353" s="2"/>
      <c r="M353" s="2"/>
      <c r="O353" s="2"/>
      <c r="Q353" s="2"/>
      <c r="S353" s="2"/>
      <c r="U353" s="2"/>
      <c r="W353" s="2"/>
      <c r="Y353" s="2"/>
      <c r="AA353" s="2"/>
      <c r="AC353" s="2"/>
      <c r="AE353" s="2"/>
    </row>
    <row r="354" spans="1:31" x14ac:dyDescent="0.25">
      <c r="A354" s="2"/>
      <c r="C354" s="2"/>
      <c r="E354" s="2"/>
      <c r="G354" s="2"/>
      <c r="I354" s="2"/>
      <c r="K354" s="2"/>
      <c r="M354" s="2"/>
      <c r="O354" s="2"/>
      <c r="Q354" s="2"/>
      <c r="S354" s="2"/>
      <c r="U354" s="2"/>
      <c r="W354" s="2"/>
      <c r="Y354" s="2"/>
      <c r="AA354" s="2"/>
      <c r="AC354" s="2"/>
      <c r="AE354" s="2"/>
    </row>
    <row r="355" spans="1:31" x14ac:dyDescent="0.25">
      <c r="A355" s="2"/>
      <c r="C355" s="2"/>
      <c r="E355" s="2"/>
      <c r="G355" s="2"/>
      <c r="I355" s="2"/>
      <c r="K355" s="2"/>
      <c r="M355" s="2"/>
      <c r="O355" s="2"/>
      <c r="Q355" s="2"/>
      <c r="S355" s="2"/>
      <c r="U355" s="2"/>
      <c r="W355" s="2"/>
      <c r="Y355" s="2"/>
      <c r="AA355" s="2"/>
      <c r="AC355" s="2"/>
      <c r="AE355" s="2"/>
    </row>
    <row r="356" spans="1:31" x14ac:dyDescent="0.25">
      <c r="A356" s="2"/>
      <c r="C356" s="2"/>
      <c r="E356" s="2"/>
      <c r="G356" s="2"/>
      <c r="I356" s="2"/>
      <c r="K356" s="2"/>
      <c r="M356" s="2"/>
      <c r="O356" s="2"/>
      <c r="Q356" s="2"/>
      <c r="S356" s="2"/>
      <c r="U356" s="2"/>
      <c r="W356" s="2"/>
      <c r="Y356" s="2"/>
      <c r="AA356" s="2"/>
      <c r="AC356" s="2"/>
      <c r="AE356" s="2"/>
    </row>
    <row r="357" spans="1:31" x14ac:dyDescent="0.25">
      <c r="A357" s="2"/>
      <c r="C357" s="2"/>
      <c r="E357" s="2"/>
      <c r="G357" s="2"/>
      <c r="I357" s="2"/>
      <c r="K357" s="2"/>
      <c r="M357" s="2"/>
      <c r="O357" s="2"/>
      <c r="Q357" s="2"/>
      <c r="S357" s="2"/>
      <c r="U357" s="2"/>
      <c r="W357" s="2"/>
      <c r="Y357" s="2"/>
      <c r="AA357" s="2"/>
      <c r="AC357" s="2"/>
      <c r="AE357" s="2"/>
    </row>
    <row r="358" spans="1:31" x14ac:dyDescent="0.25">
      <c r="A358" s="2"/>
      <c r="C358" s="2"/>
      <c r="E358" s="2"/>
      <c r="G358" s="2"/>
      <c r="I358" s="2"/>
      <c r="K358" s="2"/>
      <c r="M358" s="2"/>
      <c r="O358" s="2"/>
      <c r="Q358" s="2"/>
      <c r="S358" s="2"/>
      <c r="U358" s="2"/>
      <c r="W358" s="2"/>
      <c r="Y358" s="2"/>
      <c r="AA358" s="2"/>
      <c r="AC358" s="2"/>
      <c r="AE358" s="2"/>
    </row>
    <row r="359" spans="1:31" x14ac:dyDescent="0.25">
      <c r="A359" s="2"/>
      <c r="C359" s="2"/>
      <c r="E359" s="2"/>
      <c r="G359" s="2"/>
      <c r="I359" s="2"/>
      <c r="K359" s="2"/>
      <c r="M359" s="2"/>
      <c r="O359" s="2"/>
      <c r="Q359" s="2"/>
      <c r="S359" s="2"/>
      <c r="U359" s="2"/>
      <c r="W359" s="2"/>
      <c r="Y359" s="2"/>
      <c r="AA359" s="2"/>
      <c r="AC359" s="2"/>
      <c r="AE359" s="2"/>
    </row>
    <row r="360" spans="1:31" x14ac:dyDescent="0.25">
      <c r="A360" s="2"/>
      <c r="C360" s="2"/>
      <c r="E360" s="2"/>
      <c r="G360" s="2"/>
      <c r="I360" s="2"/>
      <c r="K360" s="2"/>
      <c r="M360" s="2"/>
      <c r="O360" s="2"/>
      <c r="Q360" s="2"/>
      <c r="S360" s="2"/>
      <c r="U360" s="2"/>
      <c r="W360" s="2"/>
      <c r="Y360" s="2"/>
      <c r="AA360" s="2"/>
      <c r="AC360" s="2"/>
      <c r="AE360" s="2"/>
    </row>
    <row r="361" spans="1:31" x14ac:dyDescent="0.25">
      <c r="A361" s="2"/>
      <c r="C361" s="2"/>
      <c r="E361" s="2"/>
      <c r="G361" s="2"/>
      <c r="I361" s="2"/>
      <c r="K361" s="2"/>
      <c r="M361" s="2"/>
      <c r="O361" s="2"/>
      <c r="Q361" s="2"/>
      <c r="S361" s="2"/>
      <c r="U361" s="2"/>
      <c r="W361" s="2"/>
      <c r="Y361" s="2"/>
      <c r="AA361" s="2"/>
      <c r="AC361" s="2"/>
      <c r="AE361" s="2"/>
    </row>
    <row r="362" spans="1:31" x14ac:dyDescent="0.25">
      <c r="A362" s="2"/>
      <c r="C362" s="2"/>
      <c r="E362" s="2"/>
      <c r="G362" s="2"/>
      <c r="I362" s="2"/>
      <c r="K362" s="2"/>
      <c r="M362" s="2"/>
      <c r="O362" s="2"/>
      <c r="Q362" s="2"/>
      <c r="S362" s="2"/>
      <c r="U362" s="2"/>
      <c r="W362" s="2"/>
      <c r="Y362" s="2"/>
      <c r="AA362" s="2"/>
      <c r="AC362" s="2"/>
      <c r="AE362" s="2"/>
    </row>
    <row r="363" spans="1:31" x14ac:dyDescent="0.25">
      <c r="A363" s="2"/>
      <c r="C363" s="2"/>
      <c r="E363" s="2"/>
      <c r="G363" s="2"/>
      <c r="I363" s="2"/>
      <c r="K363" s="2"/>
      <c r="M363" s="2"/>
      <c r="O363" s="2"/>
      <c r="Q363" s="2"/>
      <c r="S363" s="2"/>
      <c r="U363" s="2"/>
      <c r="W363" s="2"/>
      <c r="Y363" s="2"/>
      <c r="AA363" s="2"/>
      <c r="AC363" s="2"/>
      <c r="AE363" s="2"/>
    </row>
    <row r="364" spans="1:31" x14ac:dyDescent="0.25">
      <c r="A364" s="2"/>
      <c r="C364" s="2"/>
      <c r="E364" s="2"/>
      <c r="G364" s="2"/>
      <c r="I364" s="2"/>
      <c r="K364" s="2"/>
      <c r="M364" s="2"/>
      <c r="O364" s="2"/>
      <c r="Q364" s="2"/>
      <c r="S364" s="2"/>
      <c r="U364" s="2"/>
      <c r="W364" s="2"/>
      <c r="Y364" s="2"/>
      <c r="AA364" s="2"/>
      <c r="AC364" s="2"/>
      <c r="AE364" s="2"/>
    </row>
    <row r="365" spans="1:31" x14ac:dyDescent="0.25">
      <c r="A365" s="2"/>
      <c r="C365" s="2"/>
      <c r="E365" s="2"/>
      <c r="G365" s="2"/>
      <c r="I365" s="2"/>
      <c r="K365" s="2"/>
      <c r="M365" s="2"/>
      <c r="O365" s="2"/>
      <c r="Q365" s="2"/>
      <c r="S365" s="2"/>
      <c r="U365" s="2"/>
      <c r="W365" s="2"/>
      <c r="Y365" s="2"/>
      <c r="AA365" s="2"/>
      <c r="AC365" s="2"/>
      <c r="AE365" s="2"/>
    </row>
    <row r="366" spans="1:31" x14ac:dyDescent="0.25">
      <c r="A366" s="2"/>
      <c r="C366" s="2"/>
      <c r="E366" s="2"/>
      <c r="G366" s="2"/>
      <c r="I366" s="2"/>
      <c r="K366" s="2"/>
      <c r="M366" s="2"/>
      <c r="O366" s="2"/>
      <c r="Q366" s="2"/>
      <c r="S366" s="2"/>
      <c r="U366" s="2"/>
      <c r="W366" s="2"/>
      <c r="Y366" s="2"/>
      <c r="AA366" s="2"/>
      <c r="AC366" s="2"/>
      <c r="AE366" s="2"/>
    </row>
    <row r="367" spans="1:31" x14ac:dyDescent="0.25">
      <c r="A367" s="2"/>
      <c r="C367" s="2"/>
      <c r="E367" s="2"/>
      <c r="G367" s="2"/>
      <c r="I367" s="2"/>
      <c r="K367" s="2"/>
      <c r="M367" s="2"/>
      <c r="O367" s="2"/>
      <c r="Q367" s="2"/>
      <c r="S367" s="2"/>
      <c r="U367" s="2"/>
      <c r="W367" s="2"/>
      <c r="Y367" s="2"/>
      <c r="AA367" s="2"/>
      <c r="AC367" s="2"/>
      <c r="AE367" s="2"/>
    </row>
    <row r="368" spans="1:31" x14ac:dyDescent="0.25">
      <c r="A368" s="2"/>
      <c r="C368" s="2"/>
      <c r="E368" s="2"/>
      <c r="G368" s="2"/>
      <c r="I368" s="2"/>
      <c r="K368" s="2"/>
      <c r="M368" s="2"/>
      <c r="O368" s="2"/>
      <c r="Q368" s="2"/>
      <c r="S368" s="2"/>
      <c r="U368" s="2"/>
      <c r="W368" s="2"/>
      <c r="Y368" s="2"/>
      <c r="AA368" s="2"/>
      <c r="AC368" s="2"/>
      <c r="AE368" s="2"/>
    </row>
    <row r="369" spans="1:31" x14ac:dyDescent="0.25">
      <c r="A369" s="2"/>
      <c r="C369" s="2"/>
      <c r="E369" s="2"/>
      <c r="G369" s="2"/>
      <c r="I369" s="2"/>
      <c r="K369" s="2"/>
      <c r="M369" s="2"/>
      <c r="O369" s="2"/>
      <c r="Q369" s="2"/>
      <c r="S369" s="2"/>
      <c r="U369" s="2"/>
      <c r="W369" s="2"/>
      <c r="Y369" s="2"/>
      <c r="AA369" s="2"/>
      <c r="AC369" s="2"/>
      <c r="AE369" s="2"/>
    </row>
    <row r="370" spans="1:31" x14ac:dyDescent="0.25">
      <c r="A370" s="2"/>
      <c r="C370" s="2"/>
      <c r="E370" s="2"/>
      <c r="G370" s="2"/>
      <c r="I370" s="2"/>
      <c r="K370" s="2"/>
      <c r="M370" s="2"/>
      <c r="O370" s="2"/>
      <c r="Q370" s="2"/>
      <c r="S370" s="2"/>
      <c r="U370" s="2"/>
      <c r="W370" s="2"/>
      <c r="Y370" s="2"/>
      <c r="AA370" s="2"/>
      <c r="AC370" s="2"/>
      <c r="AE370" s="2"/>
    </row>
    <row r="371" spans="1:31" x14ac:dyDescent="0.25">
      <c r="A371" s="2"/>
      <c r="C371" s="2"/>
      <c r="E371" s="2"/>
      <c r="G371" s="2"/>
      <c r="I371" s="2"/>
      <c r="K371" s="2"/>
      <c r="M371" s="2"/>
      <c r="O371" s="2"/>
      <c r="Q371" s="2"/>
      <c r="S371" s="2"/>
      <c r="U371" s="2"/>
      <c r="W371" s="2"/>
      <c r="Y371" s="2"/>
      <c r="AA371" s="2"/>
      <c r="AC371" s="2"/>
      <c r="AE371" s="2"/>
    </row>
    <row r="372" spans="1:31" x14ac:dyDescent="0.25">
      <c r="A372" s="2"/>
      <c r="C372" s="2"/>
      <c r="E372" s="2"/>
      <c r="G372" s="2"/>
      <c r="I372" s="2"/>
      <c r="K372" s="2"/>
      <c r="M372" s="2"/>
      <c r="O372" s="2"/>
      <c r="Q372" s="2"/>
      <c r="S372" s="2"/>
      <c r="U372" s="2"/>
      <c r="W372" s="2"/>
      <c r="Y372" s="2"/>
      <c r="AA372" s="2"/>
      <c r="AC372" s="2"/>
      <c r="AE372" s="2"/>
    </row>
    <row r="373" spans="1:31" x14ac:dyDescent="0.25">
      <c r="A373" s="2"/>
      <c r="C373" s="2"/>
      <c r="E373" s="2"/>
      <c r="G373" s="2"/>
      <c r="I373" s="2"/>
      <c r="K373" s="2"/>
      <c r="M373" s="2"/>
      <c r="O373" s="2"/>
      <c r="Q373" s="2"/>
      <c r="S373" s="2"/>
      <c r="U373" s="2"/>
      <c r="W373" s="2"/>
      <c r="Y373" s="2"/>
      <c r="AA373" s="2"/>
      <c r="AC373" s="2"/>
      <c r="AE373" s="2"/>
    </row>
    <row r="374" spans="1:31" x14ac:dyDescent="0.25">
      <c r="A374" s="2"/>
      <c r="C374" s="2"/>
      <c r="E374" s="2"/>
      <c r="G374" s="2"/>
      <c r="I374" s="2"/>
      <c r="K374" s="2"/>
      <c r="M374" s="2"/>
      <c r="O374" s="2"/>
      <c r="Q374" s="2"/>
      <c r="S374" s="2"/>
      <c r="U374" s="2"/>
      <c r="W374" s="2"/>
      <c r="Y374" s="2"/>
      <c r="AA374" s="2"/>
      <c r="AC374" s="2"/>
      <c r="AE374" s="2"/>
    </row>
    <row r="375" spans="1:31" x14ac:dyDescent="0.25">
      <c r="A375" s="2"/>
      <c r="C375" s="2"/>
      <c r="E375" s="2"/>
      <c r="G375" s="2"/>
      <c r="I375" s="2"/>
      <c r="K375" s="2"/>
      <c r="M375" s="2"/>
      <c r="O375" s="2"/>
      <c r="Q375" s="2"/>
      <c r="S375" s="2"/>
      <c r="U375" s="2"/>
      <c r="W375" s="2"/>
      <c r="Y375" s="2"/>
      <c r="AA375" s="2"/>
      <c r="AC375" s="2"/>
      <c r="AE375" s="2"/>
    </row>
    <row r="376" spans="1:31" x14ac:dyDescent="0.25">
      <c r="A376" s="2"/>
      <c r="C376" s="2"/>
      <c r="E376" s="2"/>
      <c r="G376" s="2"/>
      <c r="I376" s="2"/>
      <c r="K376" s="2"/>
      <c r="M376" s="2"/>
      <c r="O376" s="2"/>
      <c r="Q376" s="2"/>
      <c r="S376" s="2"/>
      <c r="U376" s="2"/>
      <c r="W376" s="2"/>
      <c r="Y376" s="2"/>
      <c r="AA376" s="2"/>
      <c r="AC376" s="2"/>
      <c r="AE376" s="2"/>
    </row>
    <row r="377" spans="1:31" x14ac:dyDescent="0.25">
      <c r="A377" s="2"/>
      <c r="C377" s="2"/>
      <c r="E377" s="2"/>
      <c r="G377" s="2"/>
      <c r="I377" s="2"/>
      <c r="K377" s="2"/>
      <c r="M377" s="2"/>
      <c r="O377" s="2"/>
      <c r="Q377" s="2"/>
      <c r="S377" s="2"/>
      <c r="U377" s="2"/>
      <c r="W377" s="2"/>
      <c r="Y377" s="2"/>
      <c r="AA377" s="2"/>
      <c r="AC377" s="2"/>
      <c r="AE377" s="2"/>
    </row>
    <row r="378" spans="1:31" x14ac:dyDescent="0.25">
      <c r="A378" s="2"/>
      <c r="C378" s="2"/>
      <c r="E378" s="2"/>
      <c r="G378" s="2"/>
      <c r="I378" s="2"/>
      <c r="K378" s="2"/>
      <c r="M378" s="2"/>
      <c r="O378" s="2"/>
      <c r="Q378" s="2"/>
      <c r="S378" s="2"/>
      <c r="U378" s="2"/>
      <c r="W378" s="2"/>
      <c r="Y378" s="2"/>
      <c r="AA378" s="2"/>
      <c r="AC378" s="2"/>
      <c r="AE378" s="2"/>
    </row>
    <row r="379" spans="1:31" x14ac:dyDescent="0.25">
      <c r="A379" s="2"/>
      <c r="C379" s="2"/>
      <c r="E379" s="2"/>
      <c r="G379" s="2"/>
      <c r="I379" s="2"/>
      <c r="K379" s="2"/>
      <c r="M379" s="2"/>
      <c r="O379" s="2"/>
      <c r="Q379" s="2"/>
      <c r="S379" s="2"/>
      <c r="U379" s="2"/>
      <c r="W379" s="2"/>
      <c r="Y379" s="2"/>
      <c r="AA379" s="2"/>
      <c r="AC379" s="2"/>
      <c r="AE379" s="2"/>
    </row>
    <row r="380" spans="1:31" x14ac:dyDescent="0.25">
      <c r="A380" s="2"/>
      <c r="C380" s="2"/>
      <c r="E380" s="2"/>
      <c r="G380" s="2"/>
      <c r="I380" s="2"/>
      <c r="K380" s="2"/>
      <c r="M380" s="2"/>
      <c r="O380" s="2"/>
      <c r="Q380" s="2"/>
      <c r="S380" s="2"/>
      <c r="U380" s="2"/>
      <c r="W380" s="2"/>
      <c r="Y380" s="2"/>
      <c r="AA380" s="2"/>
      <c r="AC380" s="2"/>
      <c r="AE380" s="2"/>
    </row>
    <row r="381" spans="1:31" x14ac:dyDescent="0.25">
      <c r="A381" s="2"/>
      <c r="C381" s="2"/>
      <c r="E381" s="2"/>
      <c r="G381" s="2"/>
      <c r="I381" s="2"/>
      <c r="K381" s="2"/>
      <c r="M381" s="2"/>
      <c r="O381" s="2"/>
      <c r="Q381" s="2"/>
      <c r="S381" s="2"/>
      <c r="U381" s="2"/>
      <c r="W381" s="2"/>
      <c r="Y381" s="2"/>
      <c r="AA381" s="2"/>
      <c r="AC381" s="2"/>
      <c r="AE381" s="2"/>
    </row>
    <row r="382" spans="1:31" x14ac:dyDescent="0.25">
      <c r="A382" s="2"/>
      <c r="C382" s="2"/>
      <c r="E382" s="2"/>
      <c r="G382" s="2"/>
      <c r="I382" s="2"/>
      <c r="K382" s="2"/>
      <c r="M382" s="2"/>
      <c r="O382" s="2"/>
      <c r="Q382" s="2"/>
      <c r="S382" s="2"/>
      <c r="U382" s="2"/>
      <c r="W382" s="2"/>
      <c r="Y382" s="2"/>
      <c r="AA382" s="2"/>
      <c r="AC382" s="2"/>
      <c r="AE382" s="2"/>
    </row>
    <row r="383" spans="1:31" x14ac:dyDescent="0.25">
      <c r="A383" s="2"/>
      <c r="C383" s="2"/>
      <c r="E383" s="2"/>
      <c r="G383" s="2"/>
      <c r="I383" s="2"/>
      <c r="K383" s="2"/>
      <c r="M383" s="2"/>
      <c r="O383" s="2"/>
      <c r="Q383" s="2"/>
      <c r="S383" s="2"/>
      <c r="U383" s="2"/>
      <c r="W383" s="2"/>
      <c r="Y383" s="2"/>
      <c r="AA383" s="2"/>
      <c r="AC383" s="2"/>
      <c r="AE383" s="2"/>
    </row>
    <row r="384" spans="1:31" x14ac:dyDescent="0.25">
      <c r="A384" s="2"/>
      <c r="C384" s="2"/>
      <c r="E384" s="2"/>
      <c r="G384" s="2"/>
      <c r="I384" s="2"/>
      <c r="K384" s="2"/>
      <c r="M384" s="2"/>
      <c r="O384" s="2"/>
      <c r="Q384" s="2"/>
      <c r="S384" s="2"/>
      <c r="U384" s="2"/>
      <c r="W384" s="2"/>
      <c r="Y384" s="2"/>
      <c r="AA384" s="2"/>
      <c r="AC384" s="2"/>
      <c r="AE384" s="2"/>
    </row>
    <row r="385" spans="1:31" x14ac:dyDescent="0.25">
      <c r="A385" s="2"/>
      <c r="C385" s="2"/>
      <c r="E385" s="2"/>
      <c r="G385" s="2"/>
      <c r="I385" s="2"/>
      <c r="K385" s="2"/>
      <c r="M385" s="2"/>
      <c r="O385" s="2"/>
      <c r="Q385" s="2"/>
      <c r="S385" s="2"/>
      <c r="U385" s="2"/>
      <c r="W385" s="2"/>
      <c r="Y385" s="2"/>
      <c r="AA385" s="2"/>
      <c r="AC385" s="2"/>
      <c r="AE385" s="2"/>
    </row>
    <row r="386" spans="1:31" x14ac:dyDescent="0.25">
      <c r="A386" s="2"/>
      <c r="C386" s="2"/>
      <c r="E386" s="2"/>
      <c r="G386" s="2"/>
      <c r="I386" s="2"/>
      <c r="K386" s="2"/>
      <c r="M386" s="2"/>
      <c r="O386" s="2"/>
      <c r="Q386" s="2"/>
      <c r="S386" s="2"/>
      <c r="U386" s="2"/>
      <c r="W386" s="2"/>
      <c r="Y386" s="2"/>
      <c r="AA386" s="2"/>
      <c r="AC386" s="2"/>
      <c r="AE386" s="2"/>
    </row>
    <row r="387" spans="1:31" x14ac:dyDescent="0.25">
      <c r="A387" s="2"/>
      <c r="C387" s="2"/>
      <c r="E387" s="2"/>
      <c r="G387" s="2"/>
      <c r="I387" s="2"/>
      <c r="K387" s="2"/>
      <c r="M387" s="2"/>
      <c r="O387" s="2"/>
      <c r="Q387" s="2"/>
      <c r="S387" s="2"/>
      <c r="U387" s="2"/>
      <c r="W387" s="2"/>
      <c r="Y387" s="2"/>
      <c r="AA387" s="2"/>
      <c r="AC387" s="2"/>
      <c r="AE387" s="2"/>
    </row>
    <row r="388" spans="1:31" x14ac:dyDescent="0.25">
      <c r="A388" s="2"/>
      <c r="C388" s="2"/>
      <c r="E388" s="2"/>
      <c r="G388" s="2"/>
      <c r="I388" s="2"/>
      <c r="K388" s="2"/>
      <c r="M388" s="2"/>
      <c r="O388" s="2"/>
      <c r="Q388" s="2"/>
      <c r="S388" s="2"/>
      <c r="U388" s="2"/>
      <c r="W388" s="2"/>
      <c r="Y388" s="2"/>
      <c r="AA388" s="2"/>
      <c r="AC388" s="2"/>
      <c r="AE388" s="2"/>
    </row>
    <row r="389" spans="1:31" x14ac:dyDescent="0.25">
      <c r="A389" s="2"/>
      <c r="C389" s="2"/>
      <c r="E389" s="2"/>
      <c r="G389" s="2"/>
      <c r="I389" s="2"/>
      <c r="K389" s="2"/>
      <c r="M389" s="2"/>
      <c r="O389" s="2"/>
      <c r="Q389" s="2"/>
      <c r="S389" s="2"/>
      <c r="U389" s="2"/>
      <c r="W389" s="2"/>
      <c r="Y389" s="2"/>
      <c r="AA389" s="2"/>
      <c r="AC389" s="2"/>
      <c r="AE389" s="2"/>
    </row>
    <row r="390" spans="1:31" x14ac:dyDescent="0.25">
      <c r="A390" s="2"/>
      <c r="C390" s="2"/>
      <c r="E390" s="2"/>
      <c r="G390" s="2"/>
      <c r="I390" s="2"/>
      <c r="K390" s="2"/>
      <c r="M390" s="2"/>
      <c r="O390" s="2"/>
      <c r="Q390" s="2"/>
      <c r="S390" s="2"/>
      <c r="U390" s="2"/>
      <c r="W390" s="2"/>
      <c r="Y390" s="2"/>
      <c r="AA390" s="2"/>
      <c r="AC390" s="2"/>
      <c r="AE390" s="2"/>
    </row>
    <row r="391" spans="1:31" x14ac:dyDescent="0.25">
      <c r="A391" s="2"/>
      <c r="C391" s="2"/>
      <c r="E391" s="2"/>
      <c r="G391" s="2"/>
      <c r="I391" s="2"/>
      <c r="K391" s="2"/>
      <c r="M391" s="2"/>
      <c r="O391" s="2"/>
      <c r="Q391" s="2"/>
      <c r="S391" s="2"/>
      <c r="U391" s="2"/>
      <c r="W391" s="2"/>
      <c r="Y391" s="2"/>
      <c r="AA391" s="2"/>
      <c r="AC391" s="2"/>
      <c r="AE391" s="2"/>
    </row>
    <row r="392" spans="1:31" x14ac:dyDescent="0.25">
      <c r="A392" s="2"/>
      <c r="C392" s="2"/>
      <c r="E392" s="2"/>
      <c r="G392" s="2"/>
      <c r="I392" s="2"/>
      <c r="K392" s="2"/>
      <c r="M392" s="2"/>
      <c r="O392" s="2"/>
      <c r="Q392" s="2"/>
      <c r="S392" s="2"/>
      <c r="U392" s="2"/>
      <c r="W392" s="2"/>
      <c r="Y392" s="2"/>
      <c r="AA392" s="2"/>
      <c r="AC392" s="2"/>
      <c r="AE392" s="2"/>
    </row>
    <row r="393" spans="1:31" x14ac:dyDescent="0.25">
      <c r="A393" s="2"/>
      <c r="C393" s="2"/>
      <c r="E393" s="2"/>
      <c r="G393" s="2"/>
      <c r="I393" s="2"/>
      <c r="K393" s="2"/>
      <c r="M393" s="2"/>
      <c r="O393" s="2"/>
      <c r="Q393" s="2"/>
      <c r="S393" s="2"/>
      <c r="U393" s="2"/>
      <c r="W393" s="2"/>
      <c r="Y393" s="2"/>
      <c r="AA393" s="2"/>
      <c r="AC393" s="2"/>
      <c r="AE393" s="2"/>
    </row>
    <row r="394" spans="1:31" x14ac:dyDescent="0.25">
      <c r="A394" s="2"/>
      <c r="C394" s="2"/>
      <c r="E394" s="2"/>
      <c r="G394" s="2"/>
      <c r="I394" s="2"/>
      <c r="K394" s="2"/>
      <c r="M394" s="2"/>
      <c r="O394" s="2"/>
      <c r="Q394" s="2"/>
      <c r="S394" s="2"/>
      <c r="U394" s="2"/>
      <c r="W394" s="2"/>
      <c r="Y394" s="2"/>
      <c r="AA394" s="2"/>
      <c r="AC394" s="2"/>
      <c r="AE394" s="2"/>
    </row>
    <row r="395" spans="1:31" x14ac:dyDescent="0.25">
      <c r="A395" s="2"/>
      <c r="C395" s="2"/>
      <c r="E395" s="2"/>
      <c r="G395" s="2"/>
      <c r="I395" s="2"/>
      <c r="K395" s="2"/>
      <c r="M395" s="2"/>
      <c r="O395" s="2"/>
      <c r="Q395" s="2"/>
      <c r="S395" s="2"/>
      <c r="U395" s="2"/>
      <c r="W395" s="2"/>
      <c r="Y395" s="2"/>
      <c r="AA395" s="2"/>
      <c r="AC395" s="2"/>
      <c r="AE395" s="2"/>
    </row>
    <row r="396" spans="1:31" x14ac:dyDescent="0.25">
      <c r="A396" s="2"/>
      <c r="C396" s="2"/>
      <c r="E396" s="2"/>
      <c r="G396" s="2"/>
      <c r="I396" s="2"/>
      <c r="K396" s="2"/>
      <c r="M396" s="2"/>
      <c r="O396" s="2"/>
      <c r="Q396" s="2"/>
      <c r="S396" s="2"/>
      <c r="U396" s="2"/>
      <c r="W396" s="2"/>
      <c r="Y396" s="2"/>
      <c r="AA396" s="2"/>
      <c r="AC396" s="2"/>
      <c r="AE396" s="2"/>
    </row>
    <row r="397" spans="1:31" x14ac:dyDescent="0.25">
      <c r="A397" s="2"/>
      <c r="C397" s="2"/>
      <c r="E397" s="2"/>
      <c r="G397" s="2"/>
      <c r="I397" s="2"/>
      <c r="K397" s="2"/>
      <c r="M397" s="2"/>
      <c r="O397" s="2"/>
      <c r="Q397" s="2"/>
      <c r="S397" s="2"/>
      <c r="U397" s="2"/>
      <c r="W397" s="2"/>
      <c r="Y397" s="2"/>
      <c r="AA397" s="2"/>
      <c r="AC397" s="2"/>
      <c r="AE397" s="2"/>
    </row>
    <row r="398" spans="1:31" x14ac:dyDescent="0.25">
      <c r="A398" s="2"/>
      <c r="C398" s="2"/>
      <c r="E398" s="2"/>
      <c r="G398" s="2"/>
      <c r="I398" s="2"/>
      <c r="K398" s="2"/>
      <c r="M398" s="2"/>
      <c r="O398" s="2"/>
      <c r="Q398" s="2"/>
      <c r="S398" s="2"/>
      <c r="U398" s="2"/>
      <c r="W398" s="2"/>
      <c r="Y398" s="2"/>
      <c r="AA398" s="2"/>
      <c r="AC398" s="2"/>
      <c r="AE398" s="2"/>
    </row>
    <row r="399" spans="1:31" x14ac:dyDescent="0.25">
      <c r="A399" s="2"/>
      <c r="C399" s="2"/>
      <c r="E399" s="2"/>
      <c r="G399" s="2"/>
      <c r="I399" s="2"/>
      <c r="K399" s="2"/>
      <c r="M399" s="2"/>
      <c r="O399" s="2"/>
      <c r="Q399" s="2"/>
      <c r="S399" s="2"/>
      <c r="U399" s="2"/>
      <c r="W399" s="2"/>
      <c r="Y399" s="2"/>
      <c r="AA399" s="2"/>
      <c r="AC399" s="2"/>
      <c r="AE399" s="2"/>
    </row>
    <row r="400" spans="1:31" x14ac:dyDescent="0.25">
      <c r="A400" s="2"/>
      <c r="C400" s="2"/>
      <c r="E400" s="2"/>
      <c r="G400" s="2"/>
      <c r="I400" s="2"/>
      <c r="K400" s="2"/>
      <c r="M400" s="2"/>
      <c r="O400" s="2"/>
      <c r="Q400" s="2"/>
      <c r="S400" s="2"/>
      <c r="U400" s="2"/>
      <c r="W400" s="2"/>
      <c r="Y400" s="2"/>
      <c r="AA400" s="2"/>
      <c r="AC400" s="2"/>
      <c r="AE400" s="2"/>
    </row>
    <row r="401" spans="1:31" x14ac:dyDescent="0.25">
      <c r="A401" s="2"/>
      <c r="C401" s="2"/>
      <c r="E401" s="2"/>
      <c r="G401" s="2"/>
      <c r="I401" s="2"/>
      <c r="K401" s="2"/>
      <c r="M401" s="2"/>
      <c r="O401" s="2"/>
      <c r="Q401" s="2"/>
      <c r="S401" s="2"/>
      <c r="U401" s="2"/>
      <c r="W401" s="2"/>
      <c r="Y401" s="2"/>
      <c r="AA401" s="2"/>
      <c r="AC401" s="2"/>
      <c r="AE401" s="2"/>
    </row>
    <row r="402" spans="1:31" x14ac:dyDescent="0.25">
      <c r="A402" s="2"/>
      <c r="C402" s="2"/>
      <c r="E402" s="2"/>
      <c r="G402" s="2"/>
      <c r="I402" s="2"/>
      <c r="K402" s="2"/>
      <c r="M402" s="2"/>
      <c r="O402" s="2"/>
      <c r="Q402" s="2"/>
      <c r="S402" s="2"/>
      <c r="U402" s="2"/>
      <c r="W402" s="2"/>
      <c r="Y402" s="2"/>
      <c r="AA402" s="2"/>
      <c r="AC402" s="2"/>
      <c r="AE402" s="2"/>
    </row>
    <row r="403" spans="1:31" x14ac:dyDescent="0.25">
      <c r="A403" s="2"/>
      <c r="C403" s="2"/>
      <c r="E403" s="2"/>
      <c r="G403" s="2"/>
      <c r="I403" s="2"/>
      <c r="K403" s="2"/>
      <c r="M403" s="2"/>
      <c r="O403" s="2"/>
      <c r="Q403" s="2"/>
      <c r="S403" s="2"/>
      <c r="U403" s="2"/>
      <c r="W403" s="2"/>
      <c r="Y403" s="2"/>
      <c r="AA403" s="2"/>
      <c r="AC403" s="2"/>
      <c r="AE403" s="2"/>
    </row>
    <row r="404" spans="1:31" x14ac:dyDescent="0.25">
      <c r="A404" s="2"/>
      <c r="C404" s="2"/>
      <c r="E404" s="2"/>
      <c r="G404" s="2"/>
      <c r="I404" s="2"/>
      <c r="K404" s="2"/>
      <c r="M404" s="2"/>
      <c r="O404" s="2"/>
      <c r="Q404" s="2"/>
      <c r="S404" s="2"/>
      <c r="U404" s="2"/>
      <c r="W404" s="2"/>
      <c r="Y404" s="2"/>
      <c r="AA404" s="2"/>
      <c r="AC404" s="2"/>
      <c r="AE404" s="2"/>
    </row>
    <row r="405" spans="1:31" x14ac:dyDescent="0.25">
      <c r="A405" s="2"/>
      <c r="C405" s="2"/>
      <c r="E405" s="2"/>
      <c r="G405" s="2"/>
      <c r="I405" s="2"/>
      <c r="K405" s="2"/>
      <c r="M405" s="2"/>
      <c r="O405" s="2"/>
      <c r="Q405" s="2"/>
      <c r="S405" s="2"/>
      <c r="U405" s="2"/>
      <c r="W405" s="2"/>
      <c r="Y405" s="2"/>
      <c r="AA405" s="2"/>
      <c r="AC405" s="2"/>
      <c r="AE405" s="2"/>
    </row>
    <row r="406" spans="1:31" x14ac:dyDescent="0.25">
      <c r="A406" s="2"/>
      <c r="C406" s="2"/>
      <c r="E406" s="2"/>
      <c r="G406" s="2"/>
      <c r="I406" s="2"/>
      <c r="K406" s="2"/>
      <c r="M406" s="2"/>
      <c r="O406" s="2"/>
      <c r="Q406" s="2"/>
      <c r="S406" s="2"/>
      <c r="U406" s="2"/>
      <c r="W406" s="2"/>
      <c r="Y406" s="2"/>
      <c r="AA406" s="2"/>
      <c r="AC406" s="2"/>
      <c r="AE406" s="2"/>
    </row>
    <row r="407" spans="1:31" x14ac:dyDescent="0.25">
      <c r="A407" s="2"/>
      <c r="C407" s="2"/>
      <c r="E407" s="2"/>
      <c r="G407" s="2"/>
      <c r="I407" s="2"/>
      <c r="K407" s="2"/>
      <c r="M407" s="2"/>
      <c r="O407" s="2"/>
      <c r="Q407" s="2"/>
      <c r="S407" s="2"/>
      <c r="U407" s="2"/>
      <c r="W407" s="2"/>
      <c r="Y407" s="2"/>
      <c r="AA407" s="2"/>
      <c r="AC407" s="2"/>
      <c r="AE407" s="2"/>
    </row>
    <row r="408" spans="1:31" x14ac:dyDescent="0.25">
      <c r="A408" s="2"/>
      <c r="C408" s="2"/>
      <c r="E408" s="2"/>
      <c r="G408" s="2"/>
      <c r="I408" s="2"/>
      <c r="K408" s="2"/>
      <c r="M408" s="2"/>
      <c r="O408" s="2"/>
      <c r="Q408" s="2"/>
      <c r="S408" s="2"/>
      <c r="U408" s="2"/>
      <c r="W408" s="2"/>
      <c r="Y408" s="2"/>
      <c r="AA408" s="2"/>
      <c r="AC408" s="2"/>
      <c r="AE408" s="2"/>
    </row>
    <row r="409" spans="1:31" x14ac:dyDescent="0.25">
      <c r="A409" s="2"/>
      <c r="C409" s="2"/>
      <c r="E409" s="2"/>
      <c r="G409" s="2"/>
      <c r="I409" s="2"/>
      <c r="K409" s="2"/>
      <c r="M409" s="2"/>
      <c r="O409" s="2"/>
      <c r="Q409" s="2"/>
      <c r="S409" s="2"/>
      <c r="U409" s="2"/>
      <c r="W409" s="2"/>
      <c r="Y409" s="2"/>
      <c r="AA409" s="2"/>
      <c r="AC409" s="2"/>
      <c r="AE409" s="2"/>
    </row>
    <row r="410" spans="1:31" x14ac:dyDescent="0.25">
      <c r="A410" s="2"/>
      <c r="C410" s="2"/>
      <c r="E410" s="2"/>
      <c r="G410" s="2"/>
      <c r="I410" s="2"/>
      <c r="K410" s="2"/>
      <c r="M410" s="2"/>
      <c r="O410" s="2"/>
      <c r="Q410" s="2"/>
      <c r="S410" s="2"/>
      <c r="U410" s="2"/>
      <c r="W410" s="2"/>
      <c r="Y410" s="2"/>
      <c r="AA410" s="2"/>
      <c r="AC410" s="2"/>
      <c r="AE410" s="2"/>
    </row>
    <row r="411" spans="1:31" x14ac:dyDescent="0.25">
      <c r="A411" s="2"/>
      <c r="C411" s="2"/>
      <c r="E411" s="2"/>
      <c r="G411" s="2"/>
      <c r="I411" s="2"/>
      <c r="K411" s="2"/>
      <c r="M411" s="2"/>
      <c r="O411" s="2"/>
      <c r="Q411" s="2"/>
      <c r="S411" s="2"/>
      <c r="U411" s="2"/>
      <c r="W411" s="2"/>
      <c r="Y411" s="2"/>
      <c r="AA411" s="2"/>
      <c r="AC411" s="2"/>
      <c r="AE411" s="2"/>
    </row>
    <row r="412" spans="1:31" x14ac:dyDescent="0.25">
      <c r="A412" s="2"/>
      <c r="C412" s="2"/>
      <c r="E412" s="2"/>
      <c r="G412" s="2"/>
      <c r="I412" s="2"/>
      <c r="K412" s="2"/>
      <c r="M412" s="2"/>
      <c r="O412" s="2"/>
      <c r="Q412" s="2"/>
      <c r="S412" s="2"/>
      <c r="U412" s="2"/>
      <c r="W412" s="2"/>
      <c r="Y412" s="2"/>
      <c r="AA412" s="2"/>
      <c r="AC412" s="2"/>
      <c r="AE412" s="2"/>
    </row>
    <row r="413" spans="1:31" x14ac:dyDescent="0.25">
      <c r="A413" s="2"/>
      <c r="C413" s="2"/>
      <c r="E413" s="2"/>
      <c r="G413" s="2"/>
      <c r="I413" s="2"/>
      <c r="K413" s="2"/>
      <c r="M413" s="2"/>
      <c r="O413" s="2"/>
      <c r="Q413" s="2"/>
      <c r="S413" s="2"/>
      <c r="U413" s="2"/>
      <c r="W413" s="2"/>
      <c r="Y413" s="2"/>
      <c r="AA413" s="2"/>
      <c r="AC413" s="2"/>
      <c r="AE413" s="2"/>
    </row>
    <row r="414" spans="1:31" x14ac:dyDescent="0.25">
      <c r="A414" s="2"/>
      <c r="C414" s="2"/>
      <c r="E414" s="2"/>
      <c r="G414" s="2"/>
      <c r="I414" s="2"/>
      <c r="K414" s="2"/>
      <c r="M414" s="2"/>
      <c r="O414" s="2"/>
      <c r="Q414" s="2"/>
      <c r="S414" s="2"/>
      <c r="U414" s="2"/>
      <c r="W414" s="2"/>
      <c r="Y414" s="2"/>
      <c r="AA414" s="2"/>
      <c r="AC414" s="2"/>
      <c r="AE414" s="2"/>
    </row>
    <row r="415" spans="1:31" x14ac:dyDescent="0.25">
      <c r="A415" s="2"/>
      <c r="C415" s="2"/>
      <c r="E415" s="2"/>
      <c r="G415" s="2"/>
      <c r="I415" s="2"/>
      <c r="K415" s="2"/>
      <c r="M415" s="2"/>
      <c r="O415" s="2"/>
      <c r="Q415" s="2"/>
      <c r="S415" s="2"/>
      <c r="U415" s="2"/>
      <c r="W415" s="2"/>
      <c r="Y415" s="2"/>
      <c r="AA415" s="2"/>
      <c r="AC415" s="2"/>
      <c r="AE415" s="2"/>
    </row>
    <row r="416" spans="1:31" x14ac:dyDescent="0.25">
      <c r="A416" s="2"/>
      <c r="C416" s="2"/>
      <c r="E416" s="2"/>
      <c r="G416" s="2"/>
      <c r="I416" s="2"/>
      <c r="K416" s="2"/>
      <c r="M416" s="2"/>
      <c r="O416" s="2"/>
      <c r="Q416" s="2"/>
      <c r="S416" s="2"/>
      <c r="U416" s="2"/>
      <c r="W416" s="2"/>
      <c r="Y416" s="2"/>
      <c r="AA416" s="2"/>
      <c r="AC416" s="2"/>
      <c r="AE416" s="2"/>
    </row>
    <row r="417" spans="1:31" x14ac:dyDescent="0.25">
      <c r="A417" s="2"/>
      <c r="C417" s="2"/>
      <c r="E417" s="2"/>
      <c r="G417" s="2"/>
      <c r="I417" s="2"/>
      <c r="K417" s="2"/>
      <c r="M417" s="2"/>
      <c r="O417" s="2"/>
      <c r="Q417" s="2"/>
      <c r="S417" s="2"/>
      <c r="U417" s="2"/>
      <c r="W417" s="2"/>
      <c r="Y417" s="2"/>
      <c r="AA417" s="2"/>
      <c r="AC417" s="2"/>
      <c r="AE417" s="2"/>
    </row>
    <row r="418" spans="1:31" x14ac:dyDescent="0.25">
      <c r="A418" s="2"/>
      <c r="C418" s="2"/>
      <c r="E418" s="2"/>
      <c r="G418" s="2"/>
      <c r="I418" s="2"/>
      <c r="K418" s="2"/>
      <c r="M418" s="2"/>
      <c r="O418" s="2"/>
      <c r="Q418" s="2"/>
      <c r="S418" s="2"/>
      <c r="U418" s="2"/>
      <c r="W418" s="2"/>
      <c r="Y418" s="2"/>
      <c r="AA418" s="2"/>
      <c r="AC418" s="2"/>
      <c r="AE418" s="2"/>
    </row>
    <row r="419" spans="1:31" x14ac:dyDescent="0.25">
      <c r="A419" s="2"/>
      <c r="C419" s="2"/>
      <c r="E419" s="2"/>
      <c r="G419" s="2"/>
      <c r="I419" s="2"/>
      <c r="K419" s="2"/>
      <c r="M419" s="2"/>
      <c r="O419" s="2"/>
      <c r="Q419" s="2"/>
      <c r="S419" s="2"/>
      <c r="U419" s="2"/>
      <c r="W419" s="2"/>
      <c r="Y419" s="2"/>
      <c r="AA419" s="2"/>
      <c r="AC419" s="2"/>
      <c r="AE419" s="2"/>
    </row>
    <row r="420" spans="1:31" x14ac:dyDescent="0.25">
      <c r="A420" s="2"/>
      <c r="C420" s="2"/>
      <c r="E420" s="2"/>
      <c r="G420" s="2"/>
      <c r="I420" s="2"/>
      <c r="K420" s="2"/>
      <c r="M420" s="2"/>
      <c r="O420" s="2"/>
      <c r="Q420" s="2"/>
      <c r="S420" s="2"/>
      <c r="U420" s="2"/>
      <c r="W420" s="2"/>
      <c r="Y420" s="2"/>
      <c r="AA420" s="2"/>
      <c r="AC420" s="2"/>
      <c r="AE420" s="2"/>
    </row>
    <row r="421" spans="1:31" x14ac:dyDescent="0.25">
      <c r="A421" s="2"/>
      <c r="C421" s="2"/>
      <c r="E421" s="2"/>
      <c r="G421" s="2"/>
      <c r="I421" s="2"/>
      <c r="K421" s="2"/>
      <c r="M421" s="2"/>
      <c r="O421" s="2"/>
      <c r="Q421" s="2"/>
      <c r="S421" s="2"/>
      <c r="U421" s="2"/>
      <c r="W421" s="2"/>
      <c r="Y421" s="2"/>
      <c r="AA421" s="2"/>
      <c r="AC421" s="2"/>
      <c r="AE421" s="2"/>
    </row>
    <row r="422" spans="1:31" x14ac:dyDescent="0.25">
      <c r="A422" s="2"/>
      <c r="C422" s="2"/>
      <c r="E422" s="2"/>
      <c r="G422" s="2"/>
      <c r="I422" s="2"/>
      <c r="K422" s="2"/>
      <c r="M422" s="2"/>
      <c r="O422" s="2"/>
      <c r="Q422" s="2"/>
      <c r="S422" s="2"/>
      <c r="U422" s="2"/>
      <c r="W422" s="2"/>
      <c r="Y422" s="2"/>
      <c r="AA422" s="2"/>
      <c r="AC422" s="2"/>
      <c r="AE422" s="2"/>
    </row>
    <row r="423" spans="1:31" x14ac:dyDescent="0.25">
      <c r="A423" s="2"/>
      <c r="C423" s="2"/>
      <c r="E423" s="2"/>
      <c r="G423" s="2"/>
      <c r="I423" s="2"/>
      <c r="K423" s="2"/>
      <c r="M423" s="2"/>
      <c r="O423" s="2"/>
      <c r="Q423" s="2"/>
      <c r="S423" s="2"/>
      <c r="U423" s="2"/>
      <c r="W423" s="2"/>
      <c r="Y423" s="2"/>
      <c r="AA423" s="2"/>
      <c r="AC423" s="2"/>
      <c r="AE423" s="2"/>
    </row>
    <row r="424" spans="1:31" x14ac:dyDescent="0.25">
      <c r="A424" s="2"/>
      <c r="C424" s="2"/>
      <c r="E424" s="2"/>
      <c r="G424" s="2"/>
      <c r="I424" s="2"/>
      <c r="K424" s="2"/>
      <c r="M424" s="2"/>
      <c r="O424" s="2"/>
      <c r="Q424" s="2"/>
      <c r="S424" s="2"/>
      <c r="U424" s="2"/>
      <c r="W424" s="2"/>
      <c r="Y424" s="2"/>
      <c r="AA424" s="2"/>
      <c r="AC424" s="2"/>
      <c r="AE424" s="2"/>
    </row>
    <row r="425" spans="1:31" x14ac:dyDescent="0.25">
      <c r="A425" s="2"/>
      <c r="C425" s="2"/>
      <c r="E425" s="2"/>
      <c r="G425" s="2"/>
      <c r="I425" s="2"/>
      <c r="K425" s="2"/>
      <c r="M425" s="2"/>
      <c r="O425" s="2"/>
      <c r="Q425" s="2"/>
      <c r="S425" s="2"/>
      <c r="U425" s="2"/>
      <c r="W425" s="2"/>
      <c r="Y425" s="2"/>
      <c r="AA425" s="2"/>
      <c r="AC425" s="2"/>
      <c r="AE425" s="2"/>
    </row>
    <row r="426" spans="1:31" x14ac:dyDescent="0.25">
      <c r="A426" s="2"/>
      <c r="C426" s="2"/>
      <c r="E426" s="2"/>
      <c r="G426" s="2"/>
      <c r="I426" s="2"/>
      <c r="K426" s="2"/>
      <c r="M426" s="2"/>
      <c r="O426" s="2"/>
      <c r="Q426" s="2"/>
      <c r="S426" s="2"/>
      <c r="U426" s="2"/>
      <c r="W426" s="2"/>
      <c r="Y426" s="2"/>
      <c r="AA426" s="2"/>
      <c r="AC426" s="2"/>
      <c r="AE426" s="2"/>
    </row>
    <row r="427" spans="1:31" x14ac:dyDescent="0.25">
      <c r="A427" s="2"/>
      <c r="C427" s="2"/>
      <c r="E427" s="2"/>
      <c r="G427" s="2"/>
      <c r="I427" s="2"/>
      <c r="K427" s="2"/>
      <c r="M427" s="2"/>
      <c r="O427" s="2"/>
      <c r="Q427" s="2"/>
      <c r="S427" s="2"/>
      <c r="U427" s="2"/>
      <c r="W427" s="2"/>
      <c r="Y427" s="2"/>
      <c r="AA427" s="2"/>
      <c r="AC427" s="2"/>
      <c r="AE427" s="2"/>
    </row>
    <row r="428" spans="1:31" x14ac:dyDescent="0.25">
      <c r="A428" s="2"/>
      <c r="C428" s="2"/>
      <c r="E428" s="2"/>
      <c r="G428" s="2"/>
      <c r="I428" s="2"/>
      <c r="K428" s="2"/>
      <c r="M428" s="2"/>
      <c r="O428" s="2"/>
      <c r="Q428" s="2"/>
      <c r="S428" s="2"/>
      <c r="U428" s="2"/>
      <c r="W428" s="2"/>
      <c r="Y428" s="2"/>
      <c r="AA428" s="2"/>
      <c r="AC428" s="2"/>
      <c r="AE428" s="2"/>
    </row>
    <row r="429" spans="1:31" x14ac:dyDescent="0.25">
      <c r="A429" s="2"/>
      <c r="C429" s="2"/>
      <c r="E429" s="2"/>
      <c r="G429" s="2"/>
      <c r="I429" s="2"/>
      <c r="K429" s="2"/>
      <c r="M429" s="2"/>
      <c r="O429" s="2"/>
      <c r="Q429" s="2"/>
      <c r="S429" s="2"/>
      <c r="U429" s="2"/>
      <c r="W429" s="2"/>
      <c r="Y429" s="2"/>
      <c r="AA429" s="2"/>
      <c r="AC429" s="2"/>
      <c r="AE429" s="2"/>
    </row>
    <row r="430" spans="1:31" x14ac:dyDescent="0.25">
      <c r="A430" s="2"/>
      <c r="C430" s="2"/>
      <c r="E430" s="2"/>
      <c r="G430" s="2"/>
      <c r="I430" s="2"/>
      <c r="K430" s="2"/>
      <c r="M430" s="2"/>
      <c r="O430" s="2"/>
      <c r="Q430" s="2"/>
      <c r="S430" s="2"/>
      <c r="U430" s="2"/>
      <c r="W430" s="2"/>
      <c r="Y430" s="2"/>
      <c r="AA430" s="2"/>
      <c r="AC430" s="2"/>
      <c r="AE430" s="2"/>
    </row>
    <row r="431" spans="1:31" x14ac:dyDescent="0.25">
      <c r="A431" s="2"/>
      <c r="C431" s="2"/>
      <c r="E431" s="2"/>
      <c r="G431" s="2"/>
      <c r="I431" s="2"/>
      <c r="K431" s="2"/>
      <c r="M431" s="2"/>
      <c r="O431" s="2"/>
      <c r="Q431" s="2"/>
      <c r="S431" s="2"/>
      <c r="U431" s="2"/>
      <c r="W431" s="2"/>
      <c r="Y431" s="2"/>
      <c r="AA431" s="2"/>
      <c r="AC431" s="2"/>
      <c r="AE431" s="2"/>
    </row>
    <row r="432" spans="1:31" x14ac:dyDescent="0.25">
      <c r="A432" s="2"/>
      <c r="C432" s="2"/>
      <c r="E432" s="2"/>
      <c r="G432" s="2"/>
      <c r="I432" s="2"/>
      <c r="K432" s="2"/>
      <c r="M432" s="2"/>
      <c r="O432" s="2"/>
      <c r="Q432" s="2"/>
      <c r="S432" s="2"/>
      <c r="U432" s="2"/>
      <c r="W432" s="2"/>
      <c r="Y432" s="2"/>
      <c r="AA432" s="2"/>
      <c r="AC432" s="2"/>
      <c r="AE432" s="2"/>
    </row>
    <row r="433" spans="1:31" x14ac:dyDescent="0.25">
      <c r="A433" s="2"/>
      <c r="C433" s="2"/>
      <c r="E433" s="2"/>
      <c r="G433" s="2"/>
      <c r="I433" s="2"/>
      <c r="K433" s="2"/>
      <c r="M433" s="2"/>
      <c r="O433" s="2"/>
      <c r="Q433" s="2"/>
      <c r="S433" s="2"/>
      <c r="U433" s="2"/>
      <c r="W433" s="2"/>
      <c r="Y433" s="2"/>
      <c r="AA433" s="2"/>
      <c r="AC433" s="2"/>
      <c r="AE433" s="2"/>
    </row>
    <row r="434" spans="1:31" x14ac:dyDescent="0.25">
      <c r="A434" s="2"/>
      <c r="C434" s="2"/>
      <c r="E434" s="2"/>
      <c r="G434" s="2"/>
      <c r="I434" s="2"/>
      <c r="K434" s="2"/>
      <c r="M434" s="2"/>
      <c r="O434" s="2"/>
      <c r="Q434" s="2"/>
      <c r="S434" s="2"/>
      <c r="U434" s="2"/>
      <c r="W434" s="2"/>
      <c r="Y434" s="2"/>
      <c r="AA434" s="2"/>
      <c r="AC434" s="2"/>
      <c r="AE434" s="2"/>
    </row>
    <row r="435" spans="1:31" x14ac:dyDescent="0.25">
      <c r="A435" s="2"/>
      <c r="C435" s="2"/>
      <c r="E435" s="2"/>
      <c r="G435" s="2"/>
      <c r="I435" s="2"/>
      <c r="K435" s="2"/>
      <c r="M435" s="2"/>
      <c r="O435" s="2"/>
      <c r="Q435" s="2"/>
      <c r="S435" s="2"/>
      <c r="U435" s="2"/>
      <c r="W435" s="2"/>
      <c r="Y435" s="2"/>
      <c r="AA435" s="2"/>
      <c r="AC435" s="2"/>
      <c r="AE435" s="2"/>
    </row>
    <row r="436" spans="1:31" x14ac:dyDescent="0.25">
      <c r="A436" s="2"/>
      <c r="C436" s="2"/>
      <c r="E436" s="2"/>
      <c r="G436" s="2"/>
      <c r="I436" s="2"/>
      <c r="K436" s="2"/>
      <c r="M436" s="2"/>
      <c r="O436" s="2"/>
      <c r="Q436" s="2"/>
      <c r="S436" s="2"/>
      <c r="U436" s="2"/>
      <c r="W436" s="2"/>
      <c r="Y436" s="2"/>
      <c r="AA436" s="2"/>
      <c r="AC436" s="2"/>
      <c r="AE436" s="2"/>
    </row>
    <row r="437" spans="1:31" x14ac:dyDescent="0.25">
      <c r="A437" s="2"/>
      <c r="C437" s="2"/>
      <c r="E437" s="2"/>
      <c r="G437" s="2"/>
      <c r="I437" s="2"/>
      <c r="K437" s="2"/>
      <c r="M437" s="2"/>
      <c r="O437" s="2"/>
      <c r="Q437" s="2"/>
      <c r="S437" s="2"/>
      <c r="U437" s="2"/>
      <c r="W437" s="2"/>
      <c r="Y437" s="2"/>
      <c r="AA437" s="2"/>
      <c r="AC437" s="2"/>
      <c r="AE437" s="2"/>
    </row>
    <row r="438" spans="1:31" x14ac:dyDescent="0.25">
      <c r="A438" s="2"/>
      <c r="C438" s="2"/>
      <c r="E438" s="2"/>
      <c r="G438" s="2"/>
      <c r="I438" s="2"/>
      <c r="K438" s="2"/>
      <c r="M438" s="2"/>
      <c r="O438" s="2"/>
      <c r="Q438" s="2"/>
      <c r="S438" s="2"/>
      <c r="U438" s="2"/>
      <c r="W438" s="2"/>
      <c r="Y438" s="2"/>
      <c r="AA438" s="2"/>
      <c r="AC438" s="2"/>
      <c r="AE438" s="2"/>
    </row>
    <row r="439" spans="1:31" x14ac:dyDescent="0.25">
      <c r="A439" s="2"/>
      <c r="C439" s="2"/>
      <c r="E439" s="2"/>
      <c r="G439" s="2"/>
      <c r="I439" s="2"/>
      <c r="K439" s="2"/>
      <c r="M439" s="2"/>
      <c r="O439" s="2"/>
      <c r="Q439" s="2"/>
      <c r="S439" s="2"/>
      <c r="U439" s="2"/>
      <c r="W439" s="2"/>
      <c r="Y439" s="2"/>
      <c r="AA439" s="2"/>
      <c r="AC439" s="2"/>
      <c r="AE439" s="2"/>
    </row>
    <row r="440" spans="1:31" x14ac:dyDescent="0.25">
      <c r="A440" s="2"/>
      <c r="C440" s="2"/>
      <c r="E440" s="2"/>
      <c r="G440" s="2"/>
      <c r="I440" s="2"/>
      <c r="K440" s="2"/>
      <c r="M440" s="2"/>
      <c r="O440" s="2"/>
      <c r="Q440" s="2"/>
      <c r="S440" s="2"/>
      <c r="U440" s="2"/>
      <c r="W440" s="2"/>
      <c r="Y440" s="2"/>
      <c r="AA440" s="2"/>
      <c r="AC440" s="2"/>
      <c r="AE440" s="2"/>
    </row>
    <row r="441" spans="1:31" x14ac:dyDescent="0.25">
      <c r="A441" s="2"/>
      <c r="C441" s="2"/>
      <c r="E441" s="2"/>
      <c r="G441" s="2"/>
      <c r="I441" s="2"/>
      <c r="K441" s="2"/>
      <c r="M441" s="2"/>
      <c r="O441" s="2"/>
      <c r="Q441" s="2"/>
      <c r="S441" s="2"/>
      <c r="U441" s="2"/>
      <c r="W441" s="2"/>
      <c r="Y441" s="2"/>
      <c r="AA441" s="2"/>
      <c r="AC441" s="2"/>
      <c r="AE441" s="2"/>
    </row>
    <row r="442" spans="1:31" x14ac:dyDescent="0.25">
      <c r="A442" s="2"/>
      <c r="C442" s="2"/>
      <c r="E442" s="2"/>
      <c r="G442" s="2"/>
      <c r="I442" s="2"/>
      <c r="K442" s="2"/>
      <c r="M442" s="2"/>
      <c r="O442" s="2"/>
      <c r="Q442" s="2"/>
      <c r="S442" s="2"/>
      <c r="U442" s="2"/>
      <c r="W442" s="2"/>
      <c r="Y442" s="2"/>
      <c r="AA442" s="2"/>
      <c r="AC442" s="2"/>
      <c r="AE442" s="2"/>
    </row>
    <row r="443" spans="1:31" x14ac:dyDescent="0.25">
      <c r="A443" s="2"/>
      <c r="C443" s="2"/>
      <c r="E443" s="2"/>
      <c r="G443" s="2"/>
      <c r="I443" s="2"/>
      <c r="K443" s="2"/>
      <c r="M443" s="2"/>
      <c r="O443" s="2"/>
      <c r="Q443" s="2"/>
      <c r="S443" s="2"/>
      <c r="U443" s="2"/>
      <c r="W443" s="2"/>
      <c r="Y443" s="2"/>
      <c r="AA443" s="2"/>
      <c r="AC443" s="2"/>
      <c r="AE443" s="2"/>
    </row>
    <row r="444" spans="1:31" x14ac:dyDescent="0.25">
      <c r="A444" s="2"/>
      <c r="C444" s="2"/>
      <c r="E444" s="2"/>
      <c r="G444" s="2"/>
      <c r="I444" s="2"/>
      <c r="K444" s="2"/>
      <c r="M444" s="2"/>
      <c r="O444" s="2"/>
      <c r="Q444" s="2"/>
      <c r="S444" s="2"/>
      <c r="U444" s="2"/>
      <c r="W444" s="2"/>
      <c r="Y444" s="2"/>
      <c r="AA444" s="2"/>
      <c r="AC444" s="2"/>
      <c r="AE444" s="2"/>
    </row>
    <row r="445" spans="1:31" x14ac:dyDescent="0.25">
      <c r="A445" s="2"/>
      <c r="C445" s="2"/>
      <c r="E445" s="2"/>
      <c r="G445" s="2"/>
      <c r="I445" s="2"/>
      <c r="K445" s="2"/>
      <c r="M445" s="2"/>
      <c r="O445" s="2"/>
      <c r="Q445" s="2"/>
      <c r="S445" s="2"/>
      <c r="U445" s="2"/>
      <c r="W445" s="2"/>
      <c r="Y445" s="2"/>
      <c r="AA445" s="2"/>
      <c r="AC445" s="2"/>
      <c r="AE445" s="2"/>
    </row>
    <row r="446" spans="1:31" x14ac:dyDescent="0.25">
      <c r="A446" s="2"/>
      <c r="C446" s="2"/>
      <c r="E446" s="2"/>
      <c r="G446" s="2"/>
      <c r="I446" s="2"/>
      <c r="K446" s="2"/>
      <c r="M446" s="2"/>
      <c r="O446" s="2"/>
      <c r="Q446" s="2"/>
      <c r="S446" s="2"/>
      <c r="U446" s="2"/>
      <c r="W446" s="2"/>
      <c r="Y446" s="2"/>
      <c r="AA446" s="2"/>
      <c r="AC446" s="2"/>
      <c r="AE446" s="2"/>
    </row>
    <row r="447" spans="1:31" x14ac:dyDescent="0.25">
      <c r="A447" s="2"/>
      <c r="C447" s="2"/>
      <c r="E447" s="2"/>
      <c r="G447" s="2"/>
      <c r="I447" s="2"/>
      <c r="K447" s="2"/>
      <c r="M447" s="2"/>
      <c r="O447" s="2"/>
      <c r="Q447" s="2"/>
      <c r="S447" s="2"/>
      <c r="U447" s="2"/>
      <c r="W447" s="2"/>
      <c r="Y447" s="2"/>
      <c r="AA447" s="2"/>
      <c r="AC447" s="2"/>
      <c r="AE447" s="2"/>
    </row>
    <row r="448" spans="1:31" x14ac:dyDescent="0.25">
      <c r="A448" s="2"/>
      <c r="C448" s="2"/>
      <c r="E448" s="2"/>
      <c r="G448" s="2"/>
      <c r="I448" s="2"/>
      <c r="K448" s="2"/>
      <c r="M448" s="2"/>
      <c r="O448" s="2"/>
      <c r="Q448" s="2"/>
      <c r="S448" s="2"/>
      <c r="U448" s="2"/>
      <c r="W448" s="2"/>
      <c r="Y448" s="2"/>
      <c r="AA448" s="2"/>
      <c r="AC448" s="2"/>
      <c r="AE448" s="2"/>
    </row>
    <row r="449" spans="1:31" x14ac:dyDescent="0.25">
      <c r="A449" s="2"/>
      <c r="C449" s="2"/>
      <c r="E449" s="2"/>
      <c r="G449" s="2"/>
      <c r="I449" s="2"/>
      <c r="K449" s="2"/>
      <c r="M449" s="2"/>
      <c r="O449" s="2"/>
      <c r="Q449" s="2"/>
      <c r="S449" s="2"/>
      <c r="U449" s="2"/>
      <c r="W449" s="2"/>
      <c r="Y449" s="2"/>
      <c r="AA449" s="2"/>
      <c r="AC449" s="2"/>
      <c r="AE449" s="2"/>
    </row>
    <row r="450" spans="1:31" x14ac:dyDescent="0.25">
      <c r="A450" s="2"/>
      <c r="C450" s="2"/>
      <c r="E450" s="2"/>
      <c r="G450" s="2"/>
      <c r="I450" s="2"/>
      <c r="K450" s="2"/>
      <c r="M450" s="2"/>
      <c r="O450" s="2"/>
      <c r="Q450" s="2"/>
      <c r="S450" s="2"/>
      <c r="U450" s="2"/>
      <c r="W450" s="2"/>
      <c r="Y450" s="2"/>
      <c r="AA450" s="2"/>
      <c r="AC450" s="2"/>
      <c r="AE450" s="2"/>
    </row>
    <row r="451" spans="1:31" x14ac:dyDescent="0.25">
      <c r="A451" s="2"/>
      <c r="C451" s="2"/>
      <c r="E451" s="2"/>
      <c r="G451" s="2"/>
      <c r="I451" s="2"/>
      <c r="K451" s="2"/>
      <c r="M451" s="2"/>
      <c r="O451" s="2"/>
      <c r="Q451" s="2"/>
      <c r="S451" s="2"/>
      <c r="U451" s="2"/>
      <c r="W451" s="2"/>
      <c r="Y451" s="2"/>
      <c r="AA451" s="2"/>
      <c r="AC451" s="2"/>
      <c r="AE451" s="2"/>
    </row>
    <row r="452" spans="1:31" x14ac:dyDescent="0.25">
      <c r="A452" s="2"/>
      <c r="C452" s="2"/>
      <c r="E452" s="2"/>
      <c r="G452" s="2"/>
      <c r="I452" s="2"/>
      <c r="K452" s="2"/>
      <c r="M452" s="2"/>
      <c r="O452" s="2"/>
      <c r="Q452" s="2"/>
      <c r="S452" s="2"/>
      <c r="U452" s="2"/>
      <c r="W452" s="2"/>
      <c r="Y452" s="2"/>
      <c r="AA452" s="2"/>
      <c r="AC452" s="2"/>
      <c r="AE452" s="2"/>
    </row>
    <row r="453" spans="1:31" x14ac:dyDescent="0.25">
      <c r="A453" s="2"/>
      <c r="C453" s="2"/>
      <c r="E453" s="2"/>
      <c r="G453" s="2"/>
      <c r="I453" s="2"/>
      <c r="K453" s="2"/>
      <c r="M453" s="2"/>
      <c r="O453" s="2"/>
      <c r="Q453" s="2"/>
      <c r="S453" s="2"/>
      <c r="U453" s="2"/>
      <c r="W453" s="2"/>
      <c r="Y453" s="2"/>
      <c r="AA453" s="2"/>
      <c r="AC453" s="2"/>
      <c r="AE453" s="2"/>
    </row>
    <row r="454" spans="1:31" x14ac:dyDescent="0.25">
      <c r="A454" s="2"/>
      <c r="C454" s="2"/>
      <c r="E454" s="2"/>
      <c r="G454" s="2"/>
      <c r="I454" s="2"/>
      <c r="K454" s="2"/>
      <c r="M454" s="2"/>
      <c r="O454" s="2"/>
      <c r="Q454" s="2"/>
      <c r="S454" s="2"/>
      <c r="U454" s="2"/>
      <c r="W454" s="2"/>
      <c r="Y454" s="2"/>
      <c r="AA454" s="2"/>
      <c r="AC454" s="2"/>
      <c r="AE454" s="2"/>
    </row>
    <row r="455" spans="1:31" x14ac:dyDescent="0.25">
      <c r="A455" s="2"/>
      <c r="C455" s="2"/>
      <c r="E455" s="2"/>
      <c r="G455" s="2"/>
      <c r="I455" s="2"/>
      <c r="K455" s="2"/>
      <c r="M455" s="2"/>
      <c r="O455" s="2"/>
      <c r="Q455" s="2"/>
      <c r="S455" s="2"/>
      <c r="U455" s="2"/>
      <c r="W455" s="2"/>
      <c r="Y455" s="2"/>
      <c r="AA455" s="2"/>
      <c r="AC455" s="2"/>
      <c r="AE455" s="2"/>
    </row>
    <row r="456" spans="1:31" x14ac:dyDescent="0.25">
      <c r="A456" s="2"/>
      <c r="C456" s="2"/>
      <c r="E456" s="2"/>
      <c r="G456" s="2"/>
      <c r="I456" s="2"/>
      <c r="K456" s="2"/>
      <c r="M456" s="2"/>
      <c r="O456" s="2"/>
      <c r="Q456" s="2"/>
      <c r="S456" s="2"/>
      <c r="U456" s="2"/>
      <c r="W456" s="2"/>
      <c r="Y456" s="2"/>
      <c r="AA456" s="2"/>
      <c r="AC456" s="2"/>
      <c r="AE456" s="2"/>
    </row>
    <row r="457" spans="1:31" x14ac:dyDescent="0.25">
      <c r="A457" s="2"/>
      <c r="C457" s="2"/>
      <c r="E457" s="2"/>
      <c r="G457" s="2"/>
      <c r="I457" s="2"/>
      <c r="K457" s="2"/>
      <c r="M457" s="2"/>
      <c r="O457" s="2"/>
      <c r="Q457" s="2"/>
      <c r="S457" s="2"/>
      <c r="U457" s="2"/>
      <c r="W457" s="2"/>
      <c r="Y457" s="2"/>
      <c r="AA457" s="2"/>
      <c r="AC457" s="2"/>
      <c r="AE457" s="2"/>
    </row>
    <row r="458" spans="1:31" x14ac:dyDescent="0.25">
      <c r="A458" s="2"/>
      <c r="C458" s="2"/>
      <c r="E458" s="2"/>
      <c r="G458" s="2"/>
      <c r="I458" s="2"/>
      <c r="K458" s="2"/>
      <c r="M458" s="2"/>
      <c r="O458" s="2"/>
      <c r="Q458" s="2"/>
      <c r="S458" s="2"/>
      <c r="U458" s="2"/>
      <c r="W458" s="2"/>
      <c r="Y458" s="2"/>
      <c r="AA458" s="2"/>
      <c r="AC458" s="2"/>
      <c r="AE458" s="2"/>
    </row>
    <row r="459" spans="1:31" x14ac:dyDescent="0.25">
      <c r="A459" s="2"/>
      <c r="C459" s="2"/>
      <c r="E459" s="2"/>
      <c r="G459" s="2"/>
      <c r="I459" s="2"/>
      <c r="K459" s="2"/>
      <c r="M459" s="2"/>
      <c r="O459" s="2"/>
      <c r="Q459" s="2"/>
      <c r="S459" s="2"/>
      <c r="U459" s="2"/>
      <c r="W459" s="2"/>
      <c r="Y459" s="2"/>
      <c r="AA459" s="2"/>
      <c r="AC459" s="2"/>
      <c r="AE459" s="2"/>
    </row>
    <row r="460" spans="1:31" x14ac:dyDescent="0.25">
      <c r="A460" s="2"/>
      <c r="C460" s="2"/>
      <c r="E460" s="2"/>
      <c r="G460" s="2"/>
      <c r="I460" s="2"/>
      <c r="K460" s="2"/>
      <c r="M460" s="2"/>
      <c r="O460" s="2"/>
      <c r="Q460" s="2"/>
      <c r="S460" s="2"/>
      <c r="U460" s="2"/>
      <c r="W460" s="2"/>
      <c r="Y460" s="2"/>
      <c r="AA460" s="2"/>
      <c r="AC460" s="2"/>
      <c r="AE460" s="2"/>
    </row>
    <row r="461" spans="1:31" x14ac:dyDescent="0.25">
      <c r="A461" s="2"/>
      <c r="C461" s="2"/>
      <c r="E461" s="2"/>
      <c r="G461" s="2"/>
      <c r="I461" s="2"/>
      <c r="K461" s="2"/>
      <c r="M461" s="2"/>
      <c r="O461" s="2"/>
      <c r="Q461" s="2"/>
      <c r="S461" s="2"/>
      <c r="U461" s="2"/>
      <c r="W461" s="2"/>
      <c r="Y461" s="2"/>
      <c r="AA461" s="2"/>
      <c r="AC461" s="2"/>
      <c r="AE461" s="2"/>
    </row>
    <row r="462" spans="1:31" x14ac:dyDescent="0.25">
      <c r="A462" s="2"/>
      <c r="C462" s="2"/>
      <c r="E462" s="2"/>
      <c r="G462" s="2"/>
      <c r="I462" s="2"/>
      <c r="K462" s="2"/>
      <c r="M462" s="2"/>
      <c r="O462" s="2"/>
      <c r="Q462" s="2"/>
      <c r="S462" s="2"/>
      <c r="U462" s="2"/>
      <c r="W462" s="2"/>
      <c r="Y462" s="2"/>
      <c r="AA462" s="2"/>
      <c r="AC462" s="2"/>
      <c r="AE462" s="2"/>
    </row>
    <row r="463" spans="1:31" x14ac:dyDescent="0.25">
      <c r="A463" s="2"/>
      <c r="C463" s="2"/>
      <c r="E463" s="2"/>
      <c r="G463" s="2"/>
      <c r="I463" s="2"/>
      <c r="K463" s="2"/>
      <c r="M463" s="2"/>
      <c r="O463" s="2"/>
      <c r="Q463" s="2"/>
      <c r="S463" s="2"/>
      <c r="U463" s="2"/>
      <c r="W463" s="2"/>
      <c r="Y463" s="2"/>
      <c r="AA463" s="2"/>
      <c r="AC463" s="2"/>
      <c r="AE463" s="2"/>
    </row>
    <row r="464" spans="1:31" x14ac:dyDescent="0.25">
      <c r="A464" s="2"/>
      <c r="C464" s="2"/>
      <c r="E464" s="2"/>
      <c r="G464" s="2"/>
      <c r="I464" s="2"/>
      <c r="K464" s="2"/>
      <c r="M464" s="2"/>
      <c r="O464" s="2"/>
      <c r="Q464" s="2"/>
      <c r="S464" s="2"/>
      <c r="U464" s="2"/>
      <c r="W464" s="2"/>
      <c r="Y464" s="2"/>
      <c r="AA464" s="2"/>
      <c r="AC464" s="2"/>
      <c r="AE464" s="2"/>
    </row>
    <row r="465" spans="1:31" x14ac:dyDescent="0.25">
      <c r="A465" s="2"/>
      <c r="C465" s="2"/>
      <c r="E465" s="2"/>
      <c r="G465" s="2"/>
      <c r="I465" s="2"/>
      <c r="K465" s="2"/>
      <c r="M465" s="2"/>
      <c r="O465" s="2"/>
      <c r="Q465" s="2"/>
      <c r="S465" s="2"/>
      <c r="U465" s="2"/>
      <c r="W465" s="2"/>
      <c r="Y465" s="2"/>
      <c r="AA465" s="2"/>
      <c r="AC465" s="2"/>
      <c r="AE465" s="2"/>
    </row>
    <row r="466" spans="1:31" x14ac:dyDescent="0.25">
      <c r="A466" s="2"/>
      <c r="C466" s="2"/>
      <c r="E466" s="2"/>
      <c r="G466" s="2"/>
      <c r="I466" s="2"/>
      <c r="K466" s="2"/>
      <c r="M466" s="2"/>
      <c r="O466" s="2"/>
      <c r="Q466" s="2"/>
      <c r="S466" s="2"/>
      <c r="U466" s="2"/>
      <c r="W466" s="2"/>
      <c r="Y466" s="2"/>
      <c r="AA466" s="2"/>
      <c r="AC466" s="2"/>
      <c r="AE466" s="2"/>
    </row>
    <row r="467" spans="1:31" x14ac:dyDescent="0.25">
      <c r="A467" s="2"/>
      <c r="C467" s="2"/>
      <c r="E467" s="2"/>
      <c r="G467" s="2"/>
      <c r="I467" s="2"/>
      <c r="K467" s="2"/>
      <c r="M467" s="2"/>
      <c r="O467" s="2"/>
      <c r="Q467" s="2"/>
      <c r="S467" s="2"/>
      <c r="U467" s="2"/>
      <c r="W467" s="2"/>
      <c r="Y467" s="2"/>
      <c r="AA467" s="2"/>
      <c r="AC467" s="2"/>
      <c r="AE467" s="2"/>
    </row>
    <row r="468" spans="1:31" x14ac:dyDescent="0.25">
      <c r="A468" s="2"/>
      <c r="C468" s="2"/>
      <c r="E468" s="2"/>
      <c r="G468" s="2"/>
      <c r="I468" s="2"/>
      <c r="K468" s="2"/>
      <c r="M468" s="2"/>
      <c r="O468" s="2"/>
      <c r="Q468" s="2"/>
      <c r="S468" s="2"/>
      <c r="U468" s="2"/>
      <c r="W468" s="2"/>
      <c r="Y468" s="2"/>
      <c r="AA468" s="2"/>
      <c r="AC468" s="2"/>
      <c r="AE468" s="2"/>
    </row>
    <row r="469" spans="1:31" x14ac:dyDescent="0.25">
      <c r="A469" s="2"/>
      <c r="C469" s="2"/>
      <c r="E469" s="2"/>
      <c r="G469" s="2"/>
      <c r="I469" s="2"/>
      <c r="K469" s="2"/>
      <c r="M469" s="2"/>
      <c r="O469" s="2"/>
      <c r="Q469" s="2"/>
      <c r="S469" s="2"/>
      <c r="U469" s="2"/>
      <c r="W469" s="2"/>
      <c r="Y469" s="2"/>
      <c r="AA469" s="2"/>
      <c r="AC469" s="2"/>
      <c r="AE469" s="2"/>
    </row>
    <row r="470" spans="1:31" x14ac:dyDescent="0.25">
      <c r="A470" s="2"/>
      <c r="C470" s="2"/>
      <c r="E470" s="2"/>
      <c r="G470" s="2"/>
      <c r="I470" s="2"/>
      <c r="K470" s="2"/>
      <c r="M470" s="2"/>
      <c r="O470" s="2"/>
      <c r="Q470" s="2"/>
      <c r="S470" s="2"/>
      <c r="U470" s="2"/>
      <c r="W470" s="2"/>
      <c r="Y470" s="2"/>
      <c r="AA470" s="2"/>
      <c r="AC470" s="2"/>
      <c r="AE470" s="2"/>
    </row>
    <row r="471" spans="1:31" x14ac:dyDescent="0.25">
      <c r="A471" s="2"/>
      <c r="C471" s="2"/>
      <c r="E471" s="2"/>
      <c r="G471" s="2"/>
      <c r="I471" s="2"/>
      <c r="K471" s="2"/>
      <c r="M471" s="2"/>
      <c r="O471" s="2"/>
      <c r="Q471" s="2"/>
      <c r="S471" s="2"/>
      <c r="U471" s="2"/>
      <c r="W471" s="2"/>
      <c r="Y471" s="2"/>
      <c r="AA471" s="2"/>
      <c r="AC471" s="2"/>
      <c r="AE471" s="2"/>
    </row>
    <row r="472" spans="1:31" x14ac:dyDescent="0.25">
      <c r="A472" s="2"/>
      <c r="C472" s="2"/>
      <c r="E472" s="2"/>
      <c r="G472" s="2"/>
      <c r="I472" s="2"/>
      <c r="K472" s="2"/>
      <c r="M472" s="2"/>
      <c r="O472" s="2"/>
      <c r="Q472" s="2"/>
      <c r="S472" s="2"/>
      <c r="U472" s="2"/>
      <c r="W472" s="2"/>
      <c r="Y472" s="2"/>
      <c r="AA472" s="2"/>
      <c r="AC472" s="2"/>
      <c r="AE472" s="2"/>
    </row>
    <row r="473" spans="1:31" x14ac:dyDescent="0.25">
      <c r="A473" s="2"/>
      <c r="C473" s="2"/>
      <c r="E473" s="2"/>
      <c r="G473" s="2"/>
      <c r="I473" s="2"/>
      <c r="K473" s="2"/>
      <c r="M473" s="2"/>
      <c r="O473" s="2"/>
      <c r="Q473" s="2"/>
      <c r="S473" s="2"/>
      <c r="U473" s="2"/>
      <c r="W473" s="2"/>
      <c r="Y473" s="2"/>
      <c r="AA473" s="2"/>
      <c r="AC473" s="2"/>
      <c r="AE473" s="2"/>
    </row>
    <row r="474" spans="1:31" x14ac:dyDescent="0.25">
      <c r="A474" s="2"/>
      <c r="C474" s="2"/>
      <c r="E474" s="2"/>
      <c r="G474" s="2"/>
      <c r="I474" s="2"/>
      <c r="K474" s="2"/>
      <c r="M474" s="2"/>
      <c r="O474" s="2"/>
      <c r="Q474" s="2"/>
      <c r="S474" s="2"/>
      <c r="U474" s="2"/>
      <c r="W474" s="2"/>
      <c r="Y474" s="2"/>
      <c r="AA474" s="2"/>
      <c r="AC474" s="2"/>
      <c r="AE474" s="2"/>
    </row>
    <row r="475" spans="1:31" x14ac:dyDescent="0.25">
      <c r="A475" s="2"/>
      <c r="C475" s="2"/>
      <c r="E475" s="2"/>
      <c r="G475" s="2"/>
      <c r="I475" s="2"/>
      <c r="K475" s="2"/>
      <c r="M475" s="2"/>
      <c r="O475" s="2"/>
      <c r="Q475" s="2"/>
      <c r="S475" s="2"/>
      <c r="U475" s="2"/>
      <c r="W475" s="2"/>
      <c r="Y475" s="2"/>
      <c r="AA475" s="2"/>
      <c r="AC475" s="2"/>
      <c r="AE475" s="2"/>
    </row>
    <row r="476" spans="1:31" x14ac:dyDescent="0.25">
      <c r="A476" s="2"/>
      <c r="C476" s="2"/>
      <c r="E476" s="2"/>
      <c r="G476" s="2"/>
      <c r="I476" s="2"/>
      <c r="K476" s="2"/>
      <c r="M476" s="2"/>
      <c r="O476" s="2"/>
      <c r="Q476" s="2"/>
      <c r="S476" s="2"/>
      <c r="U476" s="2"/>
      <c r="W476" s="2"/>
      <c r="Y476" s="2"/>
      <c r="AA476" s="2"/>
      <c r="AC476" s="2"/>
      <c r="AE476" s="2"/>
    </row>
    <row r="477" spans="1:31" x14ac:dyDescent="0.25">
      <c r="A477" s="2"/>
      <c r="C477" s="2"/>
      <c r="E477" s="2"/>
      <c r="G477" s="2"/>
      <c r="I477" s="2"/>
      <c r="K477" s="2"/>
      <c r="M477" s="2"/>
      <c r="O477" s="2"/>
      <c r="Q477" s="2"/>
      <c r="S477" s="2"/>
      <c r="U477" s="2"/>
      <c r="W477" s="2"/>
      <c r="Y477" s="2"/>
      <c r="AA477" s="2"/>
      <c r="AC477" s="2"/>
      <c r="AE477" s="2"/>
    </row>
    <row r="478" spans="1:31" x14ac:dyDescent="0.25">
      <c r="A478" s="2"/>
      <c r="C478" s="2"/>
      <c r="E478" s="2"/>
      <c r="G478" s="2"/>
      <c r="I478" s="2"/>
      <c r="K478" s="2"/>
      <c r="M478" s="2"/>
      <c r="O478" s="2"/>
      <c r="Q478" s="2"/>
      <c r="S478" s="2"/>
      <c r="U478" s="2"/>
      <c r="W478" s="2"/>
      <c r="Y478" s="2"/>
      <c r="AA478" s="2"/>
      <c r="AC478" s="2"/>
      <c r="AE478" s="2"/>
    </row>
    <row r="479" spans="1:31" x14ac:dyDescent="0.25">
      <c r="A479" s="2"/>
      <c r="C479" s="2"/>
      <c r="E479" s="2"/>
      <c r="G479" s="2"/>
      <c r="I479" s="2"/>
      <c r="K479" s="2"/>
      <c r="M479" s="2"/>
      <c r="O479" s="2"/>
      <c r="Q479" s="2"/>
      <c r="S479" s="2"/>
      <c r="U479" s="2"/>
      <c r="W479" s="2"/>
      <c r="Y479" s="2"/>
      <c r="AA479" s="2"/>
      <c r="AC479" s="2"/>
      <c r="AE479" s="2"/>
    </row>
    <row r="480" spans="1:31" x14ac:dyDescent="0.25">
      <c r="A480" s="2"/>
      <c r="C480" s="2"/>
      <c r="E480" s="2"/>
      <c r="G480" s="2"/>
      <c r="I480" s="2"/>
      <c r="K480" s="2"/>
      <c r="M480" s="2"/>
      <c r="O480" s="2"/>
      <c r="Q480" s="2"/>
      <c r="S480" s="2"/>
      <c r="U480" s="2"/>
      <c r="W480" s="2"/>
      <c r="Y480" s="2"/>
      <c r="AA480" s="2"/>
      <c r="AC480" s="2"/>
      <c r="AE480" s="2"/>
    </row>
    <row r="481" spans="1:31" x14ac:dyDescent="0.25">
      <c r="A481" s="2"/>
      <c r="C481" s="2"/>
      <c r="E481" s="2"/>
      <c r="G481" s="2"/>
      <c r="I481" s="2"/>
      <c r="K481" s="2"/>
      <c r="M481" s="2"/>
      <c r="O481" s="2"/>
      <c r="Q481" s="2"/>
      <c r="S481" s="2"/>
      <c r="U481" s="2"/>
      <c r="W481" s="2"/>
      <c r="Y481" s="2"/>
      <c r="AA481" s="2"/>
      <c r="AC481" s="2"/>
      <c r="AE481" s="2"/>
    </row>
    <row r="482" spans="1:31" x14ac:dyDescent="0.25">
      <c r="A482" s="2"/>
      <c r="C482" s="2"/>
      <c r="E482" s="2"/>
      <c r="G482" s="2"/>
      <c r="I482" s="2"/>
      <c r="K482" s="2"/>
      <c r="M482" s="2"/>
      <c r="O482" s="2"/>
      <c r="Q482" s="2"/>
      <c r="S482" s="2"/>
      <c r="U482" s="2"/>
      <c r="W482" s="2"/>
      <c r="Y482" s="2"/>
      <c r="AA482" s="2"/>
      <c r="AC482" s="2"/>
      <c r="AE482" s="2"/>
    </row>
    <row r="483" spans="1:31" x14ac:dyDescent="0.25">
      <c r="A483" s="2"/>
      <c r="C483" s="2"/>
      <c r="E483" s="2"/>
      <c r="G483" s="2"/>
      <c r="I483" s="2"/>
      <c r="K483" s="2"/>
      <c r="M483" s="2"/>
      <c r="O483" s="2"/>
      <c r="Q483" s="2"/>
      <c r="S483" s="2"/>
      <c r="U483" s="2"/>
      <c r="W483" s="2"/>
      <c r="Y483" s="2"/>
      <c r="AA483" s="2"/>
      <c r="AC483" s="2"/>
      <c r="AE483" s="2"/>
    </row>
    <row r="484" spans="1:31" x14ac:dyDescent="0.25">
      <c r="A484" s="2"/>
      <c r="C484" s="2"/>
      <c r="E484" s="2"/>
      <c r="G484" s="2"/>
      <c r="I484" s="2"/>
      <c r="K484" s="2"/>
      <c r="M484" s="2"/>
      <c r="O484" s="2"/>
      <c r="Q484" s="2"/>
      <c r="S484" s="2"/>
      <c r="U484" s="2"/>
      <c r="W484" s="2"/>
      <c r="Y484" s="2"/>
      <c r="AA484" s="2"/>
      <c r="AC484" s="2"/>
      <c r="AE484" s="2"/>
    </row>
    <row r="485" spans="1:31" x14ac:dyDescent="0.25">
      <c r="A485" s="2"/>
      <c r="C485" s="2"/>
      <c r="E485" s="2"/>
      <c r="G485" s="2"/>
      <c r="I485" s="2"/>
      <c r="K485" s="2"/>
      <c r="M485" s="2"/>
      <c r="O485" s="2"/>
      <c r="Q485" s="2"/>
      <c r="S485" s="2"/>
      <c r="U485" s="2"/>
      <c r="W485" s="2"/>
      <c r="Y485" s="2"/>
      <c r="AA485" s="2"/>
      <c r="AC485" s="2"/>
      <c r="AE485" s="2"/>
    </row>
    <row r="486" spans="1:31" x14ac:dyDescent="0.25">
      <c r="A486" s="2"/>
      <c r="C486" s="2"/>
      <c r="E486" s="2"/>
      <c r="G486" s="2"/>
      <c r="I486" s="2"/>
      <c r="K486" s="2"/>
      <c r="M486" s="2"/>
      <c r="O486" s="2"/>
      <c r="Q486" s="2"/>
      <c r="S486" s="2"/>
      <c r="U486" s="2"/>
      <c r="W486" s="2"/>
      <c r="Y486" s="2"/>
      <c r="AA486" s="2"/>
      <c r="AC486" s="2"/>
      <c r="AE486" s="2"/>
    </row>
    <row r="487" spans="1:31" x14ac:dyDescent="0.25">
      <c r="A487" s="2"/>
      <c r="C487" s="2"/>
      <c r="E487" s="2"/>
      <c r="G487" s="2"/>
      <c r="I487" s="2"/>
      <c r="K487" s="2"/>
      <c r="M487" s="2"/>
      <c r="O487" s="2"/>
      <c r="Q487" s="2"/>
      <c r="S487" s="2"/>
      <c r="U487" s="2"/>
      <c r="W487" s="2"/>
      <c r="Y487" s="2"/>
      <c r="AA487" s="2"/>
      <c r="AC487" s="2"/>
      <c r="AE487" s="2"/>
    </row>
    <row r="488" spans="1:31" x14ac:dyDescent="0.25">
      <c r="A488" s="2"/>
      <c r="C488" s="2"/>
      <c r="E488" s="2"/>
      <c r="G488" s="2"/>
      <c r="I488" s="2"/>
      <c r="K488" s="2"/>
      <c r="M488" s="2"/>
      <c r="O488" s="2"/>
      <c r="Q488" s="2"/>
      <c r="S488" s="2"/>
      <c r="U488" s="2"/>
      <c r="W488" s="2"/>
      <c r="Y488" s="2"/>
      <c r="AA488" s="2"/>
      <c r="AC488" s="2"/>
      <c r="AE488" s="2"/>
    </row>
    <row r="489" spans="1:31" x14ac:dyDescent="0.25">
      <c r="A489" s="2"/>
      <c r="C489" s="2"/>
      <c r="E489" s="2"/>
      <c r="G489" s="2"/>
      <c r="I489" s="2"/>
      <c r="K489" s="2"/>
      <c r="M489" s="2"/>
      <c r="O489" s="2"/>
      <c r="Q489" s="2"/>
      <c r="S489" s="2"/>
      <c r="U489" s="2"/>
      <c r="W489" s="2"/>
      <c r="Y489" s="2"/>
      <c r="AA489" s="2"/>
      <c r="AC489" s="2"/>
      <c r="AE489" s="2"/>
    </row>
    <row r="490" spans="1:31" x14ac:dyDescent="0.25">
      <c r="A490" s="2"/>
      <c r="C490" s="2"/>
      <c r="E490" s="2"/>
      <c r="G490" s="2"/>
      <c r="I490" s="2"/>
      <c r="K490" s="2"/>
      <c r="M490" s="2"/>
      <c r="O490" s="2"/>
      <c r="Q490" s="2"/>
      <c r="S490" s="2"/>
      <c r="U490" s="2"/>
      <c r="W490" s="2"/>
      <c r="Y490" s="2"/>
      <c r="AA490" s="2"/>
      <c r="AC490" s="2"/>
      <c r="AE490" s="2"/>
    </row>
    <row r="491" spans="1:31" x14ac:dyDescent="0.25">
      <c r="A491" s="2"/>
      <c r="C491" s="2"/>
      <c r="E491" s="2"/>
      <c r="G491" s="2"/>
      <c r="I491" s="2"/>
      <c r="K491" s="2"/>
      <c r="M491" s="2"/>
      <c r="O491" s="2"/>
      <c r="Q491" s="2"/>
      <c r="S491" s="2"/>
      <c r="U491" s="2"/>
      <c r="W491" s="2"/>
      <c r="Y491" s="2"/>
      <c r="AA491" s="2"/>
      <c r="AC491" s="2"/>
      <c r="AE491" s="2"/>
    </row>
    <row r="492" spans="1:31" x14ac:dyDescent="0.25">
      <c r="A492" s="2"/>
      <c r="C492" s="2"/>
      <c r="E492" s="2"/>
      <c r="G492" s="2"/>
      <c r="I492" s="2"/>
      <c r="K492" s="2"/>
      <c r="M492" s="2"/>
      <c r="O492" s="2"/>
      <c r="Q492" s="2"/>
      <c r="S492" s="2"/>
      <c r="U492" s="2"/>
      <c r="W492" s="2"/>
      <c r="Y492" s="2"/>
      <c r="AA492" s="2"/>
      <c r="AC492" s="2"/>
      <c r="AE492" s="2"/>
    </row>
    <row r="493" spans="1:31" x14ac:dyDescent="0.25">
      <c r="A493" s="2"/>
      <c r="C493" s="2"/>
      <c r="E493" s="2"/>
      <c r="G493" s="2"/>
      <c r="I493" s="2"/>
      <c r="K493" s="2"/>
      <c r="M493" s="2"/>
      <c r="O493" s="2"/>
      <c r="Q493" s="2"/>
      <c r="S493" s="2"/>
      <c r="U493" s="2"/>
      <c r="W493" s="2"/>
      <c r="Y493" s="2"/>
      <c r="AA493" s="2"/>
      <c r="AC493" s="2"/>
      <c r="AE493" s="2"/>
    </row>
    <row r="494" spans="1:31" x14ac:dyDescent="0.25">
      <c r="A494" s="2"/>
      <c r="C494" s="2"/>
      <c r="E494" s="2"/>
      <c r="G494" s="2"/>
      <c r="I494" s="2"/>
      <c r="K494" s="2"/>
      <c r="M494" s="2"/>
      <c r="O494" s="2"/>
      <c r="Q494" s="2"/>
      <c r="S494" s="2"/>
      <c r="U494" s="2"/>
      <c r="W494" s="2"/>
      <c r="Y494" s="2"/>
      <c r="AA494" s="2"/>
      <c r="AC494" s="2"/>
      <c r="AE494" s="2"/>
    </row>
    <row r="495" spans="1:31" x14ac:dyDescent="0.25">
      <c r="A495" s="2"/>
      <c r="C495" s="2"/>
      <c r="E495" s="2"/>
      <c r="G495" s="2"/>
      <c r="I495" s="2"/>
      <c r="K495" s="2"/>
      <c r="M495" s="2"/>
      <c r="O495" s="2"/>
      <c r="Q495" s="2"/>
      <c r="S495" s="2"/>
      <c r="U495" s="2"/>
      <c r="W495" s="2"/>
      <c r="Y495" s="2"/>
      <c r="AA495" s="2"/>
      <c r="AC495" s="2"/>
      <c r="AE495" s="2"/>
    </row>
    <row r="496" spans="1:31" x14ac:dyDescent="0.25">
      <c r="A496" s="2"/>
      <c r="C496" s="2"/>
      <c r="E496" s="2"/>
      <c r="G496" s="2"/>
      <c r="I496" s="2"/>
      <c r="K496" s="2"/>
      <c r="M496" s="2"/>
      <c r="O496" s="2"/>
      <c r="Q496" s="2"/>
      <c r="S496" s="2"/>
      <c r="U496" s="2"/>
      <c r="W496" s="2"/>
      <c r="Y496" s="2"/>
      <c r="AA496" s="2"/>
      <c r="AC496" s="2"/>
      <c r="AE496" s="2"/>
    </row>
    <row r="497" spans="1:32" x14ac:dyDescent="0.25">
      <c r="A497" s="2"/>
      <c r="C497" s="2"/>
      <c r="E497" s="2"/>
      <c r="G497" s="2"/>
      <c r="I497" s="2"/>
      <c r="K497" s="2"/>
      <c r="M497" s="2"/>
      <c r="O497" s="2"/>
      <c r="Q497" s="2"/>
      <c r="S497" s="2"/>
      <c r="U497" s="2"/>
      <c r="W497" s="2"/>
      <c r="Y497" s="2"/>
      <c r="AA497" s="2"/>
      <c r="AC497" s="2"/>
      <c r="AE497" s="2"/>
    </row>
    <row r="498" spans="1:32" x14ac:dyDescent="0.25">
      <c r="A498" s="2"/>
      <c r="C498" s="2"/>
      <c r="E498" s="2"/>
      <c r="G498" s="2"/>
      <c r="I498" s="2"/>
      <c r="K498" s="2"/>
      <c r="M498" s="2"/>
      <c r="O498" s="2"/>
      <c r="Q498" s="2"/>
      <c r="S498" s="2"/>
      <c r="U498" s="2"/>
      <c r="W498" s="2"/>
      <c r="Y498" s="2"/>
      <c r="AA498" s="2"/>
      <c r="AC498" s="2"/>
      <c r="AE498" s="2"/>
    </row>
    <row r="499" spans="1:32" x14ac:dyDescent="0.25">
      <c r="A499" s="2"/>
      <c r="C499" s="2"/>
      <c r="E499" s="2"/>
      <c r="G499" s="2"/>
      <c r="I499" s="2"/>
      <c r="K499" s="2"/>
      <c r="M499" s="2"/>
      <c r="O499" s="2"/>
      <c r="Q499" s="2"/>
      <c r="S499" s="2"/>
      <c r="U499" s="2"/>
      <c r="W499" s="2"/>
      <c r="Y499" s="2"/>
      <c r="AA499" s="2"/>
      <c r="AC499" s="2"/>
      <c r="AE499" s="2"/>
    </row>
    <row r="500" spans="1:32" x14ac:dyDescent="0.25">
      <c r="A500" s="2"/>
      <c r="C500" s="2"/>
      <c r="E500" s="2"/>
      <c r="G500" s="2"/>
      <c r="I500" s="2"/>
      <c r="K500" s="2"/>
      <c r="M500" s="2"/>
      <c r="O500" s="2"/>
      <c r="Q500" s="2"/>
      <c r="S500" s="2"/>
      <c r="U500" s="2"/>
      <c r="W500" s="2"/>
      <c r="Y500" s="2"/>
      <c r="AA500" s="2"/>
      <c r="AC500" s="2"/>
      <c r="AE500" s="2"/>
    </row>
    <row r="501" spans="1:32" x14ac:dyDescent="0.25">
      <c r="A501" s="34"/>
      <c r="B501" s="35"/>
      <c r="C501" s="34"/>
      <c r="D501" s="35"/>
      <c r="E501" s="34"/>
      <c r="F501" s="35"/>
      <c r="G501" s="34"/>
      <c r="H501" s="35"/>
      <c r="I501" s="34"/>
      <c r="J501" s="35"/>
      <c r="K501" s="34"/>
      <c r="L501" s="35"/>
      <c r="M501" s="34"/>
      <c r="N501" s="35"/>
      <c r="O501" s="34"/>
      <c r="P501" s="35"/>
      <c r="Q501" s="34"/>
      <c r="R501" s="35"/>
      <c r="S501" s="34"/>
      <c r="T501" s="35"/>
      <c r="U501" s="34"/>
      <c r="V501" s="35"/>
      <c r="W501" s="34"/>
      <c r="X501" s="35"/>
      <c r="Y501" s="34"/>
      <c r="Z501" s="35"/>
      <c r="AA501" s="34"/>
      <c r="AB501" s="35"/>
      <c r="AC501" s="34"/>
      <c r="AD501" s="35"/>
      <c r="AE501" s="34"/>
      <c r="AF501" s="35"/>
    </row>
    <row r="502" spans="1:32" x14ac:dyDescent="0.25">
      <c r="A502" s="34"/>
      <c r="B502" s="35"/>
      <c r="C502" s="34"/>
      <c r="D502" s="35"/>
      <c r="E502" s="34"/>
      <c r="F502" s="35"/>
      <c r="G502" s="34"/>
      <c r="H502" s="35"/>
      <c r="I502" s="34"/>
      <c r="J502" s="35"/>
      <c r="K502" s="34"/>
      <c r="L502" s="35"/>
      <c r="M502" s="34"/>
      <c r="N502" s="35"/>
      <c r="O502" s="34"/>
      <c r="P502" s="35"/>
      <c r="Q502" s="34"/>
      <c r="R502" s="35"/>
      <c r="S502" s="34"/>
      <c r="T502" s="35"/>
      <c r="U502" s="34"/>
      <c r="V502" s="35"/>
      <c r="W502" s="34"/>
      <c r="X502" s="35"/>
      <c r="Y502" s="34"/>
      <c r="Z502" s="35"/>
      <c r="AA502" s="34"/>
      <c r="AB502" s="35"/>
      <c r="AC502" s="34"/>
      <c r="AD502" s="35"/>
      <c r="AE502" s="34"/>
      <c r="AF502" s="35"/>
    </row>
    <row r="503" spans="1:32" x14ac:dyDescent="0.25">
      <c r="A503" s="34"/>
      <c r="B503" s="35"/>
      <c r="C503" s="34"/>
      <c r="D503" s="35"/>
      <c r="E503" s="34"/>
      <c r="F503" s="35"/>
      <c r="G503" s="34"/>
      <c r="H503" s="35"/>
      <c r="I503" s="34"/>
      <c r="J503" s="35"/>
      <c r="K503" s="34"/>
      <c r="L503" s="35"/>
      <c r="M503" s="34"/>
      <c r="N503" s="35"/>
      <c r="O503" s="34"/>
      <c r="P503" s="35"/>
      <c r="Q503" s="34"/>
      <c r="R503" s="35"/>
      <c r="S503" s="34"/>
      <c r="T503" s="35"/>
      <c r="U503" s="34"/>
      <c r="V503" s="35"/>
      <c r="W503" s="34"/>
      <c r="X503" s="35"/>
      <c r="Y503" s="34"/>
      <c r="Z503" s="35"/>
      <c r="AA503" s="34"/>
      <c r="AB503" s="35"/>
      <c r="AC503" s="34"/>
      <c r="AD503" s="35"/>
      <c r="AE503" s="34"/>
      <c r="AF503" s="35"/>
    </row>
    <row r="504" spans="1:32" x14ac:dyDescent="0.25">
      <c r="A504" s="33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</row>
  </sheetData>
  <mergeCells count="10">
    <mergeCell ref="A10:AF10"/>
    <mergeCell ref="A1:AF1"/>
    <mergeCell ref="A2:AF2"/>
    <mergeCell ref="A3:AF3"/>
    <mergeCell ref="A9:B9"/>
    <mergeCell ref="A4:C4"/>
    <mergeCell ref="A5:B5"/>
    <mergeCell ref="A6:B6"/>
    <mergeCell ref="A7:B7"/>
    <mergeCell ref="A8:B8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t_Dfs">
                <anchor moveWithCells="1" sizeWithCells="1">
                  <from>
                    <xdr:col>3</xdr:col>
                    <xdr:colOff>47625</xdr:colOff>
                    <xdr:row>2</xdr:row>
                    <xdr:rowOff>257175</xdr:rowOff>
                  </from>
                  <to>
                    <xdr:col>4</xdr:col>
                    <xdr:colOff>523875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C6F53-610F-486F-BF86-3AD86C025B10}">
  <sheetPr codeName="Sheet33"/>
  <dimension ref="A1:U201"/>
  <sheetViews>
    <sheetView topLeftCell="A64" zoomScale="70" zoomScaleNormal="70" workbookViewId="0">
      <selection activeCell="N104" sqref="N104"/>
    </sheetView>
  </sheetViews>
  <sheetFormatPr defaultColWidth="8.85546875" defaultRowHeight="15" x14ac:dyDescent="0.25"/>
  <cols>
    <col min="1" max="1" width="10.5703125" customWidth="1"/>
    <col min="2" max="2" width="13" customWidth="1"/>
    <col min="3" max="3" width="12.7109375" customWidth="1"/>
    <col min="4" max="4" width="10.42578125" customWidth="1"/>
    <col min="5" max="5" width="9.5703125" bestFit="1" customWidth="1"/>
    <col min="6" max="6" width="25.28515625" customWidth="1"/>
    <col min="9" max="9" width="11.7109375" customWidth="1"/>
    <col min="11" max="11" width="14.28515625" customWidth="1"/>
    <col min="15" max="16" width="12.140625" customWidth="1"/>
    <col min="18" max="18" width="20" customWidth="1"/>
  </cols>
  <sheetData>
    <row r="1" spans="1:21" x14ac:dyDescent="0.25">
      <c r="A1" t="s">
        <v>463</v>
      </c>
      <c r="B1" t="str">
        <f ca="1">TEXT(Swap_Date,"mm/dd/yyyy")</f>
        <v>04/15/2019</v>
      </c>
    </row>
    <row r="2" spans="1:21" x14ac:dyDescent="0.25">
      <c r="A2" t="s">
        <v>464</v>
      </c>
      <c r="B2" t="str">
        <f>"15:00:00"</f>
        <v>15:00:00</v>
      </c>
      <c r="C2" t="str">
        <f ca="1">B1&amp;" "&amp;B2</f>
        <v>04/15/2019 15:00:00</v>
      </c>
      <c r="D2" t="str">
        <f>"11:15:00"</f>
        <v>11:15:00</v>
      </c>
      <c r="E2" t="str">
        <f ca="1">$B$1&amp;" "&amp;D2</f>
        <v>04/15/2019 11:15:00</v>
      </c>
    </row>
    <row r="3" spans="1:21" x14ac:dyDescent="0.25">
      <c r="A3" t="s">
        <v>465</v>
      </c>
      <c r="B3" t="str">
        <f>"15:01:00"</f>
        <v>15:01:00</v>
      </c>
      <c r="C3" t="str">
        <f ca="1">B1&amp;" "&amp;B3</f>
        <v>04/15/2019 15:01:00</v>
      </c>
      <c r="D3" t="str">
        <f>"11:16:00"</f>
        <v>11:16:00</v>
      </c>
      <c r="E3" t="str">
        <f ca="1">$B$1&amp;" "&amp;D3</f>
        <v>04/15/2019 11:16:00</v>
      </c>
      <c r="F3" s="3"/>
      <c r="I3" s="3"/>
    </row>
    <row r="4" spans="1:21" x14ac:dyDescent="0.25">
      <c r="A4" t="s">
        <v>12</v>
      </c>
      <c r="B4">
        <v>6</v>
      </c>
      <c r="D4">
        <v>7</v>
      </c>
      <c r="F4">
        <v>100</v>
      </c>
      <c r="H4" t="s">
        <v>34</v>
      </c>
      <c r="I4" t="s">
        <v>656</v>
      </c>
      <c r="S4" t="s">
        <v>460</v>
      </c>
      <c r="T4" t="s">
        <v>461</v>
      </c>
    </row>
    <row r="5" spans="1:21" x14ac:dyDescent="0.25">
      <c r="A5" t="s">
        <v>28</v>
      </c>
      <c r="B5" t="s">
        <v>29</v>
      </c>
      <c r="C5" t="s">
        <v>30</v>
      </c>
      <c r="D5" t="s">
        <v>31</v>
      </c>
      <c r="E5" t="s">
        <v>32</v>
      </c>
      <c r="F5" t="s">
        <v>33</v>
      </c>
      <c r="I5" t="s">
        <v>650</v>
      </c>
      <c r="U5" t="s">
        <v>462</v>
      </c>
    </row>
    <row r="6" spans="1:21" x14ac:dyDescent="0.25">
      <c r="A6" s="1">
        <f ca="1">WORKDAY(Swap_Date,1)</f>
        <v>43571</v>
      </c>
      <c r="B6" t="str">
        <f ca="1">IF(_xll.BDH(H6,"PX_LAST",Cash_Date,Cash_Date)="#N/A N/A",0%,_xll.BDH(H6,"PX_LAST",Cash_Date,Cash_Date))</f>
        <v>#N/A Connection</v>
      </c>
      <c r="C6" s="1">
        <f ca="1">nextimm(Swap_Date)</f>
        <v>43635</v>
      </c>
      <c r="D6" t="str">
        <f ca="1">IFERROR(100-_xll.BDH(I6,"PX_LAST",Future_Date,Future_Date),B9)</f>
        <v>#N/A Connection</v>
      </c>
      <c r="E6" s="1">
        <f ca="1">EDATE(Swap_Date,24)</f>
        <v>44301</v>
      </c>
      <c r="F6">
        <f ca="1">IF(ISNUMBER(S6),S6,T6)</f>
        <v>2.4436</v>
      </c>
      <c r="H6" t="s">
        <v>35</v>
      </c>
      <c r="I6" t="str">
        <f ca="1">$I$5&amp;$L6&amp;" "&amp;$I$4</f>
        <v>EDM9 Comdty</v>
      </c>
      <c r="J6" t="s">
        <v>486</v>
      </c>
      <c r="L6" t="str">
        <f ca="1">get_fut_code(C6)</f>
        <v>M9</v>
      </c>
      <c r="P6" s="23"/>
      <c r="R6" s="23" t="str">
        <f ca="1">_xll.BDH($J6,"Close",$C$2,$C$3,"BarType","T","Dir=V","cols=2;rows=1")</f>
        <v>#N/A Connection</v>
      </c>
      <c r="S6">
        <v>2.4436</v>
      </c>
      <c r="T6" t="str">
        <f ca="1">_xll.BDH($J6,"LAST_PRICE",Swap_Date,Swap_Date)</f>
        <v>#N/A Connection</v>
      </c>
      <c r="U6" t="e">
        <f ca="1">S6-T6</f>
        <v>#VALUE!</v>
      </c>
    </row>
    <row r="7" spans="1:21" x14ac:dyDescent="0.25">
      <c r="A7" s="1">
        <f ca="1">EDATE(Swap_Date,1)</f>
        <v>43600</v>
      </c>
      <c r="B7" t="str">
        <f ca="1">IF(_xll.BDH(H7,"PX_LAST",Cash_Date,Cash_Date)="#N/A N/A",0%,_xll.BDH(H7,"PX_LAST",Cash_Date,Cash_Date))</f>
        <v>#N/A Connection</v>
      </c>
      <c r="C7" s="1">
        <f ca="1">nextimm(C6+1)</f>
        <v>43726</v>
      </c>
      <c r="D7">
        <f ca="1">IFERROR(100-_xll.BDH(I7,"PX_LAST",Future_Date,Future_Date),0)</f>
        <v>0</v>
      </c>
      <c r="E7" s="1">
        <f ca="1">EDATE(E6,12)</f>
        <v>44666</v>
      </c>
      <c r="F7">
        <f t="shared" ref="F7:F25" ca="1" si="0">IF(ISNUMBER(S7),S7,T7)</f>
        <v>2.3656999999999999</v>
      </c>
      <c r="H7" t="s">
        <v>36</v>
      </c>
      <c r="I7" t="str">
        <f t="shared" ref="I7:I13" ca="1" si="1">$I$5&amp;$L7&amp;" "&amp;$I$4</f>
        <v>EDU9 Comdty</v>
      </c>
      <c r="J7" t="s">
        <v>487</v>
      </c>
      <c r="L7" t="str">
        <f t="shared" ref="L7:L13" ca="1" si="2">get_fut_code(C7)</f>
        <v>U9</v>
      </c>
      <c r="O7" s="23" t="s">
        <v>606</v>
      </c>
      <c r="R7" s="23" t="str">
        <f ca="1">_xll.BDH($J7,"Close",$C$2,$C$3,"BarType","T","Dir=V","cols=2;rows=1")</f>
        <v>#N/A Connection</v>
      </c>
      <c r="S7">
        <v>2.3656999999999999</v>
      </c>
      <c r="T7" t="str">
        <f ca="1">_xll.BDH($J7,"LAST_PRICE",Swap_Date,Swap_Date)</f>
        <v>#N/A Connection</v>
      </c>
      <c r="U7" t="e">
        <f t="shared" ref="U7:U25" ca="1" si="3">S7-T7</f>
        <v>#VALUE!</v>
      </c>
    </row>
    <row r="8" spans="1:21" x14ac:dyDescent="0.25">
      <c r="A8" s="1">
        <f ca="1">EDATE(Swap_Date,2)</f>
        <v>43631</v>
      </c>
      <c r="B8" t="str">
        <f ca="1">IF(_xll.BDH(H8,"PX_LAST",Cash_Date,Cash_Date)="#N/A N/A",0%,_xll.BDH(H8,"PX_LAST",Cash_Date,Cash_Date))</f>
        <v>#N/A Connection</v>
      </c>
      <c r="C8" s="1">
        <f t="shared" ref="C8:C13" ca="1" si="4">nextimm(C7+1)</f>
        <v>43817</v>
      </c>
      <c r="D8">
        <f ca="1">IFERROR(100-_xll.BDH(I8,"PX_LAST",Future_Date,Future_Date),0)</f>
        <v>0</v>
      </c>
      <c r="E8" s="1">
        <f t="shared" ref="E8:E21" ca="1" si="5">EDATE(E7,12)</f>
        <v>45031</v>
      </c>
      <c r="F8">
        <f t="shared" ca="1" si="0"/>
        <v>2.3397999999999999</v>
      </c>
      <c r="H8" t="s">
        <v>37</v>
      </c>
      <c r="I8" t="str">
        <f t="shared" ca="1" si="1"/>
        <v>EDZ9 Comdty</v>
      </c>
      <c r="J8" t="s">
        <v>488</v>
      </c>
      <c r="L8" t="str">
        <f t="shared" ca="1" si="2"/>
        <v>Z9</v>
      </c>
      <c r="P8" s="23"/>
      <c r="R8" s="23" t="str">
        <f ca="1">_xll.BDH($J8,"Close",$C$2,$C$3,"BarType","T","Dir=V","cols=2;rows=1")</f>
        <v>#N/A Connection</v>
      </c>
      <c r="S8">
        <v>2.3397999999999999</v>
      </c>
      <c r="T8" t="str">
        <f ca="1">_xll.BDH($J8,"LAST_PRICE",Swap_Date,Swap_Date)</f>
        <v>#N/A Connection</v>
      </c>
      <c r="U8" t="e">
        <f t="shared" ca="1" si="3"/>
        <v>#VALUE!</v>
      </c>
    </row>
    <row r="9" spans="1:21" x14ac:dyDescent="0.25">
      <c r="A9" s="1">
        <f ca="1">EDATE(Swap_Date,3)</f>
        <v>43661</v>
      </c>
      <c r="B9" t="str">
        <f ca="1">IF(_xll.BDH(H9,"PX_LAST",Cash_Date,Cash_Date)="#N/A N/A",0%,_xll.BDH(H9,"PX_LAST",Cash_Date,Cash_Date))</f>
        <v>#N/A Connection</v>
      </c>
      <c r="C9" s="1">
        <f t="shared" ca="1" si="4"/>
        <v>43908</v>
      </c>
      <c r="D9">
        <f ca="1">IFERROR(100-_xll.BDH(I9,"PX_LAST",Future_Date,Future_Date),0)</f>
        <v>0</v>
      </c>
      <c r="E9" s="1">
        <f t="shared" ca="1" si="5"/>
        <v>45397</v>
      </c>
      <c r="F9">
        <f t="shared" ca="1" si="0"/>
        <v>2.3441999999999998</v>
      </c>
      <c r="H9" t="s">
        <v>38</v>
      </c>
      <c r="I9" t="str">
        <f t="shared" ca="1" si="1"/>
        <v>EDH0 Comdty</v>
      </c>
      <c r="J9" t="s">
        <v>489</v>
      </c>
      <c r="L9" t="str">
        <f t="shared" ca="1" si="2"/>
        <v>H0</v>
      </c>
      <c r="P9" s="23"/>
      <c r="R9" s="23" t="str">
        <f ca="1">_xll.BDH($J9,"Close",$C$2,$C$3,"BarType","T","Dir=V","cols=2;rows=1")</f>
        <v>#N/A Connection</v>
      </c>
      <c r="S9">
        <v>2.3441999999999998</v>
      </c>
      <c r="T9" t="str">
        <f ca="1">_xll.BDH($J9,"LAST_PRICE",Swap_Date,Swap_Date)</f>
        <v>#N/A Connection</v>
      </c>
      <c r="U9" t="e">
        <f t="shared" ca="1" si="3"/>
        <v>#VALUE!</v>
      </c>
    </row>
    <row r="10" spans="1:21" x14ac:dyDescent="0.25">
      <c r="A10" s="1">
        <f ca="1">EDATE(Swap_Date,6)</f>
        <v>43753</v>
      </c>
      <c r="B10" t="str">
        <f ca="1">IF(_xll.BDH(H10,"PX_LAST",Cash_Date,Cash_Date)="#N/A N/A",0%,_xll.BDH(H10,"PX_LAST",Cash_Date,Cash_Date))</f>
        <v>#N/A Connection</v>
      </c>
      <c r="C10" s="1">
        <f t="shared" ca="1" si="4"/>
        <v>43999</v>
      </c>
      <c r="D10">
        <f ca="1">IFERROR(100-_xll.BDH(I10,"PX_LAST",Future_Date,Future_Date),0)</f>
        <v>0</v>
      </c>
      <c r="E10" s="1">
        <f t="shared" ca="1" si="5"/>
        <v>45762</v>
      </c>
      <c r="F10">
        <f t="shared" ca="1" si="0"/>
        <v>2.3664000000000001</v>
      </c>
      <c r="H10" t="s">
        <v>39</v>
      </c>
      <c r="I10" t="str">
        <f t="shared" ca="1" si="1"/>
        <v>EDM0 Comdty</v>
      </c>
      <c r="J10" t="s">
        <v>490</v>
      </c>
      <c r="L10" t="str">
        <f t="shared" ca="1" si="2"/>
        <v>M0</v>
      </c>
      <c r="P10" s="23"/>
      <c r="R10" s="23" t="str">
        <f ca="1">_xll.BDH($J10,"Close",$C$2,$C$3,"BarType","T","Dir=V","cols=2;rows=1")</f>
        <v>#N/A Connection</v>
      </c>
      <c r="S10">
        <v>2.3664000000000001</v>
      </c>
      <c r="T10" t="str">
        <f ca="1">_xll.BDH($J10,"LAST_PRICE",Swap_Date,Swap_Date)</f>
        <v>#N/A Connection</v>
      </c>
      <c r="U10" t="e">
        <f t="shared" ca="1" si="3"/>
        <v>#VALUE!</v>
      </c>
    </row>
    <row r="11" spans="1:21" x14ac:dyDescent="0.25">
      <c r="A11" s="1">
        <f ca="1">EDATE(Swap_Date,12)</f>
        <v>43936</v>
      </c>
      <c r="B11" t="str">
        <f ca="1">IF(_xll.BDH(H11,"PX_LAST",Cash_Date,Cash_Date)="#N/A N/A",0%,_xll.BDH(H11,"PX_LAST",Cash_Date,Cash_Date))</f>
        <v>#N/A Connection</v>
      </c>
      <c r="C11" s="1">
        <f t="shared" ca="1" si="4"/>
        <v>44090</v>
      </c>
      <c r="D11">
        <f ca="1">IFERROR(100-_xll.BDH(I11,"PX_LAST",Future_Date,Future_Date),0)</f>
        <v>0</v>
      </c>
      <c r="E11" s="1">
        <f t="shared" ca="1" si="5"/>
        <v>46127</v>
      </c>
      <c r="F11">
        <f t="shared" ca="1" si="0"/>
        <v>2.3929999999999998</v>
      </c>
      <c r="H11" t="s">
        <v>40</v>
      </c>
      <c r="I11" t="str">
        <f t="shared" ca="1" si="1"/>
        <v>EDU0 Comdty</v>
      </c>
      <c r="J11" t="s">
        <v>491</v>
      </c>
      <c r="L11" t="str">
        <f t="shared" ca="1" si="2"/>
        <v>U0</v>
      </c>
      <c r="P11" s="23"/>
      <c r="R11" s="23" t="str">
        <f ca="1">_xll.BDH($J11,"Close",$C$2,$C$3,"BarType","T","Dir=V","cols=2;rows=1")</f>
        <v>#N/A Connection</v>
      </c>
      <c r="S11">
        <v>2.3929999999999998</v>
      </c>
      <c r="T11" t="str">
        <f ca="1">_xll.BDH($J11,"LAST_PRICE",Swap_Date,Swap_Date)</f>
        <v>#N/A Connection</v>
      </c>
      <c r="U11" t="e">
        <f t="shared" ca="1" si="3"/>
        <v>#VALUE!</v>
      </c>
    </row>
    <row r="12" spans="1:21" x14ac:dyDescent="0.25">
      <c r="C12" s="1">
        <f t="shared" ca="1" si="4"/>
        <v>44181</v>
      </c>
      <c r="D12">
        <f ca="1">IFERROR(100-_xll.BDH(I12,"PX_LAST",Future_Date,Future_Date),0)</f>
        <v>0</v>
      </c>
      <c r="E12" s="1">
        <f t="shared" ca="1" si="5"/>
        <v>46492</v>
      </c>
      <c r="F12">
        <f t="shared" ca="1" si="0"/>
        <v>2.4224999999999999</v>
      </c>
      <c r="I12" t="str">
        <f t="shared" ca="1" si="1"/>
        <v>EDZ0 Comdty</v>
      </c>
      <c r="J12" t="s">
        <v>492</v>
      </c>
      <c r="L12" t="str">
        <f t="shared" ca="1" si="2"/>
        <v>Z0</v>
      </c>
      <c r="P12" s="23"/>
      <c r="R12" s="23" t="str">
        <f ca="1">_xll.BDH($J12,"Close",$C$2,$C$3,"BarType","T","Dir=V","cols=2;rows=1")</f>
        <v>#N/A Connection</v>
      </c>
      <c r="S12">
        <v>2.4224999999999999</v>
      </c>
      <c r="T12" t="str">
        <f ca="1">_xll.BDH($J12,"LAST_PRICE",Swap_Date,Swap_Date)</f>
        <v>#N/A Connection</v>
      </c>
      <c r="U12" t="e">
        <f t="shared" ca="1" si="3"/>
        <v>#VALUE!</v>
      </c>
    </row>
    <row r="13" spans="1:21" x14ac:dyDescent="0.25">
      <c r="C13" s="1">
        <f t="shared" ca="1" si="4"/>
        <v>44272</v>
      </c>
      <c r="D13">
        <f ca="1">IFERROR(100-_xll.BDH(I13,"PX_LAST",Future_Date,Future_Date),0)</f>
        <v>0</v>
      </c>
      <c r="E13" s="1">
        <f t="shared" ca="1" si="5"/>
        <v>46858</v>
      </c>
      <c r="F13">
        <f t="shared" ca="1" si="0"/>
        <v>2.4550000000000001</v>
      </c>
      <c r="I13" t="str">
        <f t="shared" ca="1" si="1"/>
        <v>EDH1 Comdty</v>
      </c>
      <c r="J13" t="s">
        <v>493</v>
      </c>
      <c r="L13" t="str">
        <f t="shared" ca="1" si="2"/>
        <v>H1</v>
      </c>
      <c r="P13" s="23"/>
      <c r="R13" s="23" t="str">
        <f ca="1">_xll.BDH($J13,"Close",$C$2,$C$3,"BarType","T","Dir=V","cols=2;rows=1")</f>
        <v>#N/A Connection</v>
      </c>
      <c r="S13">
        <v>2.4550000000000001</v>
      </c>
      <c r="T13" t="str">
        <f ca="1">_xll.BDH($J13,"LAST_PRICE",Swap_Date,Swap_Date)</f>
        <v>#N/A Connection</v>
      </c>
      <c r="U13" t="e">
        <f t="shared" ca="1" si="3"/>
        <v>#VALUE!</v>
      </c>
    </row>
    <row r="14" spans="1:21" x14ac:dyDescent="0.25">
      <c r="E14" s="1">
        <f t="shared" ca="1" si="5"/>
        <v>47223</v>
      </c>
      <c r="F14">
        <f t="shared" ca="1" si="0"/>
        <v>2.4864999999999999</v>
      </c>
      <c r="J14" t="s">
        <v>494</v>
      </c>
      <c r="P14" s="23"/>
      <c r="R14" s="23" t="str">
        <f ca="1">_xll.BDH($J14,"Close",$C$2,$C$3,"BarType","T","Dir=V","cols=2;rows=1")</f>
        <v>#N/A Connection</v>
      </c>
      <c r="S14">
        <v>2.4864999999999999</v>
      </c>
      <c r="T14" t="str">
        <f ca="1">_xll.BDH($J14,"LAST_PRICE",Swap_Date,Swap_Date)</f>
        <v>#N/A Connection</v>
      </c>
      <c r="U14" t="e">
        <f t="shared" ca="1" si="3"/>
        <v>#VALUE!</v>
      </c>
    </row>
    <row r="15" spans="1:21" x14ac:dyDescent="0.25">
      <c r="E15" s="1">
        <f t="shared" ca="1" si="5"/>
        <v>47588</v>
      </c>
      <c r="F15">
        <f t="shared" ca="1" si="0"/>
        <v>2.5099999999999998</v>
      </c>
      <c r="J15" t="s">
        <v>495</v>
      </c>
      <c r="P15" s="23"/>
      <c r="R15" s="23" t="str">
        <f ca="1">_xll.BDH($J15,"Close",$C$2,$C$3,"BarType","T","Dir=V","cols=2;rows=1")</f>
        <v>#N/A Connection</v>
      </c>
      <c r="S15">
        <v>2.5099999999999998</v>
      </c>
      <c r="T15" t="str">
        <f ca="1">_xll.BDH($J15,"LAST_PRICE",Swap_Date,Swap_Date)</f>
        <v>#N/A Connection</v>
      </c>
      <c r="U15" t="e">
        <f t="shared" ca="1" si="3"/>
        <v>#VALUE!</v>
      </c>
    </row>
    <row r="16" spans="1:21" x14ac:dyDescent="0.25">
      <c r="E16" s="1">
        <f t="shared" ca="1" si="5"/>
        <v>47953</v>
      </c>
      <c r="F16">
        <f t="shared" ca="1" si="0"/>
        <v>2.5453000000000001</v>
      </c>
      <c r="J16" t="s">
        <v>496</v>
      </c>
      <c r="P16" s="23"/>
      <c r="R16" s="23" t="str">
        <f ca="1">_xll.BDH($J16,"Close",$C$2,$C$3,"BarType","T","Dir=V","cols=2;rows=1")</f>
        <v>#N/A Connection</v>
      </c>
      <c r="S16">
        <v>2.5453000000000001</v>
      </c>
      <c r="T16" t="str">
        <f ca="1">_xll.BDH($J16,"LAST_PRICE",Swap_Date,Swap_Date)</f>
        <v>#N/A Connection</v>
      </c>
      <c r="U16" t="e">
        <f t="shared" ca="1" si="3"/>
        <v>#VALUE!</v>
      </c>
    </row>
    <row r="17" spans="1:21" x14ac:dyDescent="0.25">
      <c r="E17" s="1">
        <f t="shared" ca="1" si="5"/>
        <v>48319</v>
      </c>
      <c r="F17" t="str">
        <f ca="1">IF(ISNUMBER(S17),S17,T17)</f>
        <v>#N/A Connection</v>
      </c>
      <c r="J17" t="s">
        <v>497</v>
      </c>
      <c r="P17" s="23"/>
      <c r="R17" s="23" t="str">
        <f ca="1">_xll.BDH($J17,"Close",$C$2,$C$3,"BarType","T","Dir=V")</f>
        <v>#N/A Connection</v>
      </c>
      <c r="T17" t="str">
        <f ca="1">_xll.BDH($J17,"LAST_PRICE",Swap_Date,Swap_Date)</f>
        <v>#N/A Connection</v>
      </c>
      <c r="U17" t="e">
        <f t="shared" ca="1" si="3"/>
        <v>#VALUE!</v>
      </c>
    </row>
    <row r="18" spans="1:21" x14ac:dyDescent="0.25">
      <c r="E18" s="1">
        <f t="shared" ca="1" si="5"/>
        <v>48684</v>
      </c>
      <c r="F18">
        <f t="shared" ca="1" si="0"/>
        <v>2.5903</v>
      </c>
      <c r="J18" t="s">
        <v>498</v>
      </c>
      <c r="P18" s="23"/>
      <c r="R18" s="23" t="str">
        <f ca="1">_xll.BDH($J18,"Close",$C$2,$C$3,"BarType","T","Dir=V","cols=2;rows=1")</f>
        <v>#N/A Connection</v>
      </c>
      <c r="S18">
        <v>2.5903</v>
      </c>
      <c r="T18" t="str">
        <f ca="1">_xll.BDH($J18,"LAST_PRICE",Swap_Date,Swap_Date)</f>
        <v>#N/A Connection</v>
      </c>
      <c r="U18" t="e">
        <f t="shared" ca="1" si="3"/>
        <v>#VALUE!</v>
      </c>
    </row>
    <row r="19" spans="1:21" x14ac:dyDescent="0.25">
      <c r="E19" s="1">
        <f t="shared" ca="1" si="5"/>
        <v>49049</v>
      </c>
      <c r="F19">
        <f t="shared" ca="1" si="0"/>
        <v>2.6067999999999998</v>
      </c>
      <c r="J19" t="s">
        <v>499</v>
      </c>
      <c r="P19" s="23"/>
      <c r="R19" s="23" t="str">
        <f ca="1">_xll.BDH($J19,"Close",$C$2,$C$3,"BarType","T","Dir=V","cols=2;rows=1")</f>
        <v>#N/A Connection</v>
      </c>
      <c r="S19">
        <v>2.6067999999999998</v>
      </c>
      <c r="T19" t="str">
        <f ca="1">_xll.BDH($J19,"LAST_PRICE",Swap_Date,Swap_Date)</f>
        <v>#N/A Connection</v>
      </c>
      <c r="U19" t="e">
        <f t="shared" ca="1" si="3"/>
        <v>#VALUE!</v>
      </c>
    </row>
    <row r="20" spans="1:21" x14ac:dyDescent="0.25">
      <c r="E20" s="1">
        <f t="shared" ca="1" si="5"/>
        <v>49414</v>
      </c>
      <c r="F20">
        <f t="shared" ca="1" si="0"/>
        <v>2.6219999999999999</v>
      </c>
      <c r="J20" t="s">
        <v>500</v>
      </c>
      <c r="P20" s="23"/>
      <c r="R20" s="23" t="str">
        <f ca="1">_xll.BDH($J20,"Close",$C$2,$C$3,"BarType","T","Dir=V","cols=2;rows=1")</f>
        <v>#N/A Connection</v>
      </c>
      <c r="S20">
        <v>2.6219999999999999</v>
      </c>
      <c r="T20" t="str">
        <f ca="1">_xll.BDH($J20,"LAST_PRICE",Swap_Date,Swap_Date)</f>
        <v>#N/A Connection</v>
      </c>
      <c r="U20" t="e">
        <f t="shared" ca="1" si="3"/>
        <v>#VALUE!</v>
      </c>
    </row>
    <row r="21" spans="1:21" x14ac:dyDescent="0.25">
      <c r="E21" s="1">
        <f t="shared" ca="1" si="5"/>
        <v>49780</v>
      </c>
      <c r="F21">
        <f t="shared" ca="1" si="0"/>
        <v>2.6347</v>
      </c>
      <c r="J21" t="s">
        <v>501</v>
      </c>
      <c r="P21" s="23"/>
      <c r="R21" s="23" t="str">
        <f ca="1">_xll.BDH($J21,"Close",$C$2,$C$3,"BarType","T","Dir=V","cols=2;rows=1")</f>
        <v>#N/A Connection</v>
      </c>
      <c r="S21">
        <v>2.6347</v>
      </c>
      <c r="T21" t="str">
        <f ca="1">_xll.BDH($J21,"LAST_PRICE",Swap_Date,Swap_Date)</f>
        <v>#N/A Connection</v>
      </c>
      <c r="U21" t="e">
        <f t="shared" ca="1" si="3"/>
        <v>#VALUE!</v>
      </c>
    </row>
    <row r="22" spans="1:21" x14ac:dyDescent="0.25">
      <c r="E22" s="1">
        <f ca="1">EDATE(E21,36)</f>
        <v>50875</v>
      </c>
      <c r="F22">
        <f t="shared" ca="1" si="0"/>
        <v>2.66</v>
      </c>
      <c r="J22" t="s">
        <v>502</v>
      </c>
      <c r="P22" s="23"/>
      <c r="R22" s="23" t="str">
        <f ca="1">_xll.BDH($J22,"Close",$C$2,$C$3,"BarType","T","Dir=V","cols=2;rows=1")</f>
        <v>#N/A Connection</v>
      </c>
      <c r="S22">
        <v>2.66</v>
      </c>
      <c r="T22" t="str">
        <f ca="1">_xll.BDH($J22,"LAST_PRICE",Swap_Date,Swap_Date)</f>
        <v>#N/A Connection</v>
      </c>
      <c r="U22" t="e">
        <f t="shared" ca="1" si="3"/>
        <v>#VALUE!</v>
      </c>
    </row>
    <row r="23" spans="1:21" x14ac:dyDescent="0.25">
      <c r="E23" s="1">
        <f ca="1">EDATE(E22,60)</f>
        <v>52702</v>
      </c>
      <c r="F23">
        <f t="shared" ca="1" si="0"/>
        <v>2.6778</v>
      </c>
      <c r="J23" t="s">
        <v>503</v>
      </c>
      <c r="P23" s="23"/>
      <c r="R23" s="23" t="str">
        <f ca="1">_xll.BDH($J23,"Close",$C$2,$C$3,"BarType","T","Dir=V","cols=2;rows=1")</f>
        <v>#N/A Connection</v>
      </c>
      <c r="S23">
        <v>2.6778</v>
      </c>
      <c r="T23" t="str">
        <f ca="1">_xll.BDH($J23,"LAST_PRICE",Swap_Date,Swap_Date)</f>
        <v>#N/A Connection</v>
      </c>
      <c r="U23" t="e">
        <f t="shared" ca="1" si="3"/>
        <v>#VALUE!</v>
      </c>
    </row>
    <row r="24" spans="1:21" x14ac:dyDescent="0.25">
      <c r="E24" s="1">
        <f ca="1">EDATE(E23,60)</f>
        <v>54528</v>
      </c>
      <c r="F24">
        <f t="shared" ca="1" si="0"/>
        <v>2.6842000000000001</v>
      </c>
      <c r="J24" t="s">
        <v>504</v>
      </c>
      <c r="P24" s="23"/>
      <c r="R24" s="23" t="str">
        <f ca="1">_xll.BDH($J24,"Close",$C$2,$C$3,"BarType","T","Dir=V","cols=2;rows=1")</f>
        <v>#N/A Connection</v>
      </c>
      <c r="S24">
        <v>2.6842000000000001</v>
      </c>
      <c r="T24" t="str">
        <f ca="1">_xll.BDH($J24,"LAST_PRICE",Swap_Date,Swap_Date)</f>
        <v>#N/A Connection</v>
      </c>
      <c r="U24" t="e">
        <f t="shared" ca="1" si="3"/>
        <v>#VALUE!</v>
      </c>
    </row>
    <row r="25" spans="1:21" x14ac:dyDescent="0.25">
      <c r="E25" s="1">
        <f ca="1">EDATE(E24,120)</f>
        <v>58180</v>
      </c>
      <c r="F25">
        <f t="shared" ca="1" si="0"/>
        <v>2.6663999999999999</v>
      </c>
      <c r="J25" t="s">
        <v>505</v>
      </c>
      <c r="P25" s="23"/>
      <c r="R25" s="23" t="str">
        <f ca="1">_xll.BDH($J25,"Close",$C$2,$C$3,"BarType","T","Dir=V","cols=2;rows=1")</f>
        <v>#N/A Connection</v>
      </c>
      <c r="S25">
        <v>2.6663999999999999</v>
      </c>
      <c r="T25" t="str">
        <f ca="1">_xll.BDH($J25,"LAST_PRICE",Swap_Date,Swap_Date)</f>
        <v>#N/A Connection</v>
      </c>
      <c r="U25" t="e">
        <f t="shared" ca="1" si="3"/>
        <v>#VALUE!</v>
      </c>
    </row>
    <row r="26" spans="1:21" x14ac:dyDescent="0.25">
      <c r="E26" s="1">
        <f ca="1">EDATE(E25,12)</f>
        <v>58546</v>
      </c>
      <c r="F26">
        <f ca="1">F25</f>
        <v>2.6663999999999999</v>
      </c>
    </row>
    <row r="29" spans="1:21" x14ac:dyDescent="0.25">
      <c r="A29" t="s">
        <v>13</v>
      </c>
      <c r="B29">
        <v>6</v>
      </c>
      <c r="D29">
        <v>7</v>
      </c>
      <c r="F29">
        <v>100</v>
      </c>
    </row>
    <row r="30" spans="1:21" x14ac:dyDescent="0.25">
      <c r="A30" t="s">
        <v>28</v>
      </c>
      <c r="B30" t="s">
        <v>29</v>
      </c>
      <c r="C30" t="s">
        <v>30</v>
      </c>
      <c r="D30" t="s">
        <v>31</v>
      </c>
      <c r="E30" t="s">
        <v>32</v>
      </c>
      <c r="F30" t="s">
        <v>33</v>
      </c>
      <c r="I30" t="s">
        <v>651</v>
      </c>
    </row>
    <row r="31" spans="1:21" x14ac:dyDescent="0.25">
      <c r="A31" s="1">
        <f ca="1">WORKDAY(Swap_Date,1)</f>
        <v>43571</v>
      </c>
      <c r="B31" t="str">
        <f ca="1">_xll.BDH(H31,"PX_LAST",Cash_Date,Cash_Date)</f>
        <v>#N/A Connection</v>
      </c>
      <c r="C31" s="1">
        <f ca="1">nextimm(Swap_Date)</f>
        <v>43635</v>
      </c>
      <c r="D31" t="str">
        <f ca="1">IF(ISNUMBER(_xll.BDH(I31,"PX_LAST",Future_Date,Future_Date)),100-_xll.BDH(I31,"PX_LAST",Future_Date,Future_Date),B32)</f>
        <v>#N/A Connection</v>
      </c>
      <c r="E31" s="1">
        <f ca="1">EDATE(Swap_Date,24)</f>
        <v>44301</v>
      </c>
      <c r="F31">
        <f ca="1">IF(ISNUMBER(S31),S31,T31)</f>
        <v>-0.21279999999999999</v>
      </c>
      <c r="H31" t="s">
        <v>6</v>
      </c>
      <c r="I31" t="str">
        <f ca="1">$I$30&amp;$L6&amp;" "&amp;$I$4</f>
        <v>ERM9 Comdty</v>
      </c>
      <c r="J31" t="s">
        <v>466</v>
      </c>
      <c r="P31" s="23"/>
      <c r="R31" s="23" t="str">
        <f ca="1">_xll.BDH($J31,"Close",$E$2,$E$3,"BarType","T","Dir=V","cols=2;rows=1")</f>
        <v>#N/A Connection</v>
      </c>
      <c r="S31">
        <v>-0.21279999999999999</v>
      </c>
      <c r="T31" t="str">
        <f ca="1">_xll.BDH($J31,"LAST_PRICE",Swap_Date,Swap_Date)</f>
        <v>#N/A Connection</v>
      </c>
      <c r="U31" t="e">
        <f ca="1">S31-T31</f>
        <v>#VALUE!</v>
      </c>
    </row>
    <row r="32" spans="1:21" x14ac:dyDescent="0.25">
      <c r="A32" s="1">
        <f ca="1">EDATE(Swap_Date,1)</f>
        <v>43600</v>
      </c>
      <c r="B32" t="str">
        <f ca="1">_xll.BDH(H32,"PX_LAST",Cash_Date,Cash_Date)</f>
        <v>#N/A Connection</v>
      </c>
      <c r="C32" s="1">
        <f ca="1">nextimm(C31+1)</f>
        <v>43726</v>
      </c>
      <c r="D32" t="str">
        <f ca="1">IFERROR(100-_xll.BDH(I32,"PX_LAST",Future_Date,Future_Date),D31)</f>
        <v>#N/A Connection</v>
      </c>
      <c r="E32" s="1">
        <f ca="1">EDATE(E31,12)</f>
        <v>44666</v>
      </c>
      <c r="F32">
        <f t="shared" ref="F32:F50" ca="1" si="6">IF(ISNUMBER(S32),S32,T32)</f>
        <v>-0.1545</v>
      </c>
      <c r="H32" t="s">
        <v>63</v>
      </c>
      <c r="I32" t="str">
        <f t="shared" ref="I32:I38" ca="1" si="7">$I$30&amp;$L7&amp;" "&amp;$I$4</f>
        <v>ERU9 Comdty</v>
      </c>
      <c r="J32" t="s">
        <v>467</v>
      </c>
      <c r="P32" s="23"/>
      <c r="R32" s="23" t="str">
        <f ca="1">_xll.BDH($J32,"Close",$E$2,$E$3,"BarType","T","Dir=V","cols=2;rows=1")</f>
        <v>#N/A Connection</v>
      </c>
      <c r="S32">
        <v>-0.1545</v>
      </c>
      <c r="T32" t="str">
        <f ca="1">_xll.BDH($J32,"LAST_PRICE",Swap_Date,Swap_Date)</f>
        <v>#N/A Connection</v>
      </c>
      <c r="U32" t="e">
        <f t="shared" ref="U32:U50" ca="1" si="8">S32-T32</f>
        <v>#VALUE!</v>
      </c>
    </row>
    <row r="33" spans="1:21" x14ac:dyDescent="0.25">
      <c r="A33" s="1">
        <f ca="1">EDATE(Swap_Date,2)</f>
        <v>43631</v>
      </c>
      <c r="B33" t="e">
        <f ca="1">IF(ISNUMBER(_xll.BDH(H33,"PX_LAST",Cash_Date,Cash_Date)),_xll.BDH(H33,"PX_LAST",Cash_Date,Cash_Date),0.5*(B32+B34))</f>
        <v>#VALUE!</v>
      </c>
      <c r="C33" s="1">
        <f t="shared" ref="C33:C38" ca="1" si="9">nextimm(C32+1)</f>
        <v>43817</v>
      </c>
      <c r="D33" t="e">
        <f ca="1">100-_xll.BDH(I33,"PX_LAST",Future_Date,Future_Date)</f>
        <v>#VALUE!</v>
      </c>
      <c r="E33" s="1">
        <f t="shared" ref="E33:E46" ca="1" si="10">EDATE(E32,12)</f>
        <v>45031</v>
      </c>
      <c r="F33">
        <f t="shared" ca="1" si="6"/>
        <v>-7.5800000000000006E-2</v>
      </c>
      <c r="H33" t="s">
        <v>64</v>
      </c>
      <c r="I33" t="str">
        <f t="shared" ca="1" si="7"/>
        <v>ERZ9 Comdty</v>
      </c>
      <c r="J33" t="s">
        <v>468</v>
      </c>
      <c r="P33" s="23"/>
      <c r="R33" s="23" t="str">
        <f ca="1">_xll.BDH($J33,"Close",$E$2,$E$3,"BarType","T","Dir=V","cols=2;rows=1")</f>
        <v>#N/A Connection</v>
      </c>
      <c r="S33">
        <v>-7.5800000000000006E-2</v>
      </c>
      <c r="T33" t="str">
        <f ca="1">_xll.BDH($J33,"LAST_PRICE",Swap_Date,Swap_Date)</f>
        <v>#N/A Connection</v>
      </c>
      <c r="U33" t="e">
        <f t="shared" ca="1" si="8"/>
        <v>#VALUE!</v>
      </c>
    </row>
    <row r="34" spans="1:21" x14ac:dyDescent="0.25">
      <c r="A34" s="1">
        <f ca="1">EDATE(Swap_Date,3)</f>
        <v>43661</v>
      </c>
      <c r="B34" t="str">
        <f ca="1">_xll.BDH(H34,"PX_LAST",Cash_Date,Cash_Date)</f>
        <v>#N/A Connection</v>
      </c>
      <c r="C34" s="1">
        <f t="shared" ca="1" si="9"/>
        <v>43908</v>
      </c>
      <c r="D34" t="e">
        <f ca="1">100-_xll.BDH(I34,"PX_LAST",Future_Date,Future_Date)</f>
        <v>#VALUE!</v>
      </c>
      <c r="E34" s="1">
        <f t="shared" ca="1" si="10"/>
        <v>45397</v>
      </c>
      <c r="F34">
        <f t="shared" ca="1" si="6"/>
        <v>1.2999999999999999E-2</v>
      </c>
      <c r="H34" t="s">
        <v>65</v>
      </c>
      <c r="I34" t="str">
        <f t="shared" ca="1" si="7"/>
        <v>ERH0 Comdty</v>
      </c>
      <c r="J34" t="s">
        <v>469</v>
      </c>
      <c r="P34" s="23"/>
      <c r="R34" s="23" t="str">
        <f ca="1">_xll.BDH($J34,"Close",$E$2,$E$3,"BarType","T","Dir=V","cols=2;rows=1")</f>
        <v>#N/A Connection</v>
      </c>
      <c r="S34">
        <v>1.2999999999999999E-2</v>
      </c>
      <c r="T34" t="str">
        <f ca="1">_xll.BDH($J34,"LAST_PRICE",Swap_Date,Swap_Date)</f>
        <v>#N/A Connection</v>
      </c>
      <c r="U34" t="e">
        <f t="shared" ca="1" si="8"/>
        <v>#VALUE!</v>
      </c>
    </row>
    <row r="35" spans="1:21" x14ac:dyDescent="0.25">
      <c r="A35" s="1">
        <f ca="1">EDATE(Swap_Date,6)</f>
        <v>43753</v>
      </c>
      <c r="B35" t="str">
        <f ca="1">_xll.BDH(H35,"PX_LAST",Cash_Date,Cash_Date)</f>
        <v>#N/A Connection</v>
      </c>
      <c r="C35" s="1">
        <f t="shared" ca="1" si="9"/>
        <v>43999</v>
      </c>
      <c r="D35" t="e">
        <f ca="1">100-_xll.BDH(I35,"PX_LAST",Future_Date,Future_Date)</f>
        <v>#VALUE!</v>
      </c>
      <c r="E35" s="1">
        <f t="shared" ca="1" si="10"/>
        <v>45762</v>
      </c>
      <c r="F35">
        <f t="shared" ca="1" si="6"/>
        <v>0.1082</v>
      </c>
      <c r="H35" t="s">
        <v>66</v>
      </c>
      <c r="I35" t="str">
        <f t="shared" ca="1" si="7"/>
        <v>ERM0 Comdty</v>
      </c>
      <c r="J35" t="s">
        <v>470</v>
      </c>
      <c r="P35" s="23"/>
      <c r="R35" s="23" t="str">
        <f ca="1">_xll.BDH($J35,"Close",$E$2,$E$3,"BarType","T","Dir=V","cols=2;rows=1")</f>
        <v>#N/A Connection</v>
      </c>
      <c r="S35">
        <v>0.1082</v>
      </c>
      <c r="T35" t="str">
        <f ca="1">_xll.BDH($J35,"LAST_PRICE",Swap_Date,Swap_Date)</f>
        <v>#N/A Connection</v>
      </c>
      <c r="U35" t="e">
        <f t="shared" ca="1" si="8"/>
        <v>#VALUE!</v>
      </c>
    </row>
    <row r="36" spans="1:21" x14ac:dyDescent="0.25">
      <c r="A36" s="1">
        <f ca="1">EDATE(Swap_Date,12)</f>
        <v>43936</v>
      </c>
      <c r="B36" t="str">
        <f ca="1">_xll.BDH(H36,"PX_LAST",Cash_Date,Cash_Date)</f>
        <v>#N/A Connection</v>
      </c>
      <c r="C36" s="1">
        <f t="shared" ca="1" si="9"/>
        <v>44090</v>
      </c>
      <c r="D36" t="e">
        <f ca="1">100-_xll.BDH(I36,"PX_LAST",Future_Date,Future_Date)</f>
        <v>#VALUE!</v>
      </c>
      <c r="E36" s="1">
        <f t="shared" ca="1" si="10"/>
        <v>46127</v>
      </c>
      <c r="F36">
        <f t="shared" ca="1" si="6"/>
        <v>0.20749999999999999</v>
      </c>
      <c r="H36" t="s">
        <v>67</v>
      </c>
      <c r="I36" t="str">
        <f t="shared" ca="1" si="7"/>
        <v>ERU0 Comdty</v>
      </c>
      <c r="J36" t="s">
        <v>471</v>
      </c>
      <c r="P36" s="23"/>
      <c r="R36" s="23" t="str">
        <f ca="1">_xll.BDH($J36,"Close",$E$2,$E$3,"BarType","T","Dir=V","cols=2;rows=1")</f>
        <v>#N/A Connection</v>
      </c>
      <c r="S36">
        <v>0.20749999999999999</v>
      </c>
      <c r="T36" t="str">
        <f ca="1">_xll.BDH($J36,"LAST_PRICE",Swap_Date,Swap_Date)</f>
        <v>#N/A Connection</v>
      </c>
      <c r="U36" t="e">
        <f t="shared" ca="1" si="8"/>
        <v>#VALUE!</v>
      </c>
    </row>
    <row r="37" spans="1:21" x14ac:dyDescent="0.25">
      <c r="C37" s="1">
        <f t="shared" ca="1" si="9"/>
        <v>44181</v>
      </c>
      <c r="D37" t="e">
        <f ca="1">100-_xll.BDH(I37,"PX_LAST",Future_Date,Future_Date)</f>
        <v>#VALUE!</v>
      </c>
      <c r="E37" s="1">
        <f t="shared" ca="1" si="10"/>
        <v>46492</v>
      </c>
      <c r="F37">
        <f t="shared" ca="1" si="6"/>
        <v>0.308</v>
      </c>
      <c r="I37" t="str">
        <f t="shared" ca="1" si="7"/>
        <v>ERZ0 Comdty</v>
      </c>
      <c r="J37" t="s">
        <v>472</v>
      </c>
      <c r="P37" s="23"/>
      <c r="R37" s="23" t="str">
        <f ca="1">_xll.BDH($J37,"Close",$E$2,$E$3,"BarType","T","Dir=V","cols=2;rows=1")</f>
        <v>#N/A Connection</v>
      </c>
      <c r="S37">
        <v>0.308</v>
      </c>
      <c r="T37" t="str">
        <f ca="1">_xll.BDH($J37,"LAST_PRICE",Swap_Date,Swap_Date)</f>
        <v>#N/A Connection</v>
      </c>
      <c r="U37" t="e">
        <f t="shared" ca="1" si="8"/>
        <v>#VALUE!</v>
      </c>
    </row>
    <row r="38" spans="1:21" x14ac:dyDescent="0.25">
      <c r="C38" s="1">
        <f t="shared" ca="1" si="9"/>
        <v>44272</v>
      </c>
      <c r="D38" t="e">
        <f ca="1">100-_xll.BDH(I38,"PX_LAST",Future_Date,Future_Date)</f>
        <v>#VALUE!</v>
      </c>
      <c r="E38" s="1">
        <f t="shared" ca="1" si="10"/>
        <v>46858</v>
      </c>
      <c r="F38">
        <f t="shared" ca="1" si="6"/>
        <v>0.40600000000000003</v>
      </c>
      <c r="I38" t="str">
        <f t="shared" ca="1" si="7"/>
        <v>ERH1 Comdty</v>
      </c>
      <c r="J38" t="s">
        <v>473</v>
      </c>
      <c r="P38" s="23"/>
      <c r="R38" s="23" t="str">
        <f ca="1">_xll.BDH($J38,"Close",$E$2,$E$3,"BarType","T","Dir=V","cols=2;rows=1")</f>
        <v>#N/A Connection</v>
      </c>
      <c r="S38">
        <v>0.40600000000000003</v>
      </c>
      <c r="T38" t="str">
        <f ca="1">_xll.BDH($J38,"LAST_PRICE",Swap_Date,Swap_Date)</f>
        <v>#N/A Connection</v>
      </c>
      <c r="U38" t="e">
        <f t="shared" ca="1" si="8"/>
        <v>#VALUE!</v>
      </c>
    </row>
    <row r="39" spans="1:21" x14ac:dyDescent="0.25">
      <c r="E39" s="1">
        <f t="shared" ca="1" si="10"/>
        <v>47223</v>
      </c>
      <c r="F39">
        <f t="shared" ca="1" si="6"/>
        <v>0.49769999999999998</v>
      </c>
      <c r="J39" t="s">
        <v>474</v>
      </c>
      <c r="P39" s="23"/>
      <c r="R39" s="23" t="str">
        <f ca="1">_xll.BDH($J39,"Close",$E$2,$E$3,"BarType","T","Dir=V","cols=2;rows=1")</f>
        <v>#N/A Connection</v>
      </c>
      <c r="S39">
        <v>0.49769999999999998</v>
      </c>
      <c r="T39" t="str">
        <f ca="1">_xll.BDH($J39,"LAST_PRICE",Swap_Date,Swap_Date)</f>
        <v>#N/A Connection</v>
      </c>
      <c r="U39" t="e">
        <f t="shared" ca="1" si="8"/>
        <v>#VALUE!</v>
      </c>
    </row>
    <row r="40" spans="1:21" x14ac:dyDescent="0.25">
      <c r="E40" s="1">
        <f t="shared" ca="1" si="10"/>
        <v>47588</v>
      </c>
      <c r="F40">
        <f t="shared" ca="1" si="6"/>
        <v>0.58250000000000002</v>
      </c>
      <c r="J40" t="s">
        <v>475</v>
      </c>
      <c r="P40" s="23"/>
      <c r="R40" s="23" t="str">
        <f ca="1">_xll.BDH($J40,"Close",$E$2,$E$3,"BarType","T","Dir=V","cols=2;rows=1")</f>
        <v>#N/A Connection</v>
      </c>
      <c r="S40">
        <v>0.58250000000000002</v>
      </c>
      <c r="T40" t="str">
        <f ca="1">_xll.BDH($J40,"LAST_PRICE",Swap_Date,Swap_Date)</f>
        <v>#N/A Connection</v>
      </c>
      <c r="U40" t="e">
        <f t="shared" ca="1" si="8"/>
        <v>#VALUE!</v>
      </c>
    </row>
    <row r="41" spans="1:21" x14ac:dyDescent="0.25">
      <c r="E41" s="1">
        <f t="shared" ca="1" si="10"/>
        <v>47953</v>
      </c>
      <c r="F41">
        <f t="shared" ca="1" si="6"/>
        <v>0.66159999999999997</v>
      </c>
      <c r="J41" t="s">
        <v>476</v>
      </c>
      <c r="P41" s="23"/>
      <c r="R41" s="23" t="str">
        <f ca="1">_xll.BDH($J41,"Close",$E$2,$E$3,"BarType","T","Dir=V","cols=2;rows=1")</f>
        <v>#N/A Connection</v>
      </c>
      <c r="S41">
        <v>0.66159999999999997</v>
      </c>
      <c r="T41" t="str">
        <f ca="1">_xll.BDH($J41,"LAST_PRICE",Swap_Date,Swap_Date)</f>
        <v>#N/A Connection</v>
      </c>
      <c r="U41" t="e">
        <f t="shared" ca="1" si="8"/>
        <v>#VALUE!</v>
      </c>
    </row>
    <row r="42" spans="1:21" x14ac:dyDescent="0.25">
      <c r="E42" s="1">
        <f t="shared" ca="1" si="10"/>
        <v>48319</v>
      </c>
      <c r="F42">
        <f t="shared" ca="1" si="6"/>
        <v>0.73140000000000005</v>
      </c>
      <c r="J42" t="s">
        <v>477</v>
      </c>
      <c r="P42" s="23"/>
      <c r="R42" s="23" t="str">
        <f ca="1">_xll.BDH($J42,"Close",$E$2,$E$3,"BarType","T","Dir=V","cols=2;rows=1")</f>
        <v>#N/A Connection</v>
      </c>
      <c r="S42">
        <v>0.73140000000000005</v>
      </c>
      <c r="T42" t="str">
        <f ca="1">_xll.BDH($J42,"LAST_PRICE",Swap_Date,Swap_Date)</f>
        <v>#N/A Connection</v>
      </c>
      <c r="U42" t="e">
        <f t="shared" ca="1" si="8"/>
        <v>#VALUE!</v>
      </c>
    </row>
    <row r="43" spans="1:21" x14ac:dyDescent="0.25">
      <c r="E43" s="1">
        <f t="shared" ca="1" si="10"/>
        <v>48684</v>
      </c>
      <c r="F43">
        <f t="shared" ca="1" si="6"/>
        <v>0.79200000000000004</v>
      </c>
      <c r="J43" t="s">
        <v>478</v>
      </c>
      <c r="P43" s="23"/>
      <c r="R43" s="23" t="str">
        <f ca="1">_xll.BDH($J43,"Close",$E$2,$E$3,"BarType","T","Dir=V","cols=2;rows=1")</f>
        <v>#N/A Connection</v>
      </c>
      <c r="S43">
        <v>0.79200000000000004</v>
      </c>
      <c r="T43" t="str">
        <f ca="1">_xll.BDH($J43,"LAST_PRICE",Swap_Date,Swap_Date)</f>
        <v>#N/A Connection</v>
      </c>
      <c r="U43" t="e">
        <f t="shared" ca="1" si="8"/>
        <v>#VALUE!</v>
      </c>
    </row>
    <row r="44" spans="1:21" x14ac:dyDescent="0.25">
      <c r="E44" s="1">
        <f t="shared" ca="1" si="10"/>
        <v>49049</v>
      </c>
      <c r="F44">
        <f t="shared" ca="1" si="6"/>
        <v>0.84430000000000005</v>
      </c>
      <c r="J44" t="s">
        <v>479</v>
      </c>
      <c r="P44" s="23"/>
      <c r="R44" s="23" t="str">
        <f ca="1">_xll.BDH($J44,"Close",$E$2,$E$3,"BarType","T","Dir=V","cols=2;rows=1")</f>
        <v>#N/A Connection</v>
      </c>
      <c r="S44">
        <v>0.84430000000000005</v>
      </c>
      <c r="T44" t="str">
        <f ca="1">_xll.BDH($J44,"LAST_PRICE",Swap_Date,Swap_Date)</f>
        <v>#N/A Connection</v>
      </c>
      <c r="U44" t="e">
        <f t="shared" ca="1" si="8"/>
        <v>#VALUE!</v>
      </c>
    </row>
    <row r="45" spans="1:21" x14ac:dyDescent="0.25">
      <c r="E45" s="1">
        <f t="shared" ca="1" si="10"/>
        <v>49414</v>
      </c>
      <c r="F45">
        <f t="shared" ca="1" si="6"/>
        <v>0.89129999999999998</v>
      </c>
      <c r="J45" t="s">
        <v>480</v>
      </c>
      <c r="P45" s="23"/>
      <c r="R45" s="23" t="str">
        <f ca="1">_xll.BDH($J45,"Close",$E$2,$E$3,"BarType","T","Dir=V","cols=2;rows=1")</f>
        <v>#N/A Connection</v>
      </c>
      <c r="S45">
        <v>0.89129999999999998</v>
      </c>
      <c r="T45" t="str">
        <f ca="1">_xll.BDH($J45,"LAST_PRICE",Swap_Date,Swap_Date)</f>
        <v>#N/A Connection</v>
      </c>
      <c r="U45" t="e">
        <f t="shared" ca="1" si="8"/>
        <v>#VALUE!</v>
      </c>
    </row>
    <row r="46" spans="1:21" x14ac:dyDescent="0.25">
      <c r="E46" s="1">
        <f t="shared" ca="1" si="10"/>
        <v>49780</v>
      </c>
      <c r="F46">
        <f t="shared" ca="1" si="6"/>
        <v>0.93179999999999996</v>
      </c>
      <c r="J46" t="s">
        <v>481</v>
      </c>
      <c r="P46" s="23"/>
      <c r="R46" s="23" t="str">
        <f ca="1">_xll.BDH($J46,"Close",$E$2,$E$3,"BarType","T","Dir=V","cols=2;rows=1")</f>
        <v>#N/A Connection</v>
      </c>
      <c r="S46">
        <v>0.93179999999999996</v>
      </c>
      <c r="T46" t="str">
        <f ca="1">_xll.BDH($J46,"LAST_PRICE",Swap_Date,Swap_Date)</f>
        <v>#N/A Connection</v>
      </c>
      <c r="U46" t="e">
        <f t="shared" ca="1" si="8"/>
        <v>#VALUE!</v>
      </c>
    </row>
    <row r="47" spans="1:21" x14ac:dyDescent="0.25">
      <c r="E47" s="1">
        <f ca="1">EDATE(E46,36)</f>
        <v>50875</v>
      </c>
      <c r="F47">
        <f t="shared" ca="1" si="6"/>
        <v>1.0161</v>
      </c>
      <c r="J47" t="s">
        <v>482</v>
      </c>
      <c r="P47" s="23"/>
      <c r="R47" s="23" t="str">
        <f ca="1">_xll.BDH($J47,"Close",$E$2,$E$3,"BarType","T","Dir=V","cols=2;rows=1")</f>
        <v>#N/A Connection</v>
      </c>
      <c r="S47">
        <v>1.0161</v>
      </c>
      <c r="T47" t="str">
        <f ca="1">_xll.BDH($J47,"LAST_PRICE",Swap_Date,Swap_Date)</f>
        <v>#N/A Connection</v>
      </c>
      <c r="U47" t="e">
        <f t="shared" ca="1" si="8"/>
        <v>#VALUE!</v>
      </c>
    </row>
    <row r="48" spans="1:21" x14ac:dyDescent="0.25">
      <c r="E48" s="1">
        <f ca="1">EDATE(E47,60)</f>
        <v>52702</v>
      </c>
      <c r="F48">
        <f t="shared" ca="1" si="6"/>
        <v>1.0777000000000001</v>
      </c>
      <c r="J48" t="s">
        <v>483</v>
      </c>
      <c r="P48" s="23"/>
      <c r="R48" s="23" t="str">
        <f ca="1">_xll.BDH($J48,"Close",$E$2,$E$3,"BarType","T","Dir=V","cols=2;rows=1")</f>
        <v>#N/A Connection</v>
      </c>
      <c r="S48">
        <v>1.0777000000000001</v>
      </c>
      <c r="T48" t="str">
        <f ca="1">_xll.BDH($J48,"LAST_PRICE",Swap_Date,Swap_Date)</f>
        <v>#N/A Connection</v>
      </c>
      <c r="U48" t="e">
        <f t="shared" ca="1" si="8"/>
        <v>#VALUE!</v>
      </c>
    </row>
    <row r="49" spans="1:21" x14ac:dyDescent="0.25">
      <c r="E49" s="1">
        <f ca="1">EDATE(E48,60)</f>
        <v>54528</v>
      </c>
      <c r="F49">
        <f t="shared" ca="1" si="6"/>
        <v>1.0972</v>
      </c>
      <c r="J49" t="s">
        <v>484</v>
      </c>
      <c r="P49" s="23"/>
      <c r="R49" s="23" t="str">
        <f ca="1">_xll.BDH($J49,"Close",$E$2,$E$3,"BarType","T","Dir=V","cols=2;rows=1")</f>
        <v>#N/A Connection</v>
      </c>
      <c r="S49">
        <v>1.0972</v>
      </c>
      <c r="T49" t="str">
        <f ca="1">_xll.BDH($J49,"LAST_PRICE",Swap_Date,Swap_Date)</f>
        <v>#N/A Connection</v>
      </c>
      <c r="U49" t="e">
        <f t="shared" ca="1" si="8"/>
        <v>#VALUE!</v>
      </c>
    </row>
    <row r="50" spans="1:21" x14ac:dyDescent="0.25">
      <c r="E50" s="1">
        <f ca="1">EDATE(E49,120)</f>
        <v>58180</v>
      </c>
      <c r="F50">
        <f t="shared" ca="1" si="6"/>
        <v>1.0865</v>
      </c>
      <c r="J50" t="s">
        <v>485</v>
      </c>
      <c r="P50" s="23"/>
      <c r="R50" s="23" t="str">
        <f ca="1">_xll.BDH($J50,"Close",$E$2,$E$3,"BarType","T","Dir=V","cols=2;rows=1")</f>
        <v>#N/A Connection</v>
      </c>
      <c r="S50">
        <v>1.0865</v>
      </c>
      <c r="T50" t="str">
        <f ca="1">_xll.BDH($J50,"LAST_PRICE",Swap_Date,Swap_Date)</f>
        <v>#N/A Connection</v>
      </c>
      <c r="U50" t="e">
        <f t="shared" ca="1" si="8"/>
        <v>#VALUE!</v>
      </c>
    </row>
    <row r="51" spans="1:21" x14ac:dyDescent="0.25">
      <c r="E51" s="1">
        <f ca="1">EDATE(E50,12)</f>
        <v>58546</v>
      </c>
      <c r="F51">
        <f ca="1">F50</f>
        <v>1.0865</v>
      </c>
    </row>
    <row r="54" spans="1:21" x14ac:dyDescent="0.25">
      <c r="A54" t="s">
        <v>19</v>
      </c>
      <c r="B54">
        <v>6</v>
      </c>
      <c r="D54">
        <v>7</v>
      </c>
      <c r="F54">
        <v>100</v>
      </c>
    </row>
    <row r="55" spans="1:21" x14ac:dyDescent="0.25">
      <c r="A55" t="s">
        <v>28</v>
      </c>
      <c r="B55" t="s">
        <v>29</v>
      </c>
      <c r="C55" t="s">
        <v>30</v>
      </c>
      <c r="D55" t="s">
        <v>31</v>
      </c>
      <c r="E55" t="s">
        <v>32</v>
      </c>
      <c r="F55" t="s">
        <v>33</v>
      </c>
      <c r="I55" t="s">
        <v>652</v>
      </c>
    </row>
    <row r="56" spans="1:21" ht="15.6" customHeight="1" x14ac:dyDescent="0.25">
      <c r="A56" s="1">
        <f ca="1">WORKDAY(Swap_Date,1)</f>
        <v>43571</v>
      </c>
      <c r="B56" t="str">
        <f ca="1">_xll.BDH(H56,"PX_LAST",Cash_Date,Cash_Date)</f>
        <v>#N/A Connection</v>
      </c>
      <c r="C56" s="1">
        <f ca="1">nextimm(Swap_Date)</f>
        <v>43635</v>
      </c>
      <c r="D56" t="str">
        <f ca="1">IF(ISNUMBER(_xll.BDH(I56,"PX_LAST",Future_Date,Future_Date)),100-_xll.BDH(I56,"PX_LAST",Future_Date,Future_Date),B59)</f>
        <v>#N/A Connection</v>
      </c>
      <c r="E56" s="1">
        <f ca="1">EDATE(Swap_Date,24)</f>
        <v>44301</v>
      </c>
      <c r="F56" t="str">
        <f ca="1">IF(ISNUMBER(S56),S56,T56)</f>
        <v>#N/A Connection</v>
      </c>
      <c r="H56" t="s">
        <v>0</v>
      </c>
      <c r="I56" t="str">
        <f ca="1">$I$55&amp;$L6&amp;" "&amp;$I$4</f>
        <v>YEM9 Comdty</v>
      </c>
      <c r="J56" t="s">
        <v>506</v>
      </c>
      <c r="M56" s="122" t="s">
        <v>107</v>
      </c>
      <c r="N56" s="122"/>
      <c r="P56" s="23"/>
      <c r="R56" s="23" t="str">
        <f ca="1">_xll.BDH($J56,"Close",$C$2,$C$3,"BarType","T","Dir=V")</f>
        <v>#N/A Connection</v>
      </c>
      <c r="T56" t="str">
        <f ca="1">_xll.BDH($J56,"LAST_PRICE",Swap_Date,Swap_Date)</f>
        <v>#N/A Connection</v>
      </c>
      <c r="U56" t="e">
        <f ca="1">S56-T56</f>
        <v>#VALUE!</v>
      </c>
    </row>
    <row r="57" spans="1:21" ht="15.6" customHeight="1" x14ac:dyDescent="0.25">
      <c r="A57" s="1">
        <f ca="1">EDATE(Swap_Date,1)</f>
        <v>43600</v>
      </c>
      <c r="B57" t="str">
        <f ca="1">_xll.BDH(H57,"PX_LAST",Cash_Date,Cash_Date)</f>
        <v>#N/A Connection</v>
      </c>
      <c r="C57" s="1">
        <f ca="1">nextimm(C56+1)</f>
        <v>43726</v>
      </c>
      <c r="D57" t="e">
        <f ca="1">IFERROR(100-_xll.BDH(I57,"PX_LAST",Future_Date,Future_Date),0.5*(D56+D58))</f>
        <v>#VALUE!</v>
      </c>
      <c r="E57" s="1">
        <f ca="1">EDATE(E56,12)</f>
        <v>44666</v>
      </c>
      <c r="F57" t="str">
        <f t="shared" ref="F57:F75" ca="1" si="11">IF(ISNUMBER(S57),S57,T57)</f>
        <v>#N/A Connection</v>
      </c>
      <c r="H57" t="s">
        <v>1</v>
      </c>
      <c r="I57" t="str">
        <f t="shared" ref="I57:I63" ca="1" si="12">$I$55&amp;$L7&amp;" "&amp;$I$4</f>
        <v>YEU9 Comdty</v>
      </c>
      <c r="J57" t="s">
        <v>507</v>
      </c>
      <c r="M57" s="4" t="s">
        <v>108</v>
      </c>
      <c r="N57" s="5" t="str">
        <f ca="1">_xll.BDP("JYSSTL1 index","PX_LAST")</f>
        <v>#N/A Connection</v>
      </c>
      <c r="P57" s="23"/>
      <c r="R57" s="23" t="str">
        <f ca="1">_xll.BDH($J57,"Close",$C$2,$C$3,"BarType","T","Dir=V")</f>
        <v>#N/A Connection</v>
      </c>
      <c r="T57" t="str">
        <f ca="1">_xll.BDH($J57,"LAST_PRICE",Swap_Date,Swap_Date)</f>
        <v>#N/A Connection</v>
      </c>
      <c r="U57" t="e">
        <f t="shared" ref="U57:U75" ca="1" si="13">S57-T57</f>
        <v>#VALUE!</v>
      </c>
    </row>
    <row r="58" spans="1:21" ht="15.6" customHeight="1" x14ac:dyDescent="0.25">
      <c r="A58" s="1">
        <f ca="1">EDATE(Swap_Date,2)</f>
        <v>43631</v>
      </c>
      <c r="B58" t="e">
        <f ca="1">IF(ISNUMBER(_xll.BDH(H58,"PX_LAST",Cash_Date,Cash_Date)),_xll.BDH(H58,"PX_LAST",Cash_Date,Cash_Date),0.5*(B57+B59))</f>
        <v>#VALUE!</v>
      </c>
      <c r="C58" s="1">
        <f t="shared" ref="C58:C63" ca="1" si="14">nextimm(C57+1)</f>
        <v>43817</v>
      </c>
      <c r="D58" t="e">
        <f ca="1">100-_xll.BDH(I58,"PX_LAST",Future_Date,Future_Date)</f>
        <v>#VALUE!</v>
      </c>
      <c r="E58" s="1">
        <f t="shared" ref="E58:E71" ca="1" si="15">EDATE(E57,12)</f>
        <v>45031</v>
      </c>
      <c r="F58" t="str">
        <f t="shared" ca="1" si="11"/>
        <v>#N/A Connection</v>
      </c>
      <c r="H58" t="s">
        <v>2</v>
      </c>
      <c r="I58" t="str">
        <f t="shared" ca="1" si="12"/>
        <v>YEZ9 Comdty</v>
      </c>
      <c r="J58" t="s">
        <v>508</v>
      </c>
      <c r="M58" s="4" t="s">
        <v>109</v>
      </c>
      <c r="N58" s="6" t="str">
        <f ca="1">_xll.BDP("JYSSTL2 index","PX_LAST")</f>
        <v>#N/A Connection</v>
      </c>
      <c r="P58" s="23"/>
      <c r="R58" s="23" t="str">
        <f ca="1">_xll.BDH($J58,"Close",$C$2,$C$3,"BarType","T","Dir=V")</f>
        <v>#N/A Connection</v>
      </c>
      <c r="T58" t="str">
        <f ca="1">_xll.BDH($J58,"LAST_PRICE",Swap_Date,Swap_Date)</f>
        <v>#N/A Connection</v>
      </c>
      <c r="U58" t="e">
        <f t="shared" ca="1" si="13"/>
        <v>#VALUE!</v>
      </c>
    </row>
    <row r="59" spans="1:21" x14ac:dyDescent="0.25">
      <c r="A59" s="1">
        <f ca="1">EDATE(Swap_Date,3)</f>
        <v>43661</v>
      </c>
      <c r="B59" t="str">
        <f ca="1">_xll.BDH(H59,"PX_LAST",Cash_Date,Cash_Date)</f>
        <v>#N/A Connection</v>
      </c>
      <c r="C59" s="1">
        <f t="shared" ca="1" si="14"/>
        <v>43908</v>
      </c>
      <c r="D59" t="e">
        <f ca="1">100-_xll.BDH(I59,"PX_LAST",Future_Date,Future_Date)</f>
        <v>#VALUE!</v>
      </c>
      <c r="E59" s="1">
        <f t="shared" ca="1" si="15"/>
        <v>45397</v>
      </c>
      <c r="F59" t="str">
        <f t="shared" ca="1" si="11"/>
        <v>#N/A Connection</v>
      </c>
      <c r="H59" t="s">
        <v>3</v>
      </c>
      <c r="I59" t="str">
        <f t="shared" ca="1" si="12"/>
        <v>YEH0 Comdty</v>
      </c>
      <c r="J59" t="s">
        <v>509</v>
      </c>
      <c r="P59" s="23"/>
      <c r="R59" s="23" t="str">
        <f ca="1">_xll.BDH($J59,"Close",$C$2,$C$3,"BarType","T","Dir=V")</f>
        <v>#N/A Connection</v>
      </c>
      <c r="T59" t="str">
        <f ca="1">_xll.BDH($J59,"LAST_PRICE",Swap_Date,Swap_Date)</f>
        <v>#N/A Connection</v>
      </c>
      <c r="U59" t="e">
        <f t="shared" ca="1" si="13"/>
        <v>#VALUE!</v>
      </c>
    </row>
    <row r="60" spans="1:21" x14ac:dyDescent="0.25">
      <c r="A60" s="1">
        <f ca="1">EDATE(Swap_Date,6)</f>
        <v>43753</v>
      </c>
      <c r="B60" t="str">
        <f ca="1">_xll.BDH(H60,"PX_LAST",Cash_Date,Cash_Date)</f>
        <v>#N/A Connection</v>
      </c>
      <c r="C60" s="1">
        <f t="shared" ca="1" si="14"/>
        <v>43999</v>
      </c>
      <c r="D60" t="e">
        <f ca="1">100-_xll.BDH(I60,"PX_LAST",Future_Date,Future_Date)</f>
        <v>#VALUE!</v>
      </c>
      <c r="E60" s="1">
        <f t="shared" ca="1" si="15"/>
        <v>45762</v>
      </c>
      <c r="F60" t="str">
        <f t="shared" ca="1" si="11"/>
        <v>#N/A Connection</v>
      </c>
      <c r="H60" t="s">
        <v>4</v>
      </c>
      <c r="I60" t="str">
        <f t="shared" ca="1" si="12"/>
        <v>YEM0 Comdty</v>
      </c>
      <c r="J60" t="s">
        <v>510</v>
      </c>
      <c r="P60" s="23"/>
      <c r="R60" s="23" t="str">
        <f ca="1">_xll.BDH($J60,"Close",$C$2,$C$3,"BarType","T","Dir=V")</f>
        <v>#N/A Connection</v>
      </c>
      <c r="T60" t="str">
        <f ca="1">_xll.BDH($J60,"LAST_PRICE",Swap_Date,Swap_Date)</f>
        <v>#N/A Connection</v>
      </c>
      <c r="U60" t="e">
        <f t="shared" ca="1" si="13"/>
        <v>#VALUE!</v>
      </c>
    </row>
    <row r="61" spans="1:21" x14ac:dyDescent="0.25">
      <c r="A61" s="1">
        <f ca="1">EDATE(Swap_Date,12)</f>
        <v>43936</v>
      </c>
      <c r="B61" t="str">
        <f ca="1">_xll.BDH(H61,"PX_LAST",Cash_Date,Cash_Date)</f>
        <v>#N/A Connection</v>
      </c>
      <c r="C61" s="1">
        <f t="shared" ca="1" si="14"/>
        <v>44090</v>
      </c>
      <c r="D61" t="e">
        <f ca="1">100-_xll.BDH(I61,"PX_LAST",Future_Date,Future_Date)</f>
        <v>#VALUE!</v>
      </c>
      <c r="E61" s="1">
        <f t="shared" ca="1" si="15"/>
        <v>46127</v>
      </c>
      <c r="F61" t="str">
        <f t="shared" ca="1" si="11"/>
        <v>#N/A Connection</v>
      </c>
      <c r="H61" t="s">
        <v>5</v>
      </c>
      <c r="I61" t="str">
        <f t="shared" ca="1" si="12"/>
        <v>YEU0 Comdty</v>
      </c>
      <c r="J61" t="s">
        <v>511</v>
      </c>
      <c r="P61" s="23"/>
      <c r="R61" s="23" t="str">
        <f ca="1">_xll.BDH($J61,"Close",$C$2,$C$3,"BarType","T","Dir=V")</f>
        <v>#N/A Connection</v>
      </c>
      <c r="T61" t="str">
        <f ca="1">_xll.BDH($J61,"LAST_PRICE",Swap_Date,Swap_Date)</f>
        <v>#N/A Connection</v>
      </c>
      <c r="U61" t="e">
        <f t="shared" ca="1" si="13"/>
        <v>#VALUE!</v>
      </c>
    </row>
    <row r="62" spans="1:21" x14ac:dyDescent="0.25">
      <c r="C62" s="1">
        <f t="shared" ca="1" si="14"/>
        <v>44181</v>
      </c>
      <c r="D62" t="e">
        <f ca="1">100-_xll.BDH(I62,"PX_LAST",Future_Date,Future_Date)</f>
        <v>#VALUE!</v>
      </c>
      <c r="E62" s="1">
        <f t="shared" ca="1" si="15"/>
        <v>46492</v>
      </c>
      <c r="F62" t="str">
        <f t="shared" ca="1" si="11"/>
        <v>#N/A Connection</v>
      </c>
      <c r="I62" t="str">
        <f t="shared" ca="1" si="12"/>
        <v>YEZ0 Comdty</v>
      </c>
      <c r="J62" t="s">
        <v>512</v>
      </c>
      <c r="P62" s="23"/>
      <c r="R62" s="23" t="str">
        <f ca="1">_xll.BDH($J62,"Close",$C$2,$C$3,"BarType","T","Dir=V")</f>
        <v>#N/A Connection</v>
      </c>
      <c r="T62" t="str">
        <f ca="1">_xll.BDH($J62,"LAST_PRICE",Swap_Date,Swap_Date)</f>
        <v>#N/A Connection</v>
      </c>
      <c r="U62" t="e">
        <f t="shared" ca="1" si="13"/>
        <v>#VALUE!</v>
      </c>
    </row>
    <row r="63" spans="1:21" x14ac:dyDescent="0.25">
      <c r="C63" s="1">
        <f t="shared" ca="1" si="14"/>
        <v>44272</v>
      </c>
      <c r="D63" t="e">
        <f ca="1">100-_xll.BDH(I63,"PX_LAST",Future_Date,Future_Date)</f>
        <v>#VALUE!</v>
      </c>
      <c r="E63" s="1">
        <f t="shared" ca="1" si="15"/>
        <v>46858</v>
      </c>
      <c r="F63" t="str">
        <f t="shared" ca="1" si="11"/>
        <v>#N/A Connection</v>
      </c>
      <c r="I63" t="str">
        <f t="shared" ca="1" si="12"/>
        <v>YEH1 Comdty</v>
      </c>
      <c r="J63" t="s">
        <v>513</v>
      </c>
      <c r="P63" s="23"/>
      <c r="R63" s="23" t="str">
        <f ca="1">_xll.BDH($J63,"Close",$C$2,$C$3,"BarType","T","Dir=V")</f>
        <v>#N/A Connection</v>
      </c>
      <c r="T63" t="str">
        <f ca="1">_xll.BDH($J63,"LAST_PRICE",Swap_Date,Swap_Date)</f>
        <v>#N/A Connection</v>
      </c>
      <c r="U63" t="e">
        <f t="shared" ca="1" si="13"/>
        <v>#VALUE!</v>
      </c>
    </row>
    <row r="64" spans="1:21" x14ac:dyDescent="0.25">
      <c r="E64" s="1">
        <f t="shared" ca="1" si="15"/>
        <v>47223</v>
      </c>
      <c r="F64" t="str">
        <f t="shared" ca="1" si="11"/>
        <v>#N/A Connection</v>
      </c>
      <c r="J64" t="s">
        <v>514</v>
      </c>
      <c r="P64" s="23"/>
      <c r="R64" s="23" t="str">
        <f ca="1">_xll.BDH($J64,"Close",$C$2,$C$3,"BarType","T","Dir=V")</f>
        <v>#N/A Connection</v>
      </c>
      <c r="T64" t="str">
        <f ca="1">_xll.BDH($J64,"LAST_PRICE",Swap_Date,Swap_Date)</f>
        <v>#N/A Connection</v>
      </c>
      <c r="U64" t="e">
        <f t="shared" ca="1" si="13"/>
        <v>#VALUE!</v>
      </c>
    </row>
    <row r="65" spans="1:21" x14ac:dyDescent="0.25">
      <c r="E65" s="1">
        <f t="shared" ca="1" si="15"/>
        <v>47588</v>
      </c>
      <c r="F65" t="str">
        <f t="shared" ca="1" si="11"/>
        <v>#N/A Connection</v>
      </c>
      <c r="J65" t="s">
        <v>515</v>
      </c>
      <c r="P65" s="23"/>
      <c r="R65" s="23" t="str">
        <f ca="1">_xll.BDH($J65,"Close",$C$2,$C$3,"BarType","T","Dir=V")</f>
        <v>#N/A Connection</v>
      </c>
      <c r="T65" t="str">
        <f ca="1">_xll.BDH($J65,"LAST_PRICE",Swap_Date,Swap_Date)</f>
        <v>#N/A Connection</v>
      </c>
      <c r="U65" t="e">
        <f t="shared" ca="1" si="13"/>
        <v>#VALUE!</v>
      </c>
    </row>
    <row r="66" spans="1:21" x14ac:dyDescent="0.25">
      <c r="E66" s="1">
        <f t="shared" ca="1" si="15"/>
        <v>47953</v>
      </c>
      <c r="F66" t="str">
        <f t="shared" ca="1" si="11"/>
        <v>#N/A Connection</v>
      </c>
      <c r="J66" t="s">
        <v>516</v>
      </c>
      <c r="P66" s="23"/>
      <c r="R66" s="23" t="str">
        <f ca="1">_xll.BDH($J66,"Close",$C$2,$C$3,"BarType","T","Dir=V")</f>
        <v>#N/A Connection</v>
      </c>
      <c r="T66" t="str">
        <f ca="1">_xll.BDH($J66,"LAST_PRICE",Swap_Date,Swap_Date)</f>
        <v>#N/A Connection</v>
      </c>
      <c r="U66" t="e">
        <f t="shared" ca="1" si="13"/>
        <v>#VALUE!</v>
      </c>
    </row>
    <row r="67" spans="1:21" x14ac:dyDescent="0.25">
      <c r="E67" s="1">
        <f t="shared" ca="1" si="15"/>
        <v>48319</v>
      </c>
      <c r="F67" t="e">
        <f ca="1">IF(ISNUMBER(S67),S67,1/3*(T69-T66)+T66)</f>
        <v>#VALUE!</v>
      </c>
      <c r="J67" t="s">
        <v>517</v>
      </c>
      <c r="P67" s="23"/>
      <c r="R67" s="23" t="str">
        <f ca="1">_xll.BDH($J67,"Close",$C$2,$C$3,"BarType","T","Dir=V")</f>
        <v>#N/A Connection</v>
      </c>
      <c r="T67" t="str">
        <f ca="1">_xll.BDH($J67,"LAST_PRICE",Swap_Date,Swap_Date)</f>
        <v>#N/A Connection</v>
      </c>
      <c r="U67" t="e">
        <f t="shared" ca="1" si="13"/>
        <v>#VALUE!</v>
      </c>
    </row>
    <row r="68" spans="1:21" x14ac:dyDescent="0.25">
      <c r="E68" s="1">
        <f t="shared" ca="1" si="15"/>
        <v>48684</v>
      </c>
      <c r="F68" t="e">
        <f ca="1">IF(ISNUMBER(S68),S68,2/3*(T69-T66)+T66)</f>
        <v>#VALUE!</v>
      </c>
      <c r="J68" t="s">
        <v>518</v>
      </c>
      <c r="P68" s="23"/>
      <c r="R68" s="23" t="str">
        <f ca="1">_xll.BDH($J68,"Close",$C$2,$C$3,"BarType","T","Dir=V")</f>
        <v>#N/A Connection</v>
      </c>
      <c r="T68" t="str">
        <f ca="1">_xll.BDH($J68,"LAST_PRICE",Swap_Date,Swap_Date)</f>
        <v>#N/A Connection</v>
      </c>
      <c r="U68" t="e">
        <f t="shared" ca="1" si="13"/>
        <v>#VALUE!</v>
      </c>
    </row>
    <row r="69" spans="1:21" x14ac:dyDescent="0.25">
      <c r="E69" s="1">
        <f t="shared" ca="1" si="15"/>
        <v>49049</v>
      </c>
      <c r="F69" t="str">
        <f t="shared" ca="1" si="11"/>
        <v>#N/A Connection</v>
      </c>
      <c r="J69" t="s">
        <v>519</v>
      </c>
      <c r="P69" s="23"/>
      <c r="R69" s="23" t="str">
        <f ca="1">_xll.BDH($J69,"Close",$C$2,$C$3,"BarType","T","Dir=V")</f>
        <v>#N/A Connection</v>
      </c>
      <c r="T69" t="str">
        <f ca="1">_xll.BDH($J69,"LAST_PRICE",Swap_Date,Swap_Date)</f>
        <v>#N/A Connection</v>
      </c>
      <c r="U69" t="e">
        <f t="shared" ca="1" si="13"/>
        <v>#VALUE!</v>
      </c>
    </row>
    <row r="70" spans="1:21" x14ac:dyDescent="0.25">
      <c r="E70" s="1">
        <f t="shared" ca="1" si="15"/>
        <v>49414</v>
      </c>
      <c r="F70" t="e">
        <f ca="1">IF(ISNUMBER(S70),S70,0.5*(T69+T71))</f>
        <v>#VALUE!</v>
      </c>
      <c r="J70" t="s">
        <v>520</v>
      </c>
      <c r="P70" s="23"/>
      <c r="R70" s="23" t="str">
        <f ca="1">_xll.BDH($J70,"Close",$C$2,$C$3,"BarType","T","Dir=V")</f>
        <v>#N/A Connection</v>
      </c>
      <c r="T70" t="str">
        <f ca="1">_xll.BDH($J70,"LAST_PRICE",Swap_Date,Swap_Date)</f>
        <v>#N/A Connection</v>
      </c>
      <c r="U70" t="e">
        <f t="shared" ca="1" si="13"/>
        <v>#VALUE!</v>
      </c>
    </row>
    <row r="71" spans="1:21" x14ac:dyDescent="0.25">
      <c r="E71" s="1">
        <f t="shared" ca="1" si="15"/>
        <v>49780</v>
      </c>
      <c r="F71" t="str">
        <f t="shared" ca="1" si="11"/>
        <v>#N/A Connection</v>
      </c>
      <c r="J71" t="s">
        <v>521</v>
      </c>
      <c r="P71" s="23"/>
      <c r="R71" s="23" t="str">
        <f ca="1">_xll.BDH($J71,"Close",$C$2,$C$3,"BarType","T","Dir=V")</f>
        <v>#N/A Connection</v>
      </c>
      <c r="T71" t="str">
        <f ca="1">_xll.BDH($J71,"LAST_PRICE",Swap_Date,Swap_Date)</f>
        <v>#N/A Connection</v>
      </c>
      <c r="U71" t="e">
        <f t="shared" ca="1" si="13"/>
        <v>#VALUE!</v>
      </c>
    </row>
    <row r="72" spans="1:21" x14ac:dyDescent="0.25">
      <c r="E72" s="1">
        <f ca="1">EDATE(E71,36)</f>
        <v>50875</v>
      </c>
      <c r="F72" t="str">
        <f t="shared" ca="1" si="11"/>
        <v>#N/A Connection</v>
      </c>
      <c r="J72" t="s">
        <v>522</v>
      </c>
      <c r="P72" s="23"/>
      <c r="R72" s="23" t="str">
        <f ca="1">_xll.BDH($J72,"Close",$C$2,$C$3,"BarType","T","Dir=V")</f>
        <v>#N/A Connection</v>
      </c>
      <c r="T72" t="str">
        <f ca="1">_xll.BDH($J72,"LAST_PRICE",Swap_Date,Swap_Date)</f>
        <v>#N/A Connection</v>
      </c>
      <c r="U72" t="e">
        <f t="shared" ca="1" si="13"/>
        <v>#VALUE!</v>
      </c>
    </row>
    <row r="73" spans="1:21" x14ac:dyDescent="0.25">
      <c r="E73" s="1">
        <f ca="1">EDATE(E72,60)</f>
        <v>52702</v>
      </c>
      <c r="F73" t="str">
        <f t="shared" ca="1" si="11"/>
        <v>#N/A Connection</v>
      </c>
      <c r="J73" t="s">
        <v>523</v>
      </c>
      <c r="P73" s="23"/>
      <c r="R73" s="23" t="str">
        <f ca="1">_xll.BDH($J73,"Close",$C$2,$C$3,"BarType","T","Dir=V")</f>
        <v>#N/A Connection</v>
      </c>
      <c r="T73" t="str">
        <f ca="1">_xll.BDH($J73,"LAST_PRICE",Swap_Date,Swap_Date)</f>
        <v>#N/A Connection</v>
      </c>
      <c r="U73" t="e">
        <f t="shared" ca="1" si="13"/>
        <v>#VALUE!</v>
      </c>
    </row>
    <row r="74" spans="1:21" x14ac:dyDescent="0.25">
      <c r="E74" s="1">
        <f ca="1">EDATE(E73,60)</f>
        <v>54528</v>
      </c>
      <c r="F74" t="str">
        <f t="shared" ca="1" si="11"/>
        <v>#N/A Connection</v>
      </c>
      <c r="J74" t="s">
        <v>524</v>
      </c>
      <c r="P74" s="23"/>
      <c r="R74" s="23" t="str">
        <f ca="1">_xll.BDH($J74,"Close",$C$2,$C$3,"BarType","T","Dir=V")</f>
        <v>#N/A Connection</v>
      </c>
      <c r="T74" t="str">
        <f ca="1">_xll.BDH($J74,"LAST_PRICE",Swap_Date,Swap_Date)</f>
        <v>#N/A Connection</v>
      </c>
      <c r="U74" t="e">
        <f t="shared" ca="1" si="13"/>
        <v>#VALUE!</v>
      </c>
    </row>
    <row r="75" spans="1:21" x14ac:dyDescent="0.25">
      <c r="E75" s="1">
        <f ca="1">EDATE(E74,120)</f>
        <v>58180</v>
      </c>
      <c r="F75" t="str">
        <f t="shared" ca="1" si="11"/>
        <v>#N/A Connection</v>
      </c>
      <c r="J75" t="s">
        <v>525</v>
      </c>
      <c r="P75" s="23"/>
      <c r="R75" s="23" t="str">
        <f ca="1">_xll.BDH($J75,"Close",$C$2,$C$3,"BarType","T","Dir=V")</f>
        <v>#N/A Connection</v>
      </c>
      <c r="T75" t="str">
        <f ca="1">_xll.BDH($J75,"LAST_PRICE",Swap_Date,Swap_Date)</f>
        <v>#N/A Connection</v>
      </c>
      <c r="U75" t="e">
        <f t="shared" ca="1" si="13"/>
        <v>#VALUE!</v>
      </c>
    </row>
    <row r="76" spans="1:21" x14ac:dyDescent="0.25">
      <c r="E76" s="1">
        <f ca="1">EDATE(E75,12)</f>
        <v>58546</v>
      </c>
      <c r="F76" t="str">
        <f ca="1">F75</f>
        <v>#N/A Connection</v>
      </c>
    </row>
    <row r="79" spans="1:21" x14ac:dyDescent="0.25">
      <c r="A79" t="s">
        <v>14</v>
      </c>
      <c r="B79">
        <v>6</v>
      </c>
      <c r="D79">
        <v>7</v>
      </c>
      <c r="F79">
        <v>100</v>
      </c>
    </row>
    <row r="80" spans="1:21" x14ac:dyDescent="0.25">
      <c r="A80" t="s">
        <v>28</v>
      </c>
      <c r="B80" t="s">
        <v>29</v>
      </c>
      <c r="C80" t="s">
        <v>30</v>
      </c>
      <c r="D80" t="s">
        <v>31</v>
      </c>
      <c r="E80" t="s">
        <v>32</v>
      </c>
      <c r="F80" t="s">
        <v>33</v>
      </c>
      <c r="I80" t="s">
        <v>653</v>
      </c>
    </row>
    <row r="81" spans="1:21" x14ac:dyDescent="0.25">
      <c r="A81" s="1">
        <f ca="1">WORKDAY(Swap_Date,1)</f>
        <v>43571</v>
      </c>
      <c r="B81" t="str">
        <f ca="1">_xll.BDH(H81,"PX_LAST",Cash_Date,Cash_Date)</f>
        <v>#N/A Connection</v>
      </c>
      <c r="C81" s="1">
        <f ca="1">nextimm(Swap_Date)</f>
        <v>43635</v>
      </c>
      <c r="D81" t="str">
        <f ca="1">IF(ISNUMBER(_xll.BDH(I81,"PX_LAST",Future_Date,Future_Date)),100-_xll.BDH(I81,"PX_LAST",Future_Date,Future_Date),B84)</f>
        <v>#N/A Connection</v>
      </c>
      <c r="E81" s="1">
        <f ca="1">EDATE(Swap_Date,24)</f>
        <v>44301</v>
      </c>
      <c r="F81">
        <f ca="1">IF(ISNUMBER(S81),S81,T81)</f>
        <v>1.0155000000000001</v>
      </c>
      <c r="H81" t="s">
        <v>110</v>
      </c>
      <c r="I81" t="str">
        <f ca="1">$I$80&amp;$L$6&amp;" "&amp;$I$4</f>
        <v>L M9 Comdty</v>
      </c>
      <c r="J81" t="s">
        <v>526</v>
      </c>
      <c r="P81" s="23"/>
      <c r="R81" s="23" t="str">
        <f ca="1">_xll.BDH($J81,"Close",$E$2,$E$3,"BarType","T","Dir=V","cols=2;rows=1")</f>
        <v>#N/A Connection</v>
      </c>
      <c r="S81">
        <v>1.0155000000000001</v>
      </c>
      <c r="T81" t="str">
        <f ca="1">_xll.BDH($J81,"LAST_PRICE",Swap_Date,Swap_Date)</f>
        <v>#N/A Connection</v>
      </c>
      <c r="U81" t="e">
        <f ca="1">S81-T81</f>
        <v>#VALUE!</v>
      </c>
    </row>
    <row r="82" spans="1:21" x14ac:dyDescent="0.25">
      <c r="A82" s="1">
        <f ca="1">EDATE(Swap_Date,1)</f>
        <v>43600</v>
      </c>
      <c r="B82" t="str">
        <f ca="1">_xll.BDH(H82,"PX_LAST",Cash_Date,Cash_Date)</f>
        <v>#N/A Connection</v>
      </c>
      <c r="C82" s="1">
        <f ca="1">nextimm(C81+1)</f>
        <v>43726</v>
      </c>
      <c r="D82" t="e">
        <f ca="1">100-_xll.BDH(I82,"PX_LAST",Future_Date,Future_Date)</f>
        <v>#VALUE!</v>
      </c>
      <c r="E82" s="1">
        <f ca="1">EDATE(E81,12)</f>
        <v>44666</v>
      </c>
      <c r="F82">
        <f t="shared" ref="F82:F100" ca="1" si="16">IF(ISNUMBER(S82),S82,T82)</f>
        <v>1.0782499999999999</v>
      </c>
      <c r="H82" t="s">
        <v>111</v>
      </c>
      <c r="I82" t="str">
        <f t="shared" ref="I82:I88" ca="1" si="17">$I$80&amp;$L7&amp;" "&amp;$I$4</f>
        <v>L U9 Comdty</v>
      </c>
      <c r="J82" t="s">
        <v>527</v>
      </c>
      <c r="P82" s="23"/>
      <c r="R82" s="23" t="str">
        <f ca="1">_xll.BDH($J82,"Close",$E$2,$E$3,"BarType","T","Dir=V","cols=2;rows=1")</f>
        <v>#N/A Connection</v>
      </c>
      <c r="S82">
        <v>1.0782499999999999</v>
      </c>
      <c r="T82" t="str">
        <f ca="1">_xll.BDH($J82,"LAST_PRICE",Swap_Date,Swap_Date)</f>
        <v>#N/A Connection</v>
      </c>
      <c r="U82" t="e">
        <f t="shared" ref="U82:U100" ca="1" si="18">S82-T82</f>
        <v>#VALUE!</v>
      </c>
    </row>
    <row r="83" spans="1:21" x14ac:dyDescent="0.25">
      <c r="A83" s="1">
        <f ca="1">EDATE(Swap_Date,2)</f>
        <v>43631</v>
      </c>
      <c r="B83" t="e">
        <f ca="1">IF(ISNUMBER(_xll.BDH(H83,"PX_LAST",Cash_Date,Cash_Date)),_xll.BDH(H83,"PX_LAST",Cash_Date,Cash_Date),0.5*(B82+B84))</f>
        <v>#VALUE!</v>
      </c>
      <c r="C83" s="1">
        <f t="shared" ref="C83:C88" ca="1" si="19">nextimm(C82+1)</f>
        <v>43817</v>
      </c>
      <c r="D83" t="e">
        <f ca="1">100-_xll.BDH(I83,"PX_LAST",Future_Date,Future_Date)</f>
        <v>#VALUE!</v>
      </c>
      <c r="E83" s="1">
        <f t="shared" ref="E83:E96" ca="1" si="20">EDATE(E82,12)</f>
        <v>45031</v>
      </c>
      <c r="F83">
        <f t="shared" ca="1" si="16"/>
        <v>1.1332500000000001</v>
      </c>
      <c r="H83" t="s">
        <v>112</v>
      </c>
      <c r="I83" t="str">
        <f t="shared" ca="1" si="17"/>
        <v>L Z9 Comdty</v>
      </c>
      <c r="J83" t="s">
        <v>528</v>
      </c>
      <c r="P83" s="23"/>
      <c r="R83" s="23" t="str">
        <f ca="1">_xll.BDH($J83,"Close",$E$2,$E$3,"BarType","T","Dir=V","cols=2;rows=1")</f>
        <v>#N/A Connection</v>
      </c>
      <c r="S83">
        <v>1.1332500000000001</v>
      </c>
      <c r="T83" t="str">
        <f ca="1">_xll.BDH($J83,"LAST_PRICE",Swap_Date,Swap_Date)</f>
        <v>#N/A Connection</v>
      </c>
      <c r="U83" t="e">
        <f t="shared" ca="1" si="18"/>
        <v>#VALUE!</v>
      </c>
    </row>
    <row r="84" spans="1:21" x14ac:dyDescent="0.25">
      <c r="A84" s="1">
        <f ca="1">EDATE(Swap_Date,3)</f>
        <v>43661</v>
      </c>
      <c r="B84" t="str">
        <f ca="1">_xll.BDH(H84,"PX_LAST",Cash_Date,Cash_Date)</f>
        <v>#N/A Connection</v>
      </c>
      <c r="C84" s="1">
        <f t="shared" ca="1" si="19"/>
        <v>43908</v>
      </c>
      <c r="D84" t="e">
        <f ca="1">100-_xll.BDH(I84,"PX_LAST",Future_Date,Future_Date)</f>
        <v>#VALUE!</v>
      </c>
      <c r="E84" s="1">
        <f t="shared" ca="1" si="20"/>
        <v>45397</v>
      </c>
      <c r="F84">
        <f t="shared" ca="1" si="16"/>
        <v>1.179</v>
      </c>
      <c r="H84" t="s">
        <v>113</v>
      </c>
      <c r="I84" t="str">
        <f t="shared" ca="1" si="17"/>
        <v>L H0 Comdty</v>
      </c>
      <c r="J84" t="s">
        <v>529</v>
      </c>
      <c r="P84" s="23"/>
      <c r="R84" s="23" t="str">
        <f ca="1">_xll.BDH($J84,"Close",$E$2,$E$3,"BarType","T","Dir=V","cols=2;rows=1")</f>
        <v>#N/A Connection</v>
      </c>
      <c r="S84">
        <v>1.179</v>
      </c>
      <c r="T84" t="str">
        <f ca="1">_xll.BDH($J84,"LAST_PRICE",Swap_Date,Swap_Date)</f>
        <v>#N/A Connection</v>
      </c>
      <c r="U84" t="e">
        <f t="shared" ca="1" si="18"/>
        <v>#VALUE!</v>
      </c>
    </row>
    <row r="85" spans="1:21" x14ac:dyDescent="0.25">
      <c r="A85" s="1">
        <f ca="1">EDATE(Swap_Date,6)</f>
        <v>43753</v>
      </c>
      <c r="B85" t="str">
        <f ca="1">_xll.BDH(H85,"PX_LAST",Cash_Date,Cash_Date)</f>
        <v>#N/A Connection</v>
      </c>
      <c r="C85" s="1">
        <f t="shared" ca="1" si="19"/>
        <v>43999</v>
      </c>
      <c r="D85" t="e">
        <f ca="1">100-_xll.BDH(I85,"PX_LAST",Future_Date,Future_Date)</f>
        <v>#VALUE!</v>
      </c>
      <c r="E85" s="1">
        <f t="shared" ca="1" si="20"/>
        <v>45762</v>
      </c>
      <c r="F85">
        <f t="shared" ca="1" si="16"/>
        <v>1.218</v>
      </c>
      <c r="H85" t="s">
        <v>114</v>
      </c>
      <c r="I85" t="str">
        <f t="shared" ca="1" si="17"/>
        <v>L M0 Comdty</v>
      </c>
      <c r="J85" t="s">
        <v>530</v>
      </c>
      <c r="P85" s="23"/>
      <c r="R85" s="23" t="str">
        <f ca="1">_xll.BDH($J85,"Close",$E$2,$E$3,"BarType","T","Dir=V","cols=2;rows=1")</f>
        <v>#N/A Connection</v>
      </c>
      <c r="S85">
        <v>1.218</v>
      </c>
      <c r="T85" t="str">
        <f ca="1">_xll.BDH($J85,"LAST_PRICE",Swap_Date,Swap_Date)</f>
        <v>#N/A Connection</v>
      </c>
      <c r="U85" t="e">
        <f t="shared" ca="1" si="18"/>
        <v>#VALUE!</v>
      </c>
    </row>
    <row r="86" spans="1:21" x14ac:dyDescent="0.25">
      <c r="A86" s="1">
        <f ca="1">EDATE(Swap_Date,12)</f>
        <v>43936</v>
      </c>
      <c r="B86" t="str">
        <f ca="1">_xll.BDH(H86,"PX_LAST",Cash_Date,Cash_Date)</f>
        <v>#N/A Connection</v>
      </c>
      <c r="C86" s="1">
        <f t="shared" ca="1" si="19"/>
        <v>44090</v>
      </c>
      <c r="D86" t="e">
        <f ca="1">100-_xll.BDH(I86,"PX_LAST",Future_Date,Future_Date)</f>
        <v>#VALUE!</v>
      </c>
      <c r="E86" s="1">
        <f t="shared" ca="1" si="20"/>
        <v>46127</v>
      </c>
      <c r="F86">
        <f t="shared" ca="1" si="16"/>
        <v>1.2525500000000001</v>
      </c>
      <c r="H86" t="s">
        <v>115</v>
      </c>
      <c r="I86" t="str">
        <f t="shared" ca="1" si="17"/>
        <v>L U0 Comdty</v>
      </c>
      <c r="J86" t="s">
        <v>531</v>
      </c>
      <c r="P86" s="23"/>
      <c r="R86" s="23" t="str">
        <f ca="1">_xll.BDH($J86,"Close",$E$2,$E$3,"BarType","T","Dir=V","cols=2;rows=1")</f>
        <v>#N/A Connection</v>
      </c>
      <c r="S86">
        <v>1.2525500000000001</v>
      </c>
      <c r="T86" t="str">
        <f ca="1">_xll.BDH($J86,"LAST_PRICE",Swap_Date,Swap_Date)</f>
        <v>#N/A Connection</v>
      </c>
      <c r="U86" t="e">
        <f t="shared" ca="1" si="18"/>
        <v>#VALUE!</v>
      </c>
    </row>
    <row r="87" spans="1:21" x14ac:dyDescent="0.25">
      <c r="C87" s="1">
        <f t="shared" ca="1" si="19"/>
        <v>44181</v>
      </c>
      <c r="D87" t="e">
        <f ca="1">100-_xll.BDH(I87,"PX_LAST",Future_Date,Future_Date)</f>
        <v>#VALUE!</v>
      </c>
      <c r="E87" s="1">
        <f t="shared" ca="1" si="20"/>
        <v>46492</v>
      </c>
      <c r="F87">
        <f t="shared" ca="1" si="16"/>
        <v>1.2857499999999999</v>
      </c>
      <c r="I87" t="str">
        <f t="shared" ca="1" si="17"/>
        <v>L Z0 Comdty</v>
      </c>
      <c r="J87" t="s">
        <v>532</v>
      </c>
      <c r="P87" s="23"/>
      <c r="R87" s="23" t="str">
        <f ca="1">_xll.BDH($J87,"Close",$E$2,$E$3,"BarType","T","Dir=V","cols=2;rows=1")</f>
        <v>#N/A Connection</v>
      </c>
      <c r="S87">
        <v>1.2857499999999999</v>
      </c>
      <c r="T87" t="str">
        <f ca="1">_xll.BDH($J87,"LAST_PRICE",Swap_Date,Swap_Date)</f>
        <v>#N/A Connection</v>
      </c>
      <c r="U87" t="e">
        <f t="shared" ca="1" si="18"/>
        <v>#VALUE!</v>
      </c>
    </row>
    <row r="88" spans="1:21" x14ac:dyDescent="0.25">
      <c r="C88" s="1">
        <f t="shared" ca="1" si="19"/>
        <v>44272</v>
      </c>
      <c r="D88" t="e">
        <f ca="1">100-_xll.BDH(I88,"PX_LAST",Future_Date,Future_Date)</f>
        <v>#VALUE!</v>
      </c>
      <c r="E88" s="1">
        <f t="shared" ca="1" si="20"/>
        <v>46858</v>
      </c>
      <c r="F88">
        <f t="shared" ca="1" si="16"/>
        <v>1.3167500000000001</v>
      </c>
      <c r="I88" t="str">
        <f t="shared" ca="1" si="17"/>
        <v>L H1 Comdty</v>
      </c>
      <c r="J88" t="s">
        <v>533</v>
      </c>
      <c r="P88" s="23"/>
      <c r="R88" s="23" t="str">
        <f ca="1">_xll.BDH($J88,"Close",$E$2,$E$3,"BarType","T","Dir=V","cols=2;rows=1")</f>
        <v>#N/A Connection</v>
      </c>
      <c r="S88">
        <v>1.3167500000000001</v>
      </c>
      <c r="T88" t="str">
        <f ca="1">_xll.BDH($J88,"LAST_PRICE",Swap_Date,Swap_Date)</f>
        <v>#N/A Connection</v>
      </c>
      <c r="U88" t="e">
        <f t="shared" ca="1" si="18"/>
        <v>#VALUE!</v>
      </c>
    </row>
    <row r="89" spans="1:21" x14ac:dyDescent="0.25">
      <c r="E89" s="1">
        <f t="shared" ca="1" si="20"/>
        <v>47223</v>
      </c>
      <c r="F89">
        <f t="shared" ca="1" si="16"/>
        <v>1.345</v>
      </c>
      <c r="J89" t="s">
        <v>534</v>
      </c>
      <c r="P89" s="23"/>
      <c r="R89" s="23" t="str">
        <f ca="1">_xll.BDH($J89,"Close",$E$2,$E$3,"BarType","T","Dir=V","cols=2;rows=1")</f>
        <v>#N/A Connection</v>
      </c>
      <c r="S89">
        <v>1.345</v>
      </c>
      <c r="T89" t="str">
        <f ca="1">_xll.BDH($J89,"LAST_PRICE",Swap_Date,Swap_Date)</f>
        <v>#N/A Connection</v>
      </c>
      <c r="U89" t="e">
        <f t="shared" ca="1" si="18"/>
        <v>#VALUE!</v>
      </c>
    </row>
    <row r="90" spans="1:21" x14ac:dyDescent="0.25">
      <c r="E90" s="1">
        <f t="shared" ca="1" si="20"/>
        <v>47588</v>
      </c>
      <c r="F90">
        <f t="shared" ca="1" si="16"/>
        <v>1.3720000000000001</v>
      </c>
      <c r="J90" t="s">
        <v>535</v>
      </c>
      <c r="P90" s="23"/>
      <c r="R90" s="23" t="str">
        <f ca="1">_xll.BDH($J90,"Close",$E$2,$E$3,"BarType","T","Dir=V","cols=2;rows=1")</f>
        <v>#N/A Connection</v>
      </c>
      <c r="S90">
        <v>1.3720000000000001</v>
      </c>
      <c r="T90" t="str">
        <f ca="1">_xll.BDH($J90,"LAST_PRICE",Swap_Date,Swap_Date)</f>
        <v>#N/A Connection</v>
      </c>
      <c r="U90" t="e">
        <f t="shared" ca="1" si="18"/>
        <v>#VALUE!</v>
      </c>
    </row>
    <row r="91" spans="1:21" x14ac:dyDescent="0.25">
      <c r="E91" s="1">
        <f t="shared" ca="1" si="20"/>
        <v>47953</v>
      </c>
      <c r="F91">
        <f t="shared" ca="1" si="16"/>
        <v>1.3940399999999999</v>
      </c>
      <c r="J91" t="s">
        <v>536</v>
      </c>
      <c r="P91" s="23"/>
      <c r="R91" s="23" t="str">
        <f ca="1">_xll.BDH($J91,"Close",$E$2,$E$3,"BarType","T","Dir=V","cols=2;rows=1")</f>
        <v>#N/A Connection</v>
      </c>
      <c r="S91">
        <v>1.3940399999999999</v>
      </c>
      <c r="T91" t="str">
        <f ca="1">_xll.BDH($J91,"LAST_PRICE",Swap_Date,Swap_Date)</f>
        <v>#N/A Connection</v>
      </c>
      <c r="U91" t="e">
        <f t="shared" ca="1" si="18"/>
        <v>#VALUE!</v>
      </c>
    </row>
    <row r="92" spans="1:21" x14ac:dyDescent="0.25">
      <c r="E92" s="1">
        <f t="shared" ca="1" si="20"/>
        <v>48319</v>
      </c>
      <c r="F92">
        <f t="shared" ca="1" si="16"/>
        <v>1.4139999999999999</v>
      </c>
      <c r="J92" t="s">
        <v>537</v>
      </c>
      <c r="P92" s="23"/>
      <c r="R92" s="23" t="str">
        <f ca="1">_xll.BDH($J92,"Close",$E$2,$E$3,"BarType","T","Dir=V","cols=2;rows=1")</f>
        <v>#N/A Connection</v>
      </c>
      <c r="S92">
        <v>1.4139999999999999</v>
      </c>
      <c r="T92" t="str">
        <f ca="1">_xll.BDH($J92,"LAST_PRICE",Swap_Date,Swap_Date)</f>
        <v>#N/A Connection</v>
      </c>
      <c r="U92" t="e">
        <f t="shared" ca="1" si="18"/>
        <v>#VALUE!</v>
      </c>
    </row>
    <row r="93" spans="1:21" x14ac:dyDescent="0.25">
      <c r="E93" s="1">
        <f t="shared" ca="1" si="20"/>
        <v>48684</v>
      </c>
      <c r="F93">
        <f t="shared" ca="1" si="16"/>
        <v>1.429</v>
      </c>
      <c r="J93" t="s">
        <v>538</v>
      </c>
      <c r="P93" s="23"/>
      <c r="R93" s="23" t="str">
        <f ca="1">_xll.BDH($J93,"Close",$E$2,$E$3,"BarType","T","Dir=V","cols=2;rows=1")</f>
        <v>#N/A Connection</v>
      </c>
      <c r="S93">
        <v>1.429</v>
      </c>
      <c r="T93" t="str">
        <f ca="1">_xll.BDH($J93,"LAST_PRICE",Swap_Date,Swap_Date)</f>
        <v>#N/A Connection</v>
      </c>
      <c r="U93" t="e">
        <f t="shared" ca="1" si="18"/>
        <v>#VALUE!</v>
      </c>
    </row>
    <row r="94" spans="1:21" x14ac:dyDescent="0.25">
      <c r="E94" s="1">
        <f t="shared" ca="1" si="20"/>
        <v>49049</v>
      </c>
      <c r="F94">
        <f t="shared" ca="1" si="16"/>
        <v>1.4428099999999999</v>
      </c>
      <c r="J94" t="s">
        <v>539</v>
      </c>
      <c r="P94" s="23"/>
      <c r="R94" s="23" t="str">
        <f ca="1">_xll.BDH($J94,"Close",$E$2,$E$3,"BarType","T","Dir=V","cols=2;rows=1")</f>
        <v>#N/A Connection</v>
      </c>
      <c r="S94">
        <v>1.4428099999999999</v>
      </c>
      <c r="T94" t="str">
        <f ca="1">_xll.BDH($J94,"LAST_PRICE",Swap_Date,Swap_Date)</f>
        <v>#N/A Connection</v>
      </c>
      <c r="U94" t="e">
        <f t="shared" ca="1" si="18"/>
        <v>#VALUE!</v>
      </c>
    </row>
    <row r="95" spans="1:21" x14ac:dyDescent="0.25">
      <c r="E95" s="1">
        <f t="shared" ca="1" si="20"/>
        <v>49414</v>
      </c>
      <c r="F95">
        <f t="shared" ca="1" si="16"/>
        <v>1.4535</v>
      </c>
      <c r="J95" t="s">
        <v>540</v>
      </c>
      <c r="P95" s="23"/>
      <c r="R95" s="23" t="str">
        <f ca="1">_xll.BDH($J95,"Close",$E$2,$E$3,"BarType","T","Dir=V","cols=2;rows=1")</f>
        <v>#N/A Connection</v>
      </c>
      <c r="S95">
        <v>1.4535</v>
      </c>
      <c r="T95" t="str">
        <f ca="1">_xll.BDH($J95,"LAST_PRICE",Swap_Date,Swap_Date)</f>
        <v>#N/A Connection</v>
      </c>
      <c r="U95" t="e">
        <f t="shared" ca="1" si="18"/>
        <v>#VALUE!</v>
      </c>
    </row>
    <row r="96" spans="1:21" x14ac:dyDescent="0.25">
      <c r="E96" s="1">
        <f t="shared" ca="1" si="20"/>
        <v>49780</v>
      </c>
      <c r="F96">
        <f t="shared" ca="1" si="16"/>
        <v>1.462</v>
      </c>
      <c r="J96" t="s">
        <v>541</v>
      </c>
      <c r="P96" s="23"/>
      <c r="R96" s="23" t="str">
        <f ca="1">_xll.BDH($J96,"Close",$E$2,$E$3,"BarType","T","Dir=V","cols=2;rows=1")</f>
        <v>#N/A Connection</v>
      </c>
      <c r="S96">
        <v>1.462</v>
      </c>
      <c r="T96" t="str">
        <f ca="1">_xll.BDH($J96,"LAST_PRICE",Swap_Date,Swap_Date)</f>
        <v>#N/A Connection</v>
      </c>
      <c r="U96" t="e">
        <f t="shared" ca="1" si="18"/>
        <v>#VALUE!</v>
      </c>
    </row>
    <row r="97" spans="1:21" x14ac:dyDescent="0.25">
      <c r="E97" s="1">
        <f ca="1">EDATE(E96,36)</f>
        <v>50875</v>
      </c>
      <c r="F97">
        <f t="shared" ca="1" si="16"/>
        <v>1.4803999999999999</v>
      </c>
      <c r="J97" t="s">
        <v>542</v>
      </c>
      <c r="P97" s="23"/>
      <c r="R97" s="23" t="str">
        <f ca="1">_xll.BDH($J97,"Close",$E$2,$E$3,"BarType","T","Dir=V","cols=2;rows=1")</f>
        <v>#N/A Connection</v>
      </c>
      <c r="S97">
        <v>1.4803999999999999</v>
      </c>
      <c r="T97" t="str">
        <f ca="1">_xll.BDH($J97,"LAST_PRICE",Swap_Date,Swap_Date)</f>
        <v>#N/A Connection</v>
      </c>
      <c r="U97" t="e">
        <f t="shared" ca="1" si="18"/>
        <v>#VALUE!</v>
      </c>
    </row>
    <row r="98" spans="1:21" x14ac:dyDescent="0.25">
      <c r="E98" s="1">
        <f ca="1">EDATE(E97,60)</f>
        <v>52702</v>
      </c>
      <c r="F98">
        <f t="shared" ca="1" si="16"/>
        <v>1.4858</v>
      </c>
      <c r="J98" t="s">
        <v>543</v>
      </c>
      <c r="P98" s="23"/>
      <c r="R98" s="23" t="str">
        <f ca="1">_xll.BDH($J98,"Close",$E$2,$E$3,"BarType","T","Dir=V","cols=2;rows=1")</f>
        <v>#N/A Connection</v>
      </c>
      <c r="S98">
        <v>1.4858</v>
      </c>
      <c r="T98" t="str">
        <f ca="1">_xll.BDH($J98,"LAST_PRICE",Swap_Date,Swap_Date)</f>
        <v>#N/A Connection</v>
      </c>
      <c r="U98" t="e">
        <f t="shared" ca="1" si="18"/>
        <v>#VALUE!</v>
      </c>
    </row>
    <row r="99" spans="1:21" x14ac:dyDescent="0.25">
      <c r="E99" s="1">
        <f ca="1">EDATE(E98,60)</f>
        <v>54528</v>
      </c>
      <c r="F99">
        <f t="shared" ca="1" si="16"/>
        <v>1.4809000000000001</v>
      </c>
      <c r="J99" t="s">
        <v>544</v>
      </c>
      <c r="P99" s="23"/>
      <c r="R99" s="23" t="str">
        <f ca="1">_xll.BDH($J99,"Close",$E$2,$E$3,"BarType","T","Dir=V","cols=2;rows=1")</f>
        <v>#N/A Connection</v>
      </c>
      <c r="S99">
        <v>1.4809000000000001</v>
      </c>
      <c r="T99" t="str">
        <f ca="1">_xll.BDH($J99,"LAST_PRICE",Swap_Date,Swap_Date)</f>
        <v>#N/A Connection</v>
      </c>
      <c r="U99" t="e">
        <f t="shared" ca="1" si="18"/>
        <v>#VALUE!</v>
      </c>
    </row>
    <row r="100" spans="1:21" x14ac:dyDescent="0.25">
      <c r="E100" s="1">
        <f ca="1">EDATE(E99,120)</f>
        <v>58180</v>
      </c>
      <c r="F100">
        <f t="shared" ca="1" si="16"/>
        <v>1.45004</v>
      </c>
      <c r="J100" t="s">
        <v>545</v>
      </c>
      <c r="P100" s="23"/>
      <c r="R100" s="23" t="str">
        <f ca="1">_xll.BDH($J100,"Close",$E$2,$E$3,"BarType","T","Dir=V","cols=2;rows=1")</f>
        <v>#N/A Connection</v>
      </c>
      <c r="S100">
        <v>1.45004</v>
      </c>
      <c r="T100" t="str">
        <f ca="1">_xll.BDH($J100,"LAST_PRICE",Swap_Date,Swap_Date)</f>
        <v>#N/A Connection</v>
      </c>
      <c r="U100" t="e">
        <f t="shared" ca="1" si="18"/>
        <v>#VALUE!</v>
      </c>
    </row>
    <row r="101" spans="1:21" x14ac:dyDescent="0.25">
      <c r="E101" s="1">
        <f ca="1">EDATE(E100,12)</f>
        <v>58546</v>
      </c>
      <c r="F101">
        <f ca="1">F100</f>
        <v>1.45004</v>
      </c>
    </row>
    <row r="104" spans="1:21" x14ac:dyDescent="0.25">
      <c r="A104" t="s">
        <v>198</v>
      </c>
      <c r="B104">
        <v>6</v>
      </c>
      <c r="D104">
        <v>7</v>
      </c>
      <c r="F104">
        <v>100</v>
      </c>
    </row>
    <row r="105" spans="1:21" x14ac:dyDescent="0.25">
      <c r="A105" t="s">
        <v>28</v>
      </c>
      <c r="B105" t="s">
        <v>29</v>
      </c>
      <c r="C105" t="s">
        <v>30</v>
      </c>
      <c r="D105" t="s">
        <v>31</v>
      </c>
      <c r="E105" t="s">
        <v>32</v>
      </c>
      <c r="F105" t="s">
        <v>33</v>
      </c>
      <c r="I105" t="s">
        <v>654</v>
      </c>
    </row>
    <row r="106" spans="1:21" x14ac:dyDescent="0.25">
      <c r="A106" s="1">
        <f ca="1">WORKDAY(Swap_Date,1)</f>
        <v>43571</v>
      </c>
      <c r="B106" t="str">
        <f ca="1">_xll.BDH(H106,"PX_LAST",Cash_Date,Cash_Date)</f>
        <v>#N/A Connection</v>
      </c>
      <c r="C106" s="1">
        <f ca="1">nextimm(Swap_Date)</f>
        <v>43635</v>
      </c>
      <c r="D106" t="str">
        <f ca="1">IF(ISNUMBER(_xll.BDH(I106,"PX_LAST",Future_Date,Future_Date)),100-_xll.BDH(I106,"PX_LAST",Future_Date,Future_Date),B109)</f>
        <v>#N/A Connection</v>
      </c>
      <c r="E106" s="1">
        <f ca="1">EDATE(Swap_Date,24)</f>
        <v>44301</v>
      </c>
      <c r="F106" t="str">
        <f t="shared" ref="F106:F123" ca="1" si="21">IF(ISNUMBER(S106),S106,T106)</f>
        <v>#N/A Connection</v>
      </c>
      <c r="H106" t="s">
        <v>135</v>
      </c>
      <c r="I106" t="str">
        <f ca="1">$I$105&amp;$L6&amp;" "&amp;$I$4</f>
        <v>ESM9 Comdty</v>
      </c>
      <c r="J106" t="s">
        <v>546</v>
      </c>
      <c r="P106" s="23"/>
      <c r="R106" s="23" t="str">
        <f ca="1">_xll.BDH($J106,"Close",$E$2,$E$3,"BarType","T","Dir=V")</f>
        <v>#N/A Connection</v>
      </c>
      <c r="T106" t="str">
        <f ca="1">_xll.BDH($J106,"LAST_PRICE",Swap_Date,Swap_Date)</f>
        <v>#N/A Connection</v>
      </c>
      <c r="U106" t="e">
        <f ca="1">S106-T106</f>
        <v>#VALUE!</v>
      </c>
    </row>
    <row r="107" spans="1:21" x14ac:dyDescent="0.25">
      <c r="A107" s="1">
        <f ca="1">EDATE(Swap_Date,1)</f>
        <v>43600</v>
      </c>
      <c r="B107" t="str">
        <f ca="1">_xll.BDH(H107,"PX_LAST",Cash_Date,Cash_Date)</f>
        <v>#N/A Connection</v>
      </c>
      <c r="C107" s="1">
        <f ca="1">nextimm(C106+1)</f>
        <v>43726</v>
      </c>
      <c r="D107" t="e">
        <f ca="1">IFERROR(100-_xll.BDH(I107,"PX_LAST",Future_Date,Future_Date),0.5*(D106+D108))</f>
        <v>#VALUE!</v>
      </c>
      <c r="E107" s="1">
        <f ca="1">EDATE(E106,12)</f>
        <v>44666</v>
      </c>
      <c r="F107" t="str">
        <f t="shared" ca="1" si="21"/>
        <v>#N/A Connection</v>
      </c>
      <c r="H107" t="s">
        <v>136</v>
      </c>
      <c r="I107" t="str">
        <f t="shared" ref="I107:I113" ca="1" si="22">$I$105&amp;$L7&amp;" "&amp;$I$4</f>
        <v>ESU9 Comdty</v>
      </c>
      <c r="J107" t="s">
        <v>547</v>
      </c>
      <c r="P107" s="23"/>
      <c r="R107" s="23" t="str">
        <f ca="1">_xll.BDH($J107,"Close",$E$2,$E$3,"BarType","T","Dir=V")</f>
        <v>#N/A Connection</v>
      </c>
      <c r="T107" t="str">
        <f ca="1">_xll.BDH($J107,"LAST_PRICE",Swap_Date,Swap_Date)</f>
        <v>#N/A Connection</v>
      </c>
      <c r="U107" t="e">
        <f t="shared" ref="U107:U123" ca="1" si="23">S107-T107</f>
        <v>#VALUE!</v>
      </c>
    </row>
    <row r="108" spans="1:21" x14ac:dyDescent="0.25">
      <c r="A108" s="1">
        <f ca="1">EDATE(Swap_Date,2)</f>
        <v>43631</v>
      </c>
      <c r="B108" t="e">
        <f ca="1">IF(ISNUMBER(_xll.BDH(H108,"PX_LAST",Cash_Date,Cash_Date)),_xll.BDH(H108,"PX_LAST",Cash_Date,Cash_Date),0.5*(B107+B109))</f>
        <v>#VALUE!</v>
      </c>
      <c r="C108" s="1">
        <f t="shared" ref="C108:C113" ca="1" si="24">nextimm(C107+1)</f>
        <v>43817</v>
      </c>
      <c r="D108" t="e">
        <f ca="1">100-_xll.BDH(I108,"PX_LAST",Future_Date,Future_Date)</f>
        <v>#VALUE!</v>
      </c>
      <c r="E108" s="1">
        <f t="shared" ref="E108:E119" ca="1" si="25">EDATE(E107,12)</f>
        <v>45031</v>
      </c>
      <c r="F108" t="str">
        <f t="shared" ca="1" si="21"/>
        <v>#N/A Connection</v>
      </c>
      <c r="H108" t="s">
        <v>137</v>
      </c>
      <c r="I108" t="str">
        <f t="shared" ca="1" si="22"/>
        <v>ESZ9 Comdty</v>
      </c>
      <c r="J108" t="s">
        <v>548</v>
      </c>
      <c r="P108" s="23"/>
      <c r="R108" s="23" t="str">
        <f ca="1">_xll.BDH($J108,"Close",$E$2,$E$3,"BarType","T","Dir=V")</f>
        <v>#N/A Connection</v>
      </c>
      <c r="T108" t="str">
        <f ca="1">_xll.BDH($J108,"LAST_PRICE",Swap_Date,Swap_Date)</f>
        <v>#N/A Connection</v>
      </c>
      <c r="U108" t="e">
        <f t="shared" ca="1" si="23"/>
        <v>#VALUE!</v>
      </c>
    </row>
    <row r="109" spans="1:21" x14ac:dyDescent="0.25">
      <c r="A109" s="1">
        <f ca="1">EDATE(Swap_Date,3)</f>
        <v>43661</v>
      </c>
      <c r="B109" t="str">
        <f ca="1">_xll.BDH(H109,"PX_LAST",Cash_Date,Cash_Date)</f>
        <v>#N/A Connection</v>
      </c>
      <c r="C109" s="1">
        <f t="shared" ca="1" si="24"/>
        <v>43908</v>
      </c>
      <c r="D109" t="e">
        <f ca="1">100-_xll.BDH(I109,"PX_LAST",Future_Date,Future_Date)</f>
        <v>#VALUE!</v>
      </c>
      <c r="E109" s="1">
        <f t="shared" ca="1" si="25"/>
        <v>45397</v>
      </c>
      <c r="F109" t="str">
        <f t="shared" ca="1" si="21"/>
        <v>#N/A Connection</v>
      </c>
      <c r="H109" t="s">
        <v>138</v>
      </c>
      <c r="I109" t="str">
        <f t="shared" ca="1" si="22"/>
        <v>ESH0 Comdty</v>
      </c>
      <c r="J109" t="s">
        <v>549</v>
      </c>
      <c r="P109" s="23"/>
      <c r="R109" s="23" t="str">
        <f ca="1">_xll.BDH($J109,"Close",$E$2,$E$3,"BarType","T","Dir=V")</f>
        <v>#N/A Connection</v>
      </c>
      <c r="T109" t="str">
        <f ca="1">_xll.BDH($J109,"LAST_PRICE",Swap_Date,Swap_Date)</f>
        <v>#N/A Connection</v>
      </c>
      <c r="U109" t="e">
        <f t="shared" ca="1" si="23"/>
        <v>#VALUE!</v>
      </c>
    </row>
    <row r="110" spans="1:21" x14ac:dyDescent="0.25">
      <c r="A110" s="1">
        <f ca="1">EDATE(Swap_Date,6)</f>
        <v>43753</v>
      </c>
      <c r="B110" t="str">
        <f ca="1">_xll.BDH(H110,"PX_LAST",Cash_Date,Cash_Date)</f>
        <v>#N/A Connection</v>
      </c>
      <c r="C110" s="1">
        <f t="shared" ca="1" si="24"/>
        <v>43999</v>
      </c>
      <c r="D110" t="e">
        <f ca="1">100-_xll.BDH(I110,"PX_LAST",Future_Date,Future_Date)</f>
        <v>#VALUE!</v>
      </c>
      <c r="E110" s="1">
        <f t="shared" ca="1" si="25"/>
        <v>45762</v>
      </c>
      <c r="F110" t="str">
        <f t="shared" ca="1" si="21"/>
        <v>#N/A Connection</v>
      </c>
      <c r="H110" t="s">
        <v>139</v>
      </c>
      <c r="I110" t="str">
        <f t="shared" ca="1" si="22"/>
        <v>ESM0 Comdty</v>
      </c>
      <c r="J110" t="s">
        <v>550</v>
      </c>
      <c r="P110" s="23"/>
      <c r="R110" s="23" t="str">
        <f ca="1">_xll.BDH($J110,"Close",$E$2,$E$3,"BarType","T","Dir=V")</f>
        <v>#N/A Connection</v>
      </c>
      <c r="T110" t="str">
        <f ca="1">_xll.BDH($J110,"LAST_PRICE",Swap_Date,Swap_Date)</f>
        <v>#N/A Connection</v>
      </c>
      <c r="U110" t="e">
        <f t="shared" ca="1" si="23"/>
        <v>#VALUE!</v>
      </c>
    </row>
    <row r="111" spans="1:21" x14ac:dyDescent="0.25">
      <c r="A111" s="1">
        <f ca="1">EDATE(Swap_Date,12)</f>
        <v>43936</v>
      </c>
      <c r="B111" t="str">
        <f ca="1">_xll.BDH(H111,"PX_LAST",Cash_Date,Cash_Date)</f>
        <v>#N/A Connection</v>
      </c>
      <c r="C111" s="1">
        <f t="shared" ca="1" si="24"/>
        <v>44090</v>
      </c>
      <c r="D111" t="e">
        <f ca="1">100-_xll.BDH(I111,"PX_LAST",Future_Date,Future_Date)</f>
        <v>#VALUE!</v>
      </c>
      <c r="E111" s="1">
        <f t="shared" ca="1" si="25"/>
        <v>46127</v>
      </c>
      <c r="F111" t="str">
        <f t="shared" ca="1" si="21"/>
        <v>#N/A Connection</v>
      </c>
      <c r="H111" t="s">
        <v>140</v>
      </c>
      <c r="I111" t="str">
        <f t="shared" ca="1" si="22"/>
        <v>ESU0 Comdty</v>
      </c>
      <c r="J111" t="s">
        <v>551</v>
      </c>
      <c r="P111" s="23"/>
      <c r="R111" s="23" t="str">
        <f ca="1">_xll.BDH($J111,"Close",$E$2,$E$3,"BarType","T","Dir=V")</f>
        <v>#N/A Connection</v>
      </c>
      <c r="T111" t="str">
        <f ca="1">_xll.BDH($J111,"LAST_PRICE",Swap_Date,Swap_Date)</f>
        <v>#N/A Connection</v>
      </c>
      <c r="U111" t="e">
        <f t="shared" ca="1" si="23"/>
        <v>#VALUE!</v>
      </c>
    </row>
    <row r="112" spans="1:21" x14ac:dyDescent="0.25">
      <c r="C112" s="1">
        <f t="shared" ca="1" si="24"/>
        <v>44181</v>
      </c>
      <c r="D112" t="e">
        <f ca="1">100-_xll.BDH(I112,"PX_LAST",Future_Date,Future_Date)</f>
        <v>#VALUE!</v>
      </c>
      <c r="E112" s="1">
        <f t="shared" ca="1" si="25"/>
        <v>46492</v>
      </c>
      <c r="F112" t="str">
        <f t="shared" ca="1" si="21"/>
        <v>#N/A Connection</v>
      </c>
      <c r="I112" t="str">
        <f t="shared" ca="1" si="22"/>
        <v>ESZ0 Comdty</v>
      </c>
      <c r="J112" t="s">
        <v>552</v>
      </c>
      <c r="P112" s="23"/>
      <c r="R112" s="23" t="str">
        <f ca="1">_xll.BDH($J112,"Close",$E$2,$E$3,"BarType","T","Dir=V")</f>
        <v>#N/A Connection</v>
      </c>
      <c r="T112" t="str">
        <f ca="1">_xll.BDH($J112,"LAST_PRICE",Swap_Date,Swap_Date)</f>
        <v>#N/A Connection</v>
      </c>
      <c r="U112" t="e">
        <f t="shared" ca="1" si="23"/>
        <v>#VALUE!</v>
      </c>
    </row>
    <row r="113" spans="3:21" x14ac:dyDescent="0.25">
      <c r="C113" s="1">
        <f t="shared" ca="1" si="24"/>
        <v>44272</v>
      </c>
      <c r="D113" t="e">
        <f ca="1">100-_xll.BDH(I113,"PX_LAST",Future_Date,Future_Date)</f>
        <v>#VALUE!</v>
      </c>
      <c r="E113" s="1">
        <f t="shared" ca="1" si="25"/>
        <v>46858</v>
      </c>
      <c r="F113" t="str">
        <f t="shared" ca="1" si="21"/>
        <v>#N/A Connection</v>
      </c>
      <c r="I113" t="str">
        <f t="shared" ca="1" si="22"/>
        <v>ESH1 Comdty</v>
      </c>
      <c r="J113" t="s">
        <v>553</v>
      </c>
      <c r="P113" s="23"/>
      <c r="R113" s="23" t="str">
        <f ca="1">_xll.BDH($J113,"Close",$E$2,$E$3,"BarType","T","Dir=V")</f>
        <v>#N/A Connection</v>
      </c>
      <c r="T113" t="str">
        <f ca="1">_xll.BDH($J113,"LAST_PRICE",Swap_Date,Swap_Date)</f>
        <v>#N/A Connection</v>
      </c>
      <c r="U113" t="e">
        <f t="shared" ca="1" si="23"/>
        <v>#VALUE!</v>
      </c>
    </row>
    <row r="114" spans="3:21" x14ac:dyDescent="0.25">
      <c r="E114" s="1">
        <f t="shared" ca="1" si="25"/>
        <v>47223</v>
      </c>
      <c r="F114" t="str">
        <f t="shared" ca="1" si="21"/>
        <v>#N/A Connection</v>
      </c>
      <c r="J114" t="s">
        <v>554</v>
      </c>
      <c r="P114" s="23"/>
      <c r="R114" s="23" t="str">
        <f ca="1">_xll.BDH($J114,"Close",$E$2,$E$3,"BarType","T","Dir=V")</f>
        <v>#N/A Connection</v>
      </c>
      <c r="T114" t="str">
        <f ca="1">_xll.BDH($J114,"LAST_PRICE",Swap_Date,Swap_Date)</f>
        <v>#N/A Connection</v>
      </c>
      <c r="U114" t="e">
        <f t="shared" ca="1" si="23"/>
        <v>#VALUE!</v>
      </c>
    </row>
    <row r="115" spans="3:21" x14ac:dyDescent="0.25">
      <c r="E115" s="1">
        <f t="shared" ca="1" si="25"/>
        <v>47588</v>
      </c>
      <c r="F115">
        <f t="shared" ca="1" si="21"/>
        <v>0.13500000000000001</v>
      </c>
      <c r="J115" t="s">
        <v>555</v>
      </c>
      <c r="P115" s="23"/>
      <c r="R115" s="23" t="str">
        <f ca="1">_xll.BDH($J115,"Close",$E$2,$E$3,"BarType","T","Dir=V","cols=2;rows=1")</f>
        <v>#N/A Connection</v>
      </c>
      <c r="S115">
        <v>0.13500000000000001</v>
      </c>
      <c r="T115" t="str">
        <f ca="1">_xll.BDH($J115,"LAST_PRICE",Swap_Date,Swap_Date)</f>
        <v>#N/A Connection</v>
      </c>
      <c r="U115" t="e">
        <f t="shared" ca="1" si="23"/>
        <v>#VALUE!</v>
      </c>
    </row>
    <row r="116" spans="3:21" x14ac:dyDescent="0.25">
      <c r="E116" s="1">
        <f t="shared" ca="1" si="25"/>
        <v>47953</v>
      </c>
      <c r="F116" t="str">
        <f t="shared" ca="1" si="21"/>
        <v>#N/A Connection</v>
      </c>
      <c r="J116" t="s">
        <v>556</v>
      </c>
      <c r="P116" s="23"/>
      <c r="R116" s="23" t="str">
        <f ca="1">_xll.BDH($J116,"Close",$E$2,$E$3,"BarType","T","Dir=V")</f>
        <v>#N/A Connection</v>
      </c>
      <c r="T116" t="str">
        <f ca="1">_xll.BDH($J116,"LAST_PRICE",Swap_Date,Swap_Date)</f>
        <v>#N/A Connection</v>
      </c>
      <c r="U116" t="e">
        <f t="shared" ca="1" si="23"/>
        <v>#VALUE!</v>
      </c>
    </row>
    <row r="117" spans="3:21" x14ac:dyDescent="0.25">
      <c r="E117" s="1">
        <f t="shared" ca="1" si="25"/>
        <v>48319</v>
      </c>
      <c r="F117">
        <f t="shared" ca="1" si="21"/>
        <v>0.26750000000000002</v>
      </c>
      <c r="J117" t="s">
        <v>557</v>
      </c>
      <c r="P117" s="23"/>
      <c r="R117" s="23" t="str">
        <f ca="1">_xll.BDH($J117,"Close",$E$2,$E$3,"BarType","T","Dir=V","cols=2;rows=1")</f>
        <v>#N/A Connection</v>
      </c>
      <c r="S117">
        <v>0.26750000000000002</v>
      </c>
      <c r="T117" t="str">
        <f ca="1">_xll.BDH($J117,"LAST_PRICE",Swap_Date,Swap_Date)</f>
        <v>#N/A Connection</v>
      </c>
      <c r="U117" t="e">
        <f t="shared" ca="1" si="23"/>
        <v>#VALUE!</v>
      </c>
    </row>
    <row r="118" spans="3:21" x14ac:dyDescent="0.25">
      <c r="E118" s="1">
        <f t="shared" ca="1" si="25"/>
        <v>48684</v>
      </c>
      <c r="F118">
        <f t="shared" ca="1" si="21"/>
        <v>0.32250000000000001</v>
      </c>
      <c r="J118" t="s">
        <v>558</v>
      </c>
      <c r="P118" s="23"/>
      <c r="R118" s="23" t="str">
        <f ca="1">_xll.BDH($J118,"Close",$E$2,$E$3,"BarType","T","Dir=V","cols=2;rows=1")</f>
        <v>#N/A Connection</v>
      </c>
      <c r="S118">
        <v>0.32250000000000001</v>
      </c>
      <c r="T118" t="str">
        <f ca="1">_xll.BDH($J118,"LAST_PRICE",Swap_Date,Swap_Date)</f>
        <v>#N/A Connection</v>
      </c>
      <c r="U118" t="e">
        <f t="shared" ca="1" si="23"/>
        <v>#VALUE!</v>
      </c>
    </row>
    <row r="119" spans="3:21" x14ac:dyDescent="0.25">
      <c r="E119" s="1">
        <f t="shared" ca="1" si="25"/>
        <v>49049</v>
      </c>
      <c r="F119" t="str">
        <f t="shared" ca="1" si="21"/>
        <v>#N/A Connection</v>
      </c>
      <c r="J119" t="s">
        <v>559</v>
      </c>
      <c r="P119" s="23"/>
      <c r="R119" s="23" t="str">
        <f ca="1">_xll.BDH($J119,"Close",$E$2,$E$3,"BarType","T","Dir=V")</f>
        <v>#N/A Connection</v>
      </c>
      <c r="T119" t="str">
        <f ca="1">_xll.BDH($J119,"LAST_PRICE",Swap_Date,Swap_Date)</f>
        <v>#N/A Connection</v>
      </c>
      <c r="U119" t="e">
        <f t="shared" ca="1" si="23"/>
        <v>#VALUE!</v>
      </c>
    </row>
    <row r="120" spans="3:21" x14ac:dyDescent="0.25">
      <c r="E120" s="1">
        <f ca="1">EDATE(E119,60)</f>
        <v>50875</v>
      </c>
      <c r="F120" t="str">
        <f t="shared" ca="1" si="21"/>
        <v>#N/A Connection</v>
      </c>
      <c r="J120" t="s">
        <v>560</v>
      </c>
      <c r="P120" s="23"/>
      <c r="R120" s="23" t="str">
        <f ca="1">_xll.BDH($J120,"Close",$E$2,$E$3,"BarType","T","Dir=V")</f>
        <v>#N/A Connection</v>
      </c>
      <c r="T120" t="str">
        <f ca="1">_xll.BDH($J120,"LAST_PRICE",Swap_Date,Swap_Date)</f>
        <v>#N/A Connection</v>
      </c>
      <c r="U120" t="e">
        <f t="shared" ca="1" si="23"/>
        <v>#VALUE!</v>
      </c>
    </row>
    <row r="121" spans="3:21" x14ac:dyDescent="0.25">
      <c r="E121" s="1">
        <f ca="1">EDATE(E120,60)</f>
        <v>52702</v>
      </c>
      <c r="F121" t="str">
        <f t="shared" ca="1" si="21"/>
        <v>#N/A Connection</v>
      </c>
      <c r="J121" t="s">
        <v>561</v>
      </c>
      <c r="P121" s="23"/>
      <c r="R121" s="23" t="str">
        <f ca="1">_xll.BDH($J121,"Close",$E$2,$E$3,"BarType","T","Dir=V")</f>
        <v>#N/A Connection</v>
      </c>
      <c r="T121" t="str">
        <f ca="1">_xll.BDH($J121,"LAST_PRICE",Swap_Date,Swap_Date)</f>
        <v>#N/A Connection</v>
      </c>
      <c r="U121" t="e">
        <f t="shared" ca="1" si="23"/>
        <v>#VALUE!</v>
      </c>
    </row>
    <row r="122" spans="3:21" x14ac:dyDescent="0.25">
      <c r="E122" s="1">
        <f ca="1">EDATE(E121,60)</f>
        <v>54528</v>
      </c>
      <c r="F122" t="str">
        <f t="shared" ca="1" si="21"/>
        <v>#N/A Connection</v>
      </c>
      <c r="J122" t="s">
        <v>562</v>
      </c>
      <c r="P122" s="23"/>
      <c r="R122" s="23" t="str">
        <f ca="1">_xll.BDH($J122,"Close",$E$2,$E$3,"BarType","T","Dir=V")</f>
        <v>#N/A Connection</v>
      </c>
      <c r="T122" t="str">
        <f ca="1">_xll.BDH($J122,"LAST_PRICE",Swap_Date,Swap_Date)</f>
        <v>#N/A Connection</v>
      </c>
      <c r="U122" t="e">
        <f t="shared" ca="1" si="23"/>
        <v>#VALUE!</v>
      </c>
    </row>
    <row r="123" spans="3:21" x14ac:dyDescent="0.25">
      <c r="E123" s="1">
        <f ca="1">EDATE(E122,120)</f>
        <v>58180</v>
      </c>
      <c r="F123" t="str">
        <f t="shared" ca="1" si="21"/>
        <v>#N/A Connection</v>
      </c>
      <c r="J123" t="s">
        <v>563</v>
      </c>
      <c r="P123" s="23"/>
      <c r="R123" s="23" t="str">
        <f ca="1">_xll.BDH($J123,"Close",$E$2,$E$3,"BarType","T","Dir=V")</f>
        <v>#N/A Connection</v>
      </c>
      <c r="T123" t="str">
        <f ca="1">_xll.BDH($J123,"LAST_PRICE",Swap_Date,Swap_Date)</f>
        <v>#N/A Connection</v>
      </c>
      <c r="U123" t="e">
        <f t="shared" ca="1" si="23"/>
        <v>#VALUE!</v>
      </c>
    </row>
    <row r="124" spans="3:21" x14ac:dyDescent="0.25">
      <c r="E124" s="1">
        <f ca="1">EDATE(E123,12)</f>
        <v>58546</v>
      </c>
      <c r="F124" t="str">
        <f ca="1">F123</f>
        <v>#N/A Connection</v>
      </c>
      <c r="P124" s="23"/>
      <c r="R124" s="23"/>
    </row>
    <row r="125" spans="3:21" x14ac:dyDescent="0.25">
      <c r="E125" s="1"/>
      <c r="P125" s="23"/>
      <c r="R125" s="23"/>
    </row>
    <row r="129" spans="1:20" x14ac:dyDescent="0.25">
      <c r="A129" s="7" t="s">
        <v>21</v>
      </c>
      <c r="B129" s="8">
        <v>6</v>
      </c>
      <c r="C129" s="8"/>
      <c r="D129" s="8">
        <v>7</v>
      </c>
      <c r="E129" s="8"/>
      <c r="F129" s="8">
        <v>100</v>
      </c>
    </row>
    <row r="130" spans="1:20" x14ac:dyDescent="0.25">
      <c r="A130" t="s">
        <v>28</v>
      </c>
      <c r="B130" t="s">
        <v>29</v>
      </c>
      <c r="C130" t="s">
        <v>30</v>
      </c>
      <c r="D130" t="s">
        <v>31</v>
      </c>
      <c r="E130" t="s">
        <v>32</v>
      </c>
      <c r="F130" t="s">
        <v>33</v>
      </c>
      <c r="I130" t="s">
        <v>655</v>
      </c>
    </row>
    <row r="131" spans="1:20" x14ac:dyDescent="0.25">
      <c r="A131" s="1">
        <f ca="1">WORKDAY(Swap_Date,1)</f>
        <v>43571</v>
      </c>
      <c r="B131" t="str">
        <f ca="1">_xll.BDH(H131,"PX_LAST",Cash_Date,Cash_Date)</f>
        <v>#N/A Connection</v>
      </c>
      <c r="C131" s="1">
        <f ca="1">nextimm(Swap_Date)</f>
        <v>43635</v>
      </c>
      <c r="D131" t="str">
        <f ca="1">IF(ISNUMBER(_xll.BDH(I131,"PX_LAST",Future_Date,Future_Date)),100-_xll.BDH(I131,"PX_LAST",Future_Date,Future_Date),B134)</f>
        <v>#N/A Connection</v>
      </c>
      <c r="E131" s="1">
        <f ca="1">EDATE(Swap_Date,24)</f>
        <v>44301</v>
      </c>
      <c r="F131">
        <f t="shared" ref="F131:F145" ca="1" si="26">IF(ISNUMBER(S131),S131,T131)</f>
        <v>1.9704999999999999</v>
      </c>
      <c r="H131" t="s">
        <v>159</v>
      </c>
      <c r="I131" t="str">
        <f ca="1">$I$130&amp;$L6&amp;" "&amp;$I$4</f>
        <v>BAM9 Comdty</v>
      </c>
      <c r="J131" t="s">
        <v>564</v>
      </c>
      <c r="P131" s="23"/>
      <c r="R131" s="23" t="str">
        <f ca="1">_xll.BDH($J131,"Close",$C$2,$C$3,"BarType","T","Dir=V","cols=2;rows=1")</f>
        <v>#N/A Connection</v>
      </c>
      <c r="S131">
        <v>1.9704999999999999</v>
      </c>
      <c r="T131" t="str">
        <f ca="1">_xll.BDH($J131,"LAST_PRICE",Swap_Date,Swap_Date)</f>
        <v>#N/A Connection</v>
      </c>
    </row>
    <row r="132" spans="1:20" x14ac:dyDescent="0.25">
      <c r="A132" s="1">
        <f ca="1">EDATE(Swap_Date,1)</f>
        <v>43600</v>
      </c>
      <c r="B132" t="str">
        <f ca="1">_xll.BDH(H132,"PX_LAST",Cash_Date,Cash_Date)</f>
        <v>#N/A Connection</v>
      </c>
      <c r="C132" s="1">
        <f ca="1">nextimm(C131+1)</f>
        <v>43726</v>
      </c>
      <c r="D132" t="e">
        <f ca="1">IFERROR(100-_xll.BDH(I132,"PX_LAST",Future_Date,Future_Date),0.5*(D131+D133))</f>
        <v>#VALUE!</v>
      </c>
      <c r="E132" s="1">
        <f ca="1">EDATE(E131,12)</f>
        <v>44666</v>
      </c>
      <c r="F132">
        <f t="shared" ca="1" si="26"/>
        <v>1.9544999999999999</v>
      </c>
      <c r="H132" t="s">
        <v>160</v>
      </c>
      <c r="I132" t="str">
        <f t="shared" ref="I132:I138" ca="1" si="27">$I$130&amp;$L7&amp;" "&amp;$I$4</f>
        <v>BAU9 Comdty</v>
      </c>
      <c r="J132" t="s">
        <v>565</v>
      </c>
      <c r="P132" s="23"/>
      <c r="R132" s="23" t="str">
        <f ca="1">_xll.BDH($J132,"Close",$C$2,$C$3,"BarType","T","Dir=V","cols=2;rows=1")</f>
        <v>#N/A Connection</v>
      </c>
      <c r="S132">
        <v>1.9544999999999999</v>
      </c>
      <c r="T132" t="str">
        <f ca="1">_xll.BDH($J132,"LAST_PRICE",Swap_Date,Swap_Date)</f>
        <v>#N/A Connection</v>
      </c>
    </row>
    <row r="133" spans="1:20" x14ac:dyDescent="0.25">
      <c r="A133" s="1">
        <f ca="1">EDATE(Swap_Date,2)</f>
        <v>43631</v>
      </c>
      <c r="B133" t="e">
        <f ca="1">IF(ISNUMBER(_xll.BDH(H133,"PX_LAST",Cash_Date,Cash_Date)),_xll.BDH(H133,"PX_LAST",Cash_Date,Cash_Date),0.5*(B132+B134))</f>
        <v>#VALUE!</v>
      </c>
      <c r="C133" s="1">
        <f t="shared" ref="C133:C138" ca="1" si="28">nextimm(C132+1)</f>
        <v>43817</v>
      </c>
      <c r="D133" t="e">
        <f ca="1">100-_xll.BDH(I133,"PX_LAST",Future_Date,Future_Date)</f>
        <v>#VALUE!</v>
      </c>
      <c r="E133" s="1">
        <f t="shared" ref="E133:E139" ca="1" si="29">EDATE(E132,12)</f>
        <v>45031</v>
      </c>
      <c r="F133">
        <f t="shared" ca="1" si="26"/>
        <v>1.9575</v>
      </c>
      <c r="H133" t="s">
        <v>161</v>
      </c>
      <c r="I133" t="str">
        <f t="shared" ca="1" si="27"/>
        <v>BAZ9 Comdty</v>
      </c>
      <c r="J133" t="s">
        <v>566</v>
      </c>
      <c r="P133" s="23"/>
      <c r="R133" s="23" t="str">
        <f ca="1">_xll.BDH($J133,"Close",$C$2,$C$3,"BarType","T","Dir=V","cols=2;rows=1")</f>
        <v>#N/A Connection</v>
      </c>
      <c r="S133">
        <v>1.9575</v>
      </c>
      <c r="T133" t="str">
        <f ca="1">_xll.BDH($J133,"LAST_PRICE",Swap_Date,Swap_Date)</f>
        <v>#N/A Connection</v>
      </c>
    </row>
    <row r="134" spans="1:20" x14ac:dyDescent="0.25">
      <c r="A134" s="1">
        <f ca="1">EDATE(Swap_Date,3)</f>
        <v>43661</v>
      </c>
      <c r="B134" t="str">
        <f ca="1">_xll.BDH(H134,"PX_LAST",Cash_Date,Cash_Date)</f>
        <v>#N/A Connection</v>
      </c>
      <c r="C134" s="1">
        <f t="shared" ca="1" si="28"/>
        <v>43908</v>
      </c>
      <c r="D134" t="e">
        <f ca="1">100-_xll.BDH(I134,"PX_LAST",Future_Date,Future_Date)</f>
        <v>#VALUE!</v>
      </c>
      <c r="E134" s="1">
        <f t="shared" ca="1" si="29"/>
        <v>45397</v>
      </c>
      <c r="F134">
        <f t="shared" ca="1" si="26"/>
        <v>1.9704999999999999</v>
      </c>
      <c r="H134" t="s">
        <v>162</v>
      </c>
      <c r="I134" t="str">
        <f t="shared" ca="1" si="27"/>
        <v>BAH0 Comdty</v>
      </c>
      <c r="J134" t="s">
        <v>567</v>
      </c>
      <c r="P134" s="23"/>
      <c r="R134" s="23" t="str">
        <f ca="1">_xll.BDH($J134,"Close",$C$2,$C$3,"BarType","T","Dir=V","cols=2;rows=1")</f>
        <v>#N/A Connection</v>
      </c>
      <c r="S134">
        <v>1.9704999999999999</v>
      </c>
      <c r="T134" t="str">
        <f ca="1">_xll.BDH($J134,"LAST_PRICE",Swap_Date,Swap_Date)</f>
        <v>#N/A Connection</v>
      </c>
    </row>
    <row r="135" spans="1:20" x14ac:dyDescent="0.25">
      <c r="A135" s="1">
        <f ca="1">EDATE(Swap_Date,6)</f>
        <v>43753</v>
      </c>
      <c r="B135" t="str">
        <f ca="1">_xll.BDH(H135,"PX_LAST",Cash_Date,Cash_Date)</f>
        <v>#N/A Connection</v>
      </c>
      <c r="C135" s="1">
        <f t="shared" ca="1" si="28"/>
        <v>43999</v>
      </c>
      <c r="D135" t="e">
        <f ca="1">100-_xll.BDH(I135,"PX_LAST",Future_Date,Future_Date)</f>
        <v>#VALUE!</v>
      </c>
      <c r="E135" s="1">
        <f t="shared" ca="1" si="29"/>
        <v>45762</v>
      </c>
      <c r="F135">
        <f t="shared" ca="1" si="26"/>
        <v>2.0028000000000001</v>
      </c>
      <c r="H135" t="s">
        <v>163</v>
      </c>
      <c r="I135" t="str">
        <f t="shared" ca="1" si="27"/>
        <v>BAM0 Comdty</v>
      </c>
      <c r="J135" t="s">
        <v>568</v>
      </c>
      <c r="P135" s="23"/>
      <c r="R135" s="23" t="str">
        <f ca="1">_xll.BDH($J135,"Close",$C$2,$C$3,"BarType","T","Dir=V","cols=2;rows=1")</f>
        <v>#N/A Connection</v>
      </c>
      <c r="S135">
        <v>2.0028000000000001</v>
      </c>
      <c r="T135" t="str">
        <f ca="1">_xll.BDH($J135,"LAST_PRICE",Swap_Date,Swap_Date)</f>
        <v>#N/A Connection</v>
      </c>
    </row>
    <row r="136" spans="1:20" x14ac:dyDescent="0.25">
      <c r="A136" s="1">
        <f ca="1">EDATE(Swap_Date,12)</f>
        <v>43936</v>
      </c>
      <c r="B136" t="str">
        <f ca="1">_xll.BDH(H136,"PX_LAST",Cash_Date,Cash_Date)</f>
        <v>#N/A Connection</v>
      </c>
      <c r="C136" s="1">
        <f t="shared" ca="1" si="28"/>
        <v>44090</v>
      </c>
      <c r="D136" t="e">
        <f ca="1">100-_xll.BDH(I136,"PX_LAST",Future_Date,Future_Date)</f>
        <v>#VALUE!</v>
      </c>
      <c r="E136" s="1">
        <f t="shared" ca="1" si="29"/>
        <v>46127</v>
      </c>
      <c r="F136">
        <f t="shared" ca="1" si="26"/>
        <v>2.0451000000000001</v>
      </c>
      <c r="H136" t="s">
        <v>164</v>
      </c>
      <c r="I136" t="str">
        <f t="shared" ca="1" si="27"/>
        <v>BAU0 Comdty</v>
      </c>
      <c r="J136" t="s">
        <v>569</v>
      </c>
      <c r="P136" s="23"/>
      <c r="R136" s="23" t="str">
        <f ca="1">_xll.BDH($J136,"Close",$C$2,$C$3,"BarType","T","Dir=V","cols=2;rows=1")</f>
        <v>#N/A Connection</v>
      </c>
      <c r="S136">
        <v>2.0451000000000001</v>
      </c>
      <c r="T136" t="str">
        <f ca="1">_xll.BDH($J136,"LAST_PRICE",Swap_Date,Swap_Date)</f>
        <v>#N/A Connection</v>
      </c>
    </row>
    <row r="137" spans="1:20" x14ac:dyDescent="0.25">
      <c r="C137" s="1">
        <f t="shared" ca="1" si="28"/>
        <v>44181</v>
      </c>
      <c r="D137" t="e">
        <f ca="1">100-_xll.BDH(I137,"PX_LAST",Future_Date,Future_Date)</f>
        <v>#VALUE!</v>
      </c>
      <c r="E137" s="1">
        <f t="shared" ca="1" si="29"/>
        <v>46492</v>
      </c>
      <c r="F137">
        <f t="shared" ca="1" si="26"/>
        <v>2.0899000000000001</v>
      </c>
      <c r="I137" t="str">
        <f t="shared" ca="1" si="27"/>
        <v>BAZ0 Comdty</v>
      </c>
      <c r="J137" t="s">
        <v>570</v>
      </c>
      <c r="P137" s="23"/>
      <c r="R137" s="23" t="str">
        <f ca="1">_xll.BDH($J137,"Close",$C$2,$C$3,"BarType","T","Dir=V","cols=2;rows=1")</f>
        <v>#N/A Connection</v>
      </c>
      <c r="S137">
        <v>2.0899000000000001</v>
      </c>
      <c r="T137" t="str">
        <f ca="1">_xll.BDH($J137,"LAST_PRICE",Swap_Date,Swap_Date)</f>
        <v>#N/A Connection</v>
      </c>
    </row>
    <row r="138" spans="1:20" x14ac:dyDescent="0.25">
      <c r="C138" s="1">
        <f t="shared" ca="1" si="28"/>
        <v>44272</v>
      </c>
      <c r="D138" t="e">
        <f ca="1">100-_xll.BDH(I138,"PX_LAST",Future_Date,Future_Date)</f>
        <v>#VALUE!</v>
      </c>
      <c r="E138" s="1">
        <f t="shared" ca="1" si="29"/>
        <v>46858</v>
      </c>
      <c r="F138">
        <f t="shared" ca="1" si="26"/>
        <v>2.1347</v>
      </c>
      <c r="I138" t="str">
        <f t="shared" ca="1" si="27"/>
        <v>BAH1 Comdty</v>
      </c>
      <c r="J138" t="s">
        <v>571</v>
      </c>
      <c r="P138" s="23"/>
      <c r="R138" s="23" t="str">
        <f ca="1">_xll.BDH($J138,"Close",$C$2,$C$3,"BarType","T","Dir=V","cols=2;rows=1")</f>
        <v>#N/A Connection</v>
      </c>
      <c r="S138">
        <v>2.1347</v>
      </c>
      <c r="T138" t="str">
        <f ca="1">_xll.BDH($J138,"LAST_PRICE",Swap_Date,Swap_Date)</f>
        <v>#N/A Connection</v>
      </c>
    </row>
    <row r="139" spans="1:20" x14ac:dyDescent="0.25">
      <c r="E139" s="1">
        <f t="shared" ca="1" si="29"/>
        <v>47223</v>
      </c>
      <c r="F139">
        <f t="shared" ca="1" si="26"/>
        <v>2.1720000000000002</v>
      </c>
      <c r="J139" t="s">
        <v>572</v>
      </c>
      <c r="P139" s="23"/>
      <c r="R139" s="23" t="str">
        <f ca="1">_xll.BDH($J139,"Close",$C$2,$C$3,"BarType","T","Dir=V","cols=2;rows=1")</f>
        <v>#N/A Connection</v>
      </c>
      <c r="S139">
        <v>2.1720000000000002</v>
      </c>
      <c r="T139" t="str">
        <f ca="1">_xll.BDH($J139,"LAST_PRICE",Swap_Date,Swap_Date)</f>
        <v>#N/A Connection</v>
      </c>
    </row>
    <row r="140" spans="1:20" x14ac:dyDescent="0.25">
      <c r="E140" s="1">
        <f ca="1">EDATE(E139,24)</f>
        <v>47953</v>
      </c>
      <c r="F140">
        <f t="shared" ca="1" si="26"/>
        <v>2.2589999999999999</v>
      </c>
      <c r="J140" t="s">
        <v>573</v>
      </c>
      <c r="P140" s="23"/>
      <c r="R140" s="23" t="str">
        <f ca="1">_xll.BDH($J140,"Close",$C$2,$C$3,"BarType","T","Dir=V","cols=2;rows=1")</f>
        <v>#N/A Connection</v>
      </c>
      <c r="S140">
        <v>2.2589999999999999</v>
      </c>
      <c r="T140" t="str">
        <f ca="1">_xll.BDH($J140,"LAST_PRICE",Swap_Date,Swap_Date)</f>
        <v>#N/A Connection</v>
      </c>
    </row>
    <row r="141" spans="1:20" x14ac:dyDescent="0.25">
      <c r="E141" s="1">
        <f ca="1">EDATE(E140,36)</f>
        <v>49049</v>
      </c>
      <c r="F141">
        <f t="shared" ca="1" si="26"/>
        <v>2.3679999999999999</v>
      </c>
      <c r="J141" t="s">
        <v>574</v>
      </c>
      <c r="P141" s="23"/>
      <c r="R141" s="23" t="str">
        <f ca="1">_xll.BDH($J141,"Close",$C$2,$C$3,"BarType","T","Dir=V","cols=2;rows=1")</f>
        <v>#N/A Connection</v>
      </c>
      <c r="S141">
        <v>2.3679999999999999</v>
      </c>
      <c r="T141" t="str">
        <f ca="1">_xll.BDH($J141,"LAST_PRICE",Swap_Date,Swap_Date)</f>
        <v>#N/A Connection</v>
      </c>
    </row>
    <row r="142" spans="1:20" x14ac:dyDescent="0.25">
      <c r="E142" s="1">
        <f ca="1">EDATE(E141,60)</f>
        <v>50875</v>
      </c>
      <c r="F142">
        <f t="shared" ca="1" si="26"/>
        <v>2.4700000000000002</v>
      </c>
      <c r="J142" t="s">
        <v>575</v>
      </c>
      <c r="P142" s="23"/>
      <c r="R142" s="23" t="str">
        <f ca="1">_xll.BDH($J142,"Close",$C$2,$C$3,"BarType","T","Dir=V","cols=2;rows=1")</f>
        <v>#N/A Connection</v>
      </c>
      <c r="S142">
        <v>2.4700000000000002</v>
      </c>
      <c r="T142" t="str">
        <f ca="1">_xll.BDH($J142,"LAST_PRICE",Swap_Date,Swap_Date)</f>
        <v>#N/A Connection</v>
      </c>
    </row>
    <row r="143" spans="1:20" x14ac:dyDescent="0.25">
      <c r="E143" s="1">
        <f ca="1">EDATE(E142,60)</f>
        <v>52702</v>
      </c>
      <c r="F143">
        <f t="shared" ca="1" si="26"/>
        <v>2.4777</v>
      </c>
      <c r="J143" t="s">
        <v>576</v>
      </c>
      <c r="P143" s="23"/>
      <c r="R143" s="23" t="str">
        <f ca="1">_xll.BDH($J143,"Close",$C$2,$C$3,"BarType","T","Dir=V","cols=2;rows=1")</f>
        <v>#N/A Connection</v>
      </c>
      <c r="S143">
        <v>2.4777</v>
      </c>
      <c r="T143" t="str">
        <f ca="1">_xll.BDH($J143,"LAST_PRICE",Swap_Date,Swap_Date)</f>
        <v>#N/A Connection</v>
      </c>
    </row>
    <row r="144" spans="1:20" x14ac:dyDescent="0.25">
      <c r="E144" s="1">
        <f ca="1">EDATE(E143,60)</f>
        <v>54528</v>
      </c>
      <c r="F144">
        <f t="shared" ca="1" si="26"/>
        <v>2.4729999999999999</v>
      </c>
      <c r="J144" t="s">
        <v>577</v>
      </c>
      <c r="P144" s="23"/>
      <c r="R144" s="23" t="str">
        <f ca="1">_xll.BDH($J144,"Close",$C$2,$C$3,"BarType","T","Dir=V","cols=2;rows=1")</f>
        <v>#N/A Connection</v>
      </c>
      <c r="S144">
        <v>2.4729999999999999</v>
      </c>
      <c r="T144" t="str">
        <f ca="1">_xll.BDH($J144,"LAST_PRICE",Swap_Date,Swap_Date)</f>
        <v>#N/A Connection</v>
      </c>
    </row>
    <row r="145" spans="1:21" x14ac:dyDescent="0.25">
      <c r="E145" s="1">
        <f ca="1">EDATE(E144,120)</f>
        <v>58180</v>
      </c>
      <c r="F145">
        <f t="shared" ca="1" si="26"/>
        <v>2.4630000000000001</v>
      </c>
      <c r="J145" t="s">
        <v>578</v>
      </c>
      <c r="P145" s="23"/>
      <c r="R145" s="23" t="str">
        <f ca="1">_xll.BDH($J145,"Close",$C$2,$C$3,"BarType","T","Dir=V","cols=2;rows=1")</f>
        <v>#N/A Connection</v>
      </c>
      <c r="S145">
        <v>2.4630000000000001</v>
      </c>
      <c r="T145" t="str">
        <f ca="1">_xll.BDH($J145,"LAST_PRICE",Swap_Date,Swap_Date)</f>
        <v>#N/A Connection</v>
      </c>
    </row>
    <row r="146" spans="1:21" x14ac:dyDescent="0.25">
      <c r="E146" s="1">
        <f ca="1">EDATE(E145,12)</f>
        <v>58546</v>
      </c>
      <c r="F146">
        <f ca="1">F145</f>
        <v>2.4630000000000001</v>
      </c>
    </row>
    <row r="154" spans="1:21" x14ac:dyDescent="0.25">
      <c r="A154" s="7" t="s">
        <v>181</v>
      </c>
      <c r="B154" s="8">
        <v>6</v>
      </c>
      <c r="C154" s="8"/>
      <c r="D154" s="8">
        <v>0</v>
      </c>
      <c r="E154" s="8"/>
      <c r="F154" s="8">
        <v>100</v>
      </c>
      <c r="H154" t="s">
        <v>298</v>
      </c>
      <c r="K154" t="s">
        <v>299</v>
      </c>
      <c r="L154" t="e">
        <f ca="1">F165-F160</f>
        <v>#VALUE!</v>
      </c>
    </row>
    <row r="155" spans="1:21" x14ac:dyDescent="0.25">
      <c r="A155" t="s">
        <v>28</v>
      </c>
      <c r="B155" t="s">
        <v>29</v>
      </c>
      <c r="C155" t="s">
        <v>30</v>
      </c>
      <c r="D155" t="s">
        <v>31</v>
      </c>
      <c r="E155" t="s">
        <v>32</v>
      </c>
      <c r="F155" t="s">
        <v>33</v>
      </c>
    </row>
    <row r="156" spans="1:21" x14ac:dyDescent="0.25">
      <c r="A156" s="1">
        <f ca="1">WORKDAY(Swap_Date,1)</f>
        <v>43571</v>
      </c>
      <c r="B156" t="str">
        <f ca="1">B157</f>
        <v>#N/A Connection</v>
      </c>
      <c r="C156" s="1">
        <f ca="1">nextimm(Swap_Date)</f>
        <v>43635</v>
      </c>
      <c r="D156" t="s">
        <v>197</v>
      </c>
      <c r="E156" s="1">
        <f ca="1">EDATE(Swap_Date,12)</f>
        <v>43936</v>
      </c>
      <c r="F156" t="str">
        <f t="shared" ref="F156:F165" ca="1" si="30">IF(ISNUMBER(S156),S156,T156)</f>
        <v>#N/A Connection</v>
      </c>
      <c r="J156" t="s">
        <v>579</v>
      </c>
      <c r="L156" s="18"/>
      <c r="N156">
        <v>5.7073999999999998</v>
      </c>
      <c r="O156" t="e">
        <f ca="1">F156-N156</f>
        <v>#VALUE!</v>
      </c>
      <c r="P156" s="23"/>
      <c r="R156" s="23" t="str">
        <f ca="1">_xll.BDH($J156,"Close",$E$2,$E$3,"BarType","T","Dir=V")</f>
        <v>#N/A Connection</v>
      </c>
      <c r="T156" t="str">
        <f ca="1">IF(ISNUMBER(_xll.BDH($J156,"LAST_PRICE",Swap_Date,Swap_Date)),_xll.BDH($J156,"LAST_PRICE",Swap_Date,Swap_Date),U156)</f>
        <v>#N/A Connection</v>
      </c>
      <c r="U156" t="str">
        <f ca="1">_xll.BDP(J156,"PX_LAST")</f>
        <v>#N/A Connection</v>
      </c>
    </row>
    <row r="157" spans="1:21" x14ac:dyDescent="0.25">
      <c r="A157" s="1">
        <f ca="1">EDATE(Swap_Date,1)</f>
        <v>43600</v>
      </c>
      <c r="B157" t="str">
        <f ca="1">IF(ISNUMBER(_xll.BDH(H157,"PX_LAST",Cash_Date,Cash_Date)),_xll.BDH(H157,"PX_LAST",Cash_Date,Cash_Date),P157)</f>
        <v>#N/A Connection</v>
      </c>
      <c r="C157" s="1">
        <f ca="1">nextimm(C156+1)</f>
        <v>43726</v>
      </c>
      <c r="D157" t="s">
        <v>197</v>
      </c>
      <c r="E157" s="1">
        <f ca="1">EDATE(E156,12)</f>
        <v>44301</v>
      </c>
      <c r="F157" t="str">
        <f t="shared" ca="1" si="30"/>
        <v>#N/A Connection</v>
      </c>
      <c r="G157" t="e">
        <f t="shared" ref="G157:G164" ca="1" si="31">100*(F157-F156)</f>
        <v>#VALUE!</v>
      </c>
      <c r="H157" t="s">
        <v>182</v>
      </c>
      <c r="J157" t="s">
        <v>580</v>
      </c>
      <c r="N157">
        <v>6.5526</v>
      </c>
      <c r="O157" t="e">
        <f t="shared" ref="O157:O164" ca="1" si="32">F157-N157</f>
        <v>#VALUE!</v>
      </c>
      <c r="P157" s="24" t="str">
        <f ca="1">_xll.BDP(H157,"PX_LAST")</f>
        <v>#N/A Connection</v>
      </c>
      <c r="R157" s="23" t="str">
        <f ca="1">_xll.BDH($J157,"Close",$E$2,$E$3,"BarType","T","Dir=V")</f>
        <v>#N/A Connection</v>
      </c>
      <c r="T157" t="str">
        <f ca="1">IF(ISNUMBER(_xll.BDH($J157,"LAST_PRICE",Swap_Date,Swap_Date)),_xll.BDH($J157,"LAST_PRICE",Swap_Date,Swap_Date),U157)</f>
        <v>#N/A Connection</v>
      </c>
      <c r="U157" t="str">
        <f ca="1">_xll.BDP(J157,"PX_LAST")</f>
        <v>#N/A Connection</v>
      </c>
    </row>
    <row r="158" spans="1:21" x14ac:dyDescent="0.25">
      <c r="A158" s="1">
        <f ca="1">EDATE(A157,1)</f>
        <v>43631</v>
      </c>
      <c r="B158" t="e">
        <f ca="1">IF(ISNUMBER(_xll.BDH(H158,"PX_LAST",Cash_Date,Cash_Date)),_xll.BDH(H158,"PX_LAST",Cash_Date,Cash_Date),0.5*(B157+B159))</f>
        <v>#VALUE!</v>
      </c>
      <c r="C158" s="1">
        <f t="shared" ref="C158:C163" ca="1" si="33">nextimm(C157+1)</f>
        <v>43817</v>
      </c>
      <c r="D158" t="s">
        <v>197</v>
      </c>
      <c r="E158" s="1">
        <f ca="1">EDATE(E157,12)</f>
        <v>44666</v>
      </c>
      <c r="F158" t="str">
        <f t="shared" ca="1" si="30"/>
        <v>#N/A Connection</v>
      </c>
      <c r="G158" t="e">
        <f t="shared" ca="1" si="31"/>
        <v>#VALUE!</v>
      </c>
      <c r="H158" t="s">
        <v>183</v>
      </c>
      <c r="J158" t="s">
        <v>581</v>
      </c>
      <c r="N158">
        <v>7.1788999999999996</v>
      </c>
      <c r="O158" t="e">
        <f t="shared" ca="1" si="32"/>
        <v>#VALUE!</v>
      </c>
      <c r="P158" s="24"/>
      <c r="R158" s="23" t="str">
        <f ca="1">_xll.BDH($J158,"Close",$E$2,$E$3,"BarType","T","Dir=V")</f>
        <v>#N/A Connection</v>
      </c>
      <c r="T158" t="str">
        <f ca="1">IF(ISNUMBER(_xll.BDH($J158,"LAST_PRICE",Swap_Date,Swap_Date)),_xll.BDH($J158,"LAST_PRICE",Swap_Date,Swap_Date),U158)</f>
        <v>#N/A Connection</v>
      </c>
      <c r="U158" t="str">
        <f ca="1">_xll.BDP(J158,"PX_LAST")</f>
        <v>#N/A Connection</v>
      </c>
    </row>
    <row r="159" spans="1:21" x14ac:dyDescent="0.25">
      <c r="A159" s="1">
        <f ca="1">EDATE(A158,1)</f>
        <v>43661</v>
      </c>
      <c r="B159" t="str">
        <f ca="1">IF(ISNUMBER(_xll.BDH(H159,"PX_LAST",Cash_Date,Cash_Date)),_xll.BDH(H159,"PX_LAST",Cash_Date,Cash_Date),P159)</f>
        <v>#N/A Connection</v>
      </c>
      <c r="C159" s="1">
        <f t="shared" ca="1" si="33"/>
        <v>43908</v>
      </c>
      <c r="D159" t="s">
        <v>197</v>
      </c>
      <c r="E159" s="1">
        <f t="shared" ref="E159:E165" ca="1" si="34">EDATE(E158,12)</f>
        <v>45031</v>
      </c>
      <c r="F159" t="str">
        <f t="shared" ca="1" si="30"/>
        <v>#N/A Connection</v>
      </c>
      <c r="G159" t="e">
        <f t="shared" ca="1" si="31"/>
        <v>#VALUE!</v>
      </c>
      <c r="H159" t="s">
        <v>184</v>
      </c>
      <c r="J159" t="s">
        <v>582</v>
      </c>
      <c r="N159">
        <v>7.5522999999999998</v>
      </c>
      <c r="O159" t="e">
        <f t="shared" ca="1" si="32"/>
        <v>#VALUE!</v>
      </c>
      <c r="P159" s="24" t="str">
        <f ca="1">_xll.BDP(H159,"PX_LAST")</f>
        <v>#N/A Connection</v>
      </c>
      <c r="R159" s="23" t="str">
        <f ca="1">_xll.BDH($J159,"Close",$E$2,$E$3,"BarType","T","Dir=V")</f>
        <v>#N/A Connection</v>
      </c>
      <c r="T159" t="str">
        <f ca="1">IF(ISNUMBER(_xll.BDH($J159,"LAST_PRICE",Swap_Date,Swap_Date)),_xll.BDH($J159,"LAST_PRICE",Swap_Date,Swap_Date),U159)</f>
        <v>#N/A Connection</v>
      </c>
      <c r="U159" t="str">
        <f ca="1">_xll.BDP(J159,"PX_LAST")</f>
        <v>#N/A Connection</v>
      </c>
    </row>
    <row r="160" spans="1:21" x14ac:dyDescent="0.25">
      <c r="A160" s="1">
        <f ca="1">EDATE(A159,3)</f>
        <v>43753</v>
      </c>
      <c r="B160" t="str">
        <f ca="1">IF(ISNUMBER(_xll.BDH(H160,"PX_LAST",Cash_Date,Cash_Date)),_xll.BDH(H160,"PX_LAST",Cash_Date,Cash_Date),P160)</f>
        <v>#N/A Connection</v>
      </c>
      <c r="C160" s="1">
        <f t="shared" ca="1" si="33"/>
        <v>43999</v>
      </c>
      <c r="D160" t="s">
        <v>197</v>
      </c>
      <c r="E160" s="1">
        <f t="shared" ca="1" si="34"/>
        <v>45397</v>
      </c>
      <c r="F160" t="str">
        <f t="shared" ca="1" si="30"/>
        <v>#N/A Connection</v>
      </c>
      <c r="G160" t="e">
        <f t="shared" ca="1" si="31"/>
        <v>#VALUE!</v>
      </c>
      <c r="H160" t="s">
        <v>185</v>
      </c>
      <c r="J160" t="s">
        <v>583</v>
      </c>
      <c r="N160">
        <v>7.8151999999999999</v>
      </c>
      <c r="O160" t="e">
        <f t="shared" ca="1" si="32"/>
        <v>#VALUE!</v>
      </c>
      <c r="P160" s="24" t="str">
        <f ca="1">_xll.BDP(H160,"PX_LAST")</f>
        <v>#N/A Connection</v>
      </c>
      <c r="R160" s="23" t="str">
        <f ca="1">_xll.BDH($J160,"Close",$E$2,$E$3,"BarType","T","Dir=V")</f>
        <v>#N/A Connection</v>
      </c>
      <c r="T160" t="str">
        <f ca="1">IF(ISNUMBER(_xll.BDH($J160,"LAST_PRICE",Swap_Date,Swap_Date)),_xll.BDH($J160,"LAST_PRICE",Swap_Date,Swap_Date),U160)</f>
        <v>#N/A Connection</v>
      </c>
      <c r="U160" t="str">
        <f ca="1">_xll.BDP(J160,"PX_LAST")</f>
        <v>#N/A Connection</v>
      </c>
    </row>
    <row r="161" spans="1:21" x14ac:dyDescent="0.25">
      <c r="A161" s="1">
        <f ca="1">EDATE(A160,3)</f>
        <v>43845</v>
      </c>
      <c r="B161" t="str">
        <f ca="1">IF(ISNUMBER(_xll.BDH(H161,"PX_LAST",Cash_Date,Cash_Date)),_xll.BDH(H161,"PX_LAST",Cash_Date,Cash_Date),P161)</f>
        <v>#N/A Connection</v>
      </c>
      <c r="C161" s="1">
        <f t="shared" ca="1" si="33"/>
        <v>44090</v>
      </c>
      <c r="D161" t="s">
        <v>197</v>
      </c>
      <c r="E161" s="1">
        <f t="shared" ca="1" si="34"/>
        <v>45762</v>
      </c>
      <c r="F161" t="str">
        <f t="shared" ca="1" si="30"/>
        <v>#N/A Connection</v>
      </c>
      <c r="G161" t="e">
        <f t="shared" ca="1" si="31"/>
        <v>#VALUE!</v>
      </c>
      <c r="H161" t="s">
        <v>186</v>
      </c>
      <c r="J161" t="s">
        <v>584</v>
      </c>
      <c r="N161">
        <v>8.0724999999999998</v>
      </c>
      <c r="O161" t="e">
        <f t="shared" ca="1" si="32"/>
        <v>#VALUE!</v>
      </c>
      <c r="P161" s="24" t="str">
        <f ca="1">_xll.BDP(H161,"PX_LAST")</f>
        <v>#N/A Connection</v>
      </c>
      <c r="R161" s="23" t="str">
        <f ca="1">_xll.BDH($J161,"Close",$E$2,$E$3,"BarType","T","Dir=V")</f>
        <v>#N/A Connection</v>
      </c>
      <c r="T161" t="str">
        <f ca="1">IF(ISNUMBER(_xll.BDH($J161,"LAST_PRICE",Swap_Date,Swap_Date)),_xll.BDH($J161,"LAST_PRICE",Swap_Date,Swap_Date),U161)</f>
        <v>#N/A Connection</v>
      </c>
      <c r="U161" t="str">
        <f ca="1">_xll.BDP(J161,"PX_LAST")</f>
        <v>#N/A Connection</v>
      </c>
    </row>
    <row r="162" spans="1:21" x14ac:dyDescent="0.25">
      <c r="C162" s="1">
        <f t="shared" ca="1" si="33"/>
        <v>44181</v>
      </c>
      <c r="D162" t="s">
        <v>197</v>
      </c>
      <c r="E162" s="1">
        <f t="shared" ca="1" si="34"/>
        <v>46127</v>
      </c>
      <c r="F162" t="str">
        <f t="shared" ca="1" si="30"/>
        <v>#N/A Connection</v>
      </c>
      <c r="G162" t="e">
        <f t="shared" ca="1" si="31"/>
        <v>#VALUE!</v>
      </c>
      <c r="J162" t="s">
        <v>585</v>
      </c>
      <c r="N162">
        <v>8.2072000000000003</v>
      </c>
      <c r="O162" t="e">
        <f t="shared" ca="1" si="32"/>
        <v>#VALUE!</v>
      </c>
      <c r="P162" s="24"/>
      <c r="R162" s="23" t="str">
        <f ca="1">_xll.BDH($J162,"Close",$E$2,$E$3,"BarType","T","Dir=V")</f>
        <v>#N/A Connection</v>
      </c>
      <c r="T162" t="str">
        <f ca="1">IF(ISNUMBER(_xll.BDH($J162,"LAST_PRICE",Swap_Date,Swap_Date)),_xll.BDH($J162,"LAST_PRICE",Swap_Date,Swap_Date),U162)</f>
        <v>#N/A Connection</v>
      </c>
      <c r="U162" t="str">
        <f ca="1">_xll.BDP(J162,"PX_LAST")</f>
        <v>#N/A Connection</v>
      </c>
    </row>
    <row r="163" spans="1:21" x14ac:dyDescent="0.25">
      <c r="C163" s="1">
        <f t="shared" ca="1" si="33"/>
        <v>44272</v>
      </c>
      <c r="D163" t="s">
        <v>197</v>
      </c>
      <c r="E163" s="1">
        <f t="shared" ca="1" si="34"/>
        <v>46492</v>
      </c>
      <c r="F163" t="str">
        <f t="shared" ca="1" si="30"/>
        <v>#N/A Connection</v>
      </c>
      <c r="G163" t="e">
        <f t="shared" ca="1" si="31"/>
        <v>#VALUE!</v>
      </c>
      <c r="J163" t="s">
        <v>586</v>
      </c>
      <c r="N163">
        <v>8.3289000000000009</v>
      </c>
      <c r="O163" t="e">
        <f t="shared" ca="1" si="32"/>
        <v>#VALUE!</v>
      </c>
      <c r="P163" s="23"/>
      <c r="R163" s="23" t="str">
        <f ca="1">_xll.BDH($J163,"Close",$E$2,$E$3,"BarType","T","Dir=V")</f>
        <v>#N/A Connection</v>
      </c>
      <c r="T163" t="str">
        <f ca="1">IF(ISNUMBER(_xll.BDH($J163,"LAST_PRICE",Swap_Date,Swap_Date)),_xll.BDH($J163,"LAST_PRICE",Swap_Date,Swap_Date),U163)</f>
        <v>#N/A Connection</v>
      </c>
      <c r="U163" t="str">
        <f ca="1">_xll.BDP(J163,"PX_LAST")</f>
        <v>#N/A Connection</v>
      </c>
    </row>
    <row r="164" spans="1:21" x14ac:dyDescent="0.25">
      <c r="E164" s="1">
        <f t="shared" ca="1" si="34"/>
        <v>46858</v>
      </c>
      <c r="F164" t="str">
        <f t="shared" ca="1" si="30"/>
        <v>#N/A Connection</v>
      </c>
      <c r="G164" t="e">
        <f t="shared" ca="1" si="31"/>
        <v>#VALUE!</v>
      </c>
      <c r="J164" t="s">
        <v>587</v>
      </c>
      <c r="N164">
        <v>8.3926999999999996</v>
      </c>
      <c r="O164" t="e">
        <f t="shared" ca="1" si="32"/>
        <v>#VALUE!</v>
      </c>
      <c r="P164" s="23"/>
      <c r="R164" s="23" t="str">
        <f ca="1">_xll.BDH($J164,"Close",$E$2,$E$3,"BarType","T","Dir=V")</f>
        <v>#N/A Connection</v>
      </c>
      <c r="T164" t="str">
        <f ca="1">IF(ISNUMBER(_xll.BDH($J164,"LAST_PRICE",Swap_Date,Swap_Date)),_xll.BDH($J164,"LAST_PRICE",Swap_Date,Swap_Date),U164)</f>
        <v>#N/A Connection</v>
      </c>
      <c r="U164" t="str">
        <f ca="1">_xll.BDP(J164,"PX_LAST")</f>
        <v>#N/A Connection</v>
      </c>
    </row>
    <row r="165" spans="1:21" x14ac:dyDescent="0.25">
      <c r="E165" s="1">
        <f t="shared" ca="1" si="34"/>
        <v>47223</v>
      </c>
      <c r="F165" t="str">
        <f t="shared" ca="1" si="30"/>
        <v>#N/A Connection</v>
      </c>
      <c r="G165" t="e">
        <f ca="1">100*(F165-F164)</f>
        <v>#VALUE!</v>
      </c>
      <c r="J165" t="s">
        <v>588</v>
      </c>
      <c r="O165" t="e">
        <f ca="1">O164</f>
        <v>#VALUE!</v>
      </c>
      <c r="P165" s="23"/>
      <c r="R165" s="23" t="str">
        <f ca="1">_xll.BDH($J165,"Close",$E$2,$E$3,"BarType","T","Dir=V")</f>
        <v>#N/A Connection</v>
      </c>
      <c r="T165" t="str">
        <f ca="1">IF(ISNUMBER(_xll.BDH($J165,"LAST_PRICE",Swap_Date,Swap_Date)),_xll.BDH($J165,"LAST_PRICE",Swap_Date,Swap_Date),U165)</f>
        <v>#N/A Connection</v>
      </c>
      <c r="U165" t="str">
        <f ca="1">_xll.BDP(J165,"PX_LAST")</f>
        <v>#N/A Connection</v>
      </c>
    </row>
    <row r="166" spans="1:21" x14ac:dyDescent="0.25">
      <c r="E166" s="1">
        <f ca="1">EDATE(E165,24)</f>
        <v>47953</v>
      </c>
      <c r="F166" t="e">
        <f ca="1">F165+(E166-$E$165)/($E$165-$E$160)*$L$154</f>
        <v>#VALUE!</v>
      </c>
      <c r="J166" t="s">
        <v>588</v>
      </c>
      <c r="O166" t="e">
        <f t="shared" ref="O166:O172" ca="1" si="35">O165</f>
        <v>#VALUE!</v>
      </c>
      <c r="P166" s="23"/>
      <c r="R166" s="23" t="str">
        <f ca="1">_xll.BDH($J166,"Close",$E$2,$E$3,"BarType","T","Dir=V")</f>
        <v>#N/A Connection</v>
      </c>
      <c r="T166" t="str">
        <f ca="1">IF(ISNUMBER(_xll.BDH($J166,"LAST_PRICE",Swap_Date,Swap_Date)),_xll.BDH($J166,"LAST_PRICE",Swap_Date,Swap_Date),U166)</f>
        <v>#N/A Connection</v>
      </c>
      <c r="U166" t="str">
        <f ca="1">_xll.BDP(J166,"PX_LAST")</f>
        <v>#N/A Connection</v>
      </c>
    </row>
    <row r="167" spans="1:21" x14ac:dyDescent="0.25">
      <c r="E167" s="1">
        <f ca="1">EDATE(E166,36)</f>
        <v>49049</v>
      </c>
      <c r="F167" t="e">
        <f t="shared" ref="F167:F172" ca="1" si="36">F166+(E167-$E$165)/($E$165-$E$160)*$L$154</f>
        <v>#VALUE!</v>
      </c>
      <c r="J167" t="s">
        <v>588</v>
      </c>
      <c r="O167" t="e">
        <f t="shared" ca="1" si="35"/>
        <v>#VALUE!</v>
      </c>
      <c r="P167" s="23"/>
      <c r="R167" s="23" t="str">
        <f ca="1">_xll.BDH($J167,"Close",$E$2,$E$3,"BarType","T","Dir=V")</f>
        <v>#N/A Connection</v>
      </c>
      <c r="T167" t="str">
        <f ca="1">IF(ISNUMBER(_xll.BDH($J167,"LAST_PRICE",Swap_Date,Swap_Date)),_xll.BDH($J167,"LAST_PRICE",Swap_Date,Swap_Date),U167)</f>
        <v>#N/A Connection</v>
      </c>
      <c r="U167" t="str">
        <f ca="1">_xll.BDP(J167,"PX_LAST")</f>
        <v>#N/A Connection</v>
      </c>
    </row>
    <row r="168" spans="1:21" x14ac:dyDescent="0.25">
      <c r="E168" s="1">
        <f ca="1">EDATE(E167,60)</f>
        <v>50875</v>
      </c>
      <c r="F168" t="e">
        <f t="shared" ca="1" si="36"/>
        <v>#VALUE!</v>
      </c>
      <c r="J168" t="s">
        <v>588</v>
      </c>
      <c r="O168" t="e">
        <f t="shared" ca="1" si="35"/>
        <v>#VALUE!</v>
      </c>
      <c r="P168" s="23"/>
      <c r="R168" s="23" t="str">
        <f ca="1">_xll.BDH($J168,"Close",$E$2,$E$3,"BarType","T","Dir=V")</f>
        <v>#N/A Connection</v>
      </c>
      <c r="T168" t="str">
        <f ca="1">IF(ISNUMBER(_xll.BDH($J168,"LAST_PRICE",Swap_Date,Swap_Date)),_xll.BDH($J168,"LAST_PRICE",Swap_Date,Swap_Date),U168)</f>
        <v>#N/A Connection</v>
      </c>
      <c r="U168" t="str">
        <f ca="1">_xll.BDP(J168,"PX_LAST")</f>
        <v>#N/A Connection</v>
      </c>
    </row>
    <row r="169" spans="1:21" x14ac:dyDescent="0.25">
      <c r="E169" s="1">
        <f ca="1">EDATE(E168,60)</f>
        <v>52702</v>
      </c>
      <c r="F169" t="e">
        <f t="shared" ca="1" si="36"/>
        <v>#VALUE!</v>
      </c>
      <c r="J169" t="s">
        <v>588</v>
      </c>
      <c r="O169" t="e">
        <f t="shared" ca="1" si="35"/>
        <v>#VALUE!</v>
      </c>
      <c r="P169" s="23"/>
      <c r="R169" s="23" t="str">
        <f ca="1">_xll.BDH($J169,"Close",$E$2,$E$3,"BarType","T","Dir=V")</f>
        <v>#N/A Connection</v>
      </c>
      <c r="T169" t="str">
        <f ca="1">IF(ISNUMBER(_xll.BDH($J169,"LAST_PRICE",Swap_Date,Swap_Date)),_xll.BDH($J169,"LAST_PRICE",Swap_Date,Swap_Date),U169)</f>
        <v>#N/A Connection</v>
      </c>
      <c r="U169" t="str">
        <f ca="1">_xll.BDP(J169,"PX_LAST")</f>
        <v>#N/A Connection</v>
      </c>
    </row>
    <row r="170" spans="1:21" x14ac:dyDescent="0.25">
      <c r="E170" s="1">
        <f ca="1">EDATE(E169,60)</f>
        <v>54528</v>
      </c>
      <c r="F170" t="e">
        <f t="shared" ca="1" si="36"/>
        <v>#VALUE!</v>
      </c>
      <c r="J170" t="s">
        <v>588</v>
      </c>
      <c r="O170" t="e">
        <f t="shared" ca="1" si="35"/>
        <v>#VALUE!</v>
      </c>
      <c r="P170" s="23"/>
      <c r="R170" s="23" t="str">
        <f ca="1">_xll.BDH($J170,"Close",$E$2,$E$3,"BarType","T","Dir=V")</f>
        <v>#N/A Connection</v>
      </c>
      <c r="T170" t="str">
        <f ca="1">IF(ISNUMBER(_xll.BDH($J170,"LAST_PRICE",Swap_Date,Swap_Date)),_xll.BDH($J170,"LAST_PRICE",Swap_Date,Swap_Date),U170)</f>
        <v>#N/A Connection</v>
      </c>
      <c r="U170" t="str">
        <f ca="1">_xll.BDP(J170,"PX_LAST")</f>
        <v>#N/A Connection</v>
      </c>
    </row>
    <row r="171" spans="1:21" x14ac:dyDescent="0.25">
      <c r="E171" s="1">
        <f ca="1">EDATE(E170,120)</f>
        <v>58180</v>
      </c>
      <c r="F171" t="e">
        <f t="shared" ca="1" si="36"/>
        <v>#VALUE!</v>
      </c>
      <c r="J171" t="s">
        <v>588</v>
      </c>
      <c r="O171" t="e">
        <f t="shared" ca="1" si="35"/>
        <v>#VALUE!</v>
      </c>
      <c r="P171" s="23"/>
      <c r="R171" s="23" t="str">
        <f ca="1">_xll.BDH($J171,"Close",$E$2,$E$3,"BarType","T","Dir=V")</f>
        <v>#N/A Connection</v>
      </c>
      <c r="T171" t="str">
        <f ca="1">IF(ISNUMBER(_xll.BDH($J171,"LAST_PRICE",Swap_Date,Swap_Date)),_xll.BDH($J171,"LAST_PRICE",Swap_Date,Swap_Date),U171)</f>
        <v>#N/A Connection</v>
      </c>
      <c r="U171" t="str">
        <f ca="1">_xll.BDP(J171,"PX_LAST")</f>
        <v>#N/A Connection</v>
      </c>
    </row>
    <row r="172" spans="1:21" x14ac:dyDescent="0.25">
      <c r="E172" s="1">
        <f ca="1">EDATE(E171,12)</f>
        <v>58546</v>
      </c>
      <c r="F172" t="e">
        <f t="shared" ca="1" si="36"/>
        <v>#VALUE!</v>
      </c>
      <c r="J172" t="s">
        <v>588</v>
      </c>
      <c r="O172" t="e">
        <f t="shared" ca="1" si="35"/>
        <v>#VALUE!</v>
      </c>
      <c r="P172" s="23"/>
      <c r="R172" s="23" t="str">
        <f ca="1">_xll.BDH($J172,"Close",$E$2,$E$3,"BarType","T","Dir=V")</f>
        <v>#N/A Connection</v>
      </c>
      <c r="T172" t="str">
        <f ca="1">IF(ISNUMBER(_xll.BDH($J172,"LAST_PRICE",Swap_Date,Swap_Date)),_xll.BDH($J172,"LAST_PRICE",Swap_Date,Swap_Date),U172)</f>
        <v>#N/A Connection</v>
      </c>
      <c r="U172" t="str">
        <f ca="1">_xll.BDP(J172,"PX_LAST")</f>
        <v>#N/A Connection</v>
      </c>
    </row>
    <row r="179" spans="1:20" x14ac:dyDescent="0.25">
      <c r="A179" t="s">
        <v>417</v>
      </c>
      <c r="B179">
        <v>6</v>
      </c>
      <c r="D179">
        <v>0</v>
      </c>
      <c r="F179">
        <v>100</v>
      </c>
    </row>
    <row r="180" spans="1:20" x14ac:dyDescent="0.25">
      <c r="A180" t="s">
        <v>28</v>
      </c>
      <c r="B180" t="s">
        <v>29</v>
      </c>
      <c r="C180" t="s">
        <v>30</v>
      </c>
      <c r="D180" t="s">
        <v>31</v>
      </c>
      <c r="E180" t="s">
        <v>32</v>
      </c>
      <c r="F180" t="s">
        <v>33</v>
      </c>
    </row>
    <row r="181" spans="1:20" x14ac:dyDescent="0.25">
      <c r="A181" s="1">
        <f ca="1">WORKDAY(Swap_Date,1)</f>
        <v>43571</v>
      </c>
      <c r="B181" t="str">
        <f ca="1">IF(ISNUMBER(_xll.BDH(H181,"PX_LAST",Cash_Date,Cash_Date)),_xll.BDH(H181,"PX_LAST",Cash_Date,Cash_Date),B186)</f>
        <v>#N/A Connection</v>
      </c>
      <c r="C181" s="1">
        <f ca="1">nextimm(Swap_Date)</f>
        <v>43635</v>
      </c>
      <c r="D181" t="s">
        <v>197</v>
      </c>
      <c r="E181" s="1">
        <f ca="1">EDATE(Swap_Date,24)</f>
        <v>44301</v>
      </c>
      <c r="F181" t="str">
        <f ca="1">IF(ISNUMBER(S181),S181,F184)</f>
        <v>#N/A Connection</v>
      </c>
      <c r="H181" t="s">
        <v>418</v>
      </c>
      <c r="J181" t="s">
        <v>589</v>
      </c>
      <c r="P181" s="23"/>
      <c r="R181" s="23" t="str">
        <f ca="1">_xll.BDH($J181,"Close",$C$2,$C$3,"BarType","T","Dir=V")</f>
        <v>#N/A Connection</v>
      </c>
      <c r="T181" t="str">
        <f ca="1">_xll.BDH($J181,"LAST_PRICE",Swap_Date,Swap_Date)</f>
        <v>#N/A Connection</v>
      </c>
    </row>
    <row r="182" spans="1:20" x14ac:dyDescent="0.25">
      <c r="A182" s="1">
        <f ca="1">EDATE(Swap_Date,1)</f>
        <v>43600</v>
      </c>
      <c r="B182" t="str">
        <f ca="1">IF(ISNUMBER(_xll.BDH(H182,"PX_LAST",Cash_Date,Cash_Date)),_xll.BDH(H182,"PX_LAST",Cash_Date,Cash_Date),B181)</f>
        <v>#N/A Connection</v>
      </c>
      <c r="C182" s="1">
        <f ca="1">nextimm(C181+1)</f>
        <v>43726</v>
      </c>
      <c r="D182" t="s">
        <v>197</v>
      </c>
      <c r="E182" s="1">
        <f ca="1">EDATE(E181,12)</f>
        <v>44666</v>
      </c>
      <c r="F182" t="str">
        <f ca="1">IF(ISNUMBER(S182),S182,F184)</f>
        <v>#N/A Connection</v>
      </c>
      <c r="H182" t="s">
        <v>436</v>
      </c>
      <c r="J182" t="s">
        <v>590</v>
      </c>
      <c r="P182" s="23"/>
      <c r="R182" s="23" t="str">
        <f ca="1">_xll.BDH($J182,"Close",$C$2,$C$3,"BarType","T","Dir=V")</f>
        <v>#N/A Connection</v>
      </c>
      <c r="T182" t="str">
        <f ca="1">_xll.BDH($J182,"LAST_PRICE",Swap_Date,Swap_Date)</f>
        <v>#N/A Connection</v>
      </c>
    </row>
    <row r="183" spans="1:20" x14ac:dyDescent="0.25">
      <c r="A183" s="1">
        <f ca="1">EDATE(Swap_Date,2)</f>
        <v>43631</v>
      </c>
      <c r="B183" t="e">
        <f ca="1">0.5*(B182+B184)</f>
        <v>#VALUE!</v>
      </c>
      <c r="C183" s="1">
        <f t="shared" ref="C183:C188" ca="1" si="37">nextimm(C182+1)</f>
        <v>43817</v>
      </c>
      <c r="D183" t="s">
        <v>197</v>
      </c>
      <c r="E183" s="1">
        <f t="shared" ref="E183:E196" ca="1" si="38">EDATE(E182,12)</f>
        <v>45031</v>
      </c>
      <c r="F183" t="str">
        <f ca="1">IF(ISNUMBER(S183),S183,F184)</f>
        <v>#N/A Connection</v>
      </c>
      <c r="J183" t="s">
        <v>591</v>
      </c>
      <c r="P183" s="23"/>
      <c r="R183" s="23" t="str">
        <f ca="1">_xll.BDH($J183,"Close",$C$2,$C$3,"BarType","T","Dir=V")</f>
        <v>#N/A Connection</v>
      </c>
      <c r="T183" t="str">
        <f ca="1">_xll.BDH($J183,"LAST_PRICE",Swap_Date,Swap_Date)</f>
        <v>#N/A Connection</v>
      </c>
    </row>
    <row r="184" spans="1:20" x14ac:dyDescent="0.25">
      <c r="A184" s="1">
        <f ca="1">EDATE(Swap_Date,3)</f>
        <v>43661</v>
      </c>
      <c r="B184" t="str">
        <f ca="1">IF(ISNUMBER(_xll.BDH(H184,"PX_LAST",Cash_Date,Cash_Date)),_xll.BDH(H184,"PX_LAST",Cash_Date,Cash_Date),B181)</f>
        <v>#N/A Connection</v>
      </c>
      <c r="C184" s="1">
        <f t="shared" ca="1" si="37"/>
        <v>43908</v>
      </c>
      <c r="D184" t="s">
        <v>197</v>
      </c>
      <c r="E184" s="1">
        <f t="shared" ca="1" si="38"/>
        <v>45397</v>
      </c>
      <c r="F184" t="str">
        <f t="shared" ref="F184:F197" ca="1" si="39">IF(ISNUMBER(S184),S184,T184)</f>
        <v>#N/A Connection</v>
      </c>
      <c r="H184" t="s">
        <v>437</v>
      </c>
      <c r="J184" t="s">
        <v>592</v>
      </c>
      <c r="P184" s="23"/>
      <c r="R184" s="23" t="str">
        <f ca="1">_xll.BDH($J184,"Close",$C$2,$C$3,"BarType","T","Dir=V")</f>
        <v>#N/A Connection</v>
      </c>
      <c r="T184" t="str">
        <f ca="1">_xll.BDH($J184,"LAST_PRICE",Swap_Date,Swap_Date)</f>
        <v>#N/A Connection</v>
      </c>
    </row>
    <row r="185" spans="1:20" x14ac:dyDescent="0.25">
      <c r="A185" s="1">
        <f ca="1">EDATE(Swap_Date,6)</f>
        <v>43753</v>
      </c>
      <c r="B185" t="str">
        <f ca="1">IF(ISNUMBER(_xll.BDH(H185,"PX_LAST",Cash_Date,Cash_Date)),_xll.BDH(H185,"PX_LAST",Cash_Date,Cash_Date),B181)</f>
        <v>#N/A Connection</v>
      </c>
      <c r="C185" s="1">
        <f t="shared" ca="1" si="37"/>
        <v>43999</v>
      </c>
      <c r="D185" t="s">
        <v>197</v>
      </c>
      <c r="E185" s="1">
        <f t="shared" ca="1" si="38"/>
        <v>45762</v>
      </c>
      <c r="F185" t="str">
        <f ca="1">IF(ISNUMBER(S185),S185,F186)</f>
        <v>#N/A Connection</v>
      </c>
      <c r="H185" t="s">
        <v>438</v>
      </c>
      <c r="J185" t="s">
        <v>593</v>
      </c>
      <c r="P185" s="23"/>
      <c r="R185" s="23" t="str">
        <f ca="1">_xll.BDH($J185,"Close",$C$2,$C$3,"BarType","T","Dir=V")</f>
        <v>#N/A Connection</v>
      </c>
      <c r="T185" t="str">
        <f ca="1">_xll.BDH($J185,"LAST_PRICE",Swap_Date,Swap_Date)</f>
        <v>#N/A Connection</v>
      </c>
    </row>
    <row r="186" spans="1:20" x14ac:dyDescent="0.25">
      <c r="A186" s="1">
        <f ca="1">EDATE(Swap_Date,12)</f>
        <v>43936</v>
      </c>
      <c r="B186" t="str">
        <f ca="1">_xll.BDH(H186,"PX_LAST",Cash_Date,Cash_Date)</f>
        <v>#N/A Connection</v>
      </c>
      <c r="C186" s="1">
        <f t="shared" ca="1" si="37"/>
        <v>44090</v>
      </c>
      <c r="D186" t="s">
        <v>197</v>
      </c>
      <c r="E186" s="1">
        <f t="shared" ca="1" si="38"/>
        <v>46127</v>
      </c>
      <c r="F186" t="str">
        <f t="shared" ca="1" si="39"/>
        <v>#N/A Connection</v>
      </c>
      <c r="H186" t="s">
        <v>439</v>
      </c>
      <c r="J186" t="s">
        <v>594</v>
      </c>
      <c r="P186" s="23"/>
      <c r="R186" s="23" t="str">
        <f ca="1">_xll.BDH($J186,"Close",$C$2,$C$3,"BarType","T","Dir=V")</f>
        <v>#N/A Connection</v>
      </c>
      <c r="T186" t="str">
        <f ca="1">_xll.BDH($J186,"LAST_PRICE",Swap_Date,Swap_Date)</f>
        <v>#N/A Connection</v>
      </c>
    </row>
    <row r="187" spans="1:20" x14ac:dyDescent="0.25">
      <c r="A187" s="10">
        <f ca="1">EDATE(Swap_Date,18)</f>
        <v>44119</v>
      </c>
      <c r="B187" t="str">
        <f ca="1">IF(ISNUMBER(_xll.BDH(H187,"PX_LAST",Cash_Date,Cash_Date)),_xll.BDH(H187,"PX_LAST",Cash_Date,Cash_Date),B181)</f>
        <v>#N/A Connection</v>
      </c>
      <c r="C187" s="1">
        <f t="shared" ca="1" si="37"/>
        <v>44181</v>
      </c>
      <c r="D187" t="s">
        <v>197</v>
      </c>
      <c r="E187" s="1">
        <f t="shared" ca="1" si="38"/>
        <v>46492</v>
      </c>
      <c r="F187" t="str">
        <f ca="1">IF(ISNUMBER(S187),S187,F189)</f>
        <v>#N/A Connection</v>
      </c>
      <c r="H187" t="s">
        <v>440</v>
      </c>
      <c r="J187" t="s">
        <v>595</v>
      </c>
      <c r="P187" s="23"/>
      <c r="R187" s="23" t="str">
        <f ca="1">_xll.BDH($J187,"Close",$C$2,$C$3,"BarType","T","Dir=V")</f>
        <v>#N/A Connection</v>
      </c>
      <c r="T187" t="str">
        <f ca="1">_xll.BDH($J187,"LAST_PRICE",Swap_Date,Swap_Date)</f>
        <v>#N/A Connection</v>
      </c>
    </row>
    <row r="188" spans="1:20" x14ac:dyDescent="0.25">
      <c r="A188" s="10">
        <f ca="1">EDATE(Swap_Date,24)</f>
        <v>44301</v>
      </c>
      <c r="B188" s="11" t="e">
        <f ca="1">B187+(B187-B186)</f>
        <v>#VALUE!</v>
      </c>
      <c r="C188" s="1">
        <f t="shared" ca="1" si="37"/>
        <v>44272</v>
      </c>
      <c r="D188" t="s">
        <v>197</v>
      </c>
      <c r="E188" s="1">
        <f t="shared" ca="1" si="38"/>
        <v>46858</v>
      </c>
      <c r="F188" t="str">
        <f ca="1">IF(ISNUMBER(S188),S188,F189)</f>
        <v>#N/A Connection</v>
      </c>
      <c r="J188" t="s">
        <v>596</v>
      </c>
      <c r="P188" s="23"/>
      <c r="R188" s="23" t="str">
        <f ca="1">_xll.BDH($J188,"Close",$C$2,$C$3,"BarType","T","Dir=V")</f>
        <v>#N/A Connection</v>
      </c>
      <c r="T188" t="str">
        <f ca="1">_xll.BDH($J188,"LAST_PRICE",Swap_Date,Swap_Date)</f>
        <v>#N/A Connection</v>
      </c>
    </row>
    <row r="189" spans="1:20" x14ac:dyDescent="0.25">
      <c r="E189" s="1">
        <f t="shared" ca="1" si="38"/>
        <v>47223</v>
      </c>
      <c r="F189" t="str">
        <f t="shared" ca="1" si="39"/>
        <v>#N/A Connection</v>
      </c>
      <c r="J189" t="s">
        <v>597</v>
      </c>
      <c r="P189" s="23"/>
      <c r="R189" s="23" t="str">
        <f ca="1">_xll.BDH($J189,"Close",$C$2,$C$3,"BarType","T","Dir=V")</f>
        <v>#N/A Connection</v>
      </c>
      <c r="T189" t="str">
        <f ca="1">_xll.BDH($J189,"LAST_PRICE",Swap_Date,Swap_Date)</f>
        <v>#N/A Connection</v>
      </c>
    </row>
    <row r="190" spans="1:20" x14ac:dyDescent="0.25">
      <c r="E190" s="1">
        <f t="shared" ca="1" si="38"/>
        <v>47588</v>
      </c>
      <c r="F190" t="e">
        <f t="shared" ca="1" si="39"/>
        <v>#VALUE!</v>
      </c>
      <c r="J190" t="s">
        <v>598</v>
      </c>
      <c r="P190" s="23"/>
      <c r="R190" s="23" t="str">
        <f ca="1">_xll.BDH($J190,"Close",$C$2,$C$3,"BarType","T","Dir=V")</f>
        <v>#N/A Connection</v>
      </c>
      <c r="T190" t="e">
        <f ca="1">0.5*(T189+T191)</f>
        <v>#VALUE!</v>
      </c>
    </row>
    <row r="191" spans="1:20" x14ac:dyDescent="0.25">
      <c r="E191" s="1">
        <f t="shared" ca="1" si="38"/>
        <v>47953</v>
      </c>
      <c r="F191" t="str">
        <f t="shared" ca="1" si="39"/>
        <v>#N/A Connection</v>
      </c>
      <c r="J191" t="s">
        <v>599</v>
      </c>
      <c r="P191" s="23"/>
      <c r="R191" s="23" t="str">
        <f ca="1">_xll.BDH($J191,"Close",$C$2,$C$3,"BarType","T","Dir=V")</f>
        <v>#N/A Connection</v>
      </c>
      <c r="T191" t="str">
        <f ca="1">_xll.BDH($J191,"LAST_PRICE",Swap_Date,Swap_Date)</f>
        <v>#N/A Connection</v>
      </c>
    </row>
    <row r="192" spans="1:20" x14ac:dyDescent="0.25">
      <c r="E192" s="1">
        <f t="shared" ca="1" si="38"/>
        <v>48319</v>
      </c>
      <c r="F192" t="e">
        <f t="shared" ca="1" si="39"/>
        <v>#VALUE!</v>
      </c>
      <c r="J192" t="s">
        <v>600</v>
      </c>
      <c r="P192" s="23"/>
      <c r="R192" s="23" t="str">
        <f ca="1">_xll.BDH($J192,"Close",$C$2,$C$3,"BarType","T","Dir=V")</f>
        <v>#N/A Connection</v>
      </c>
      <c r="T192" t="e">
        <f ca="1">0.3*(T194-T191)+T191</f>
        <v>#VALUE!</v>
      </c>
    </row>
    <row r="193" spans="5:20" x14ac:dyDescent="0.25">
      <c r="E193" s="1">
        <f t="shared" ca="1" si="38"/>
        <v>48684</v>
      </c>
      <c r="F193" t="e">
        <f t="shared" ca="1" si="39"/>
        <v>#VALUE!</v>
      </c>
      <c r="J193" t="s">
        <v>601</v>
      </c>
      <c r="P193" s="23"/>
      <c r="R193" s="23" t="str">
        <f ca="1">_xll.BDH($J193,"Close",$C$2,$C$3,"BarType","T","Dir=V")</f>
        <v>#N/A Connection</v>
      </c>
      <c r="T193" t="e">
        <f ca="1">2/3*(T194-T191)+T191</f>
        <v>#VALUE!</v>
      </c>
    </row>
    <row r="194" spans="5:20" x14ac:dyDescent="0.25">
      <c r="E194" s="1">
        <f t="shared" ca="1" si="38"/>
        <v>49049</v>
      </c>
      <c r="F194" t="str">
        <f t="shared" ca="1" si="39"/>
        <v>#N/A Connection</v>
      </c>
      <c r="J194" t="s">
        <v>602</v>
      </c>
      <c r="P194" s="23"/>
      <c r="R194" s="23" t="str">
        <f ca="1">_xll.BDH($J194,"Close",$C$2,$C$3,"BarType","T","Dir=V")</f>
        <v>#N/A Connection</v>
      </c>
      <c r="T194" t="str">
        <f ca="1">_xll.BDH($J194,"LAST_PRICE",Swap_Date,Swap_Date)</f>
        <v>#N/A Connection</v>
      </c>
    </row>
    <row r="195" spans="5:20" x14ac:dyDescent="0.25">
      <c r="E195" s="1">
        <f t="shared" ca="1" si="38"/>
        <v>49414</v>
      </c>
      <c r="F195" t="e">
        <f t="shared" ca="1" si="39"/>
        <v>#VALUE!</v>
      </c>
      <c r="J195" t="s">
        <v>603</v>
      </c>
      <c r="P195" s="23"/>
      <c r="R195" s="23" t="str">
        <f ca="1">_xll.BDH($J195,"Close",$C$2,$C$3,"BarType","T","Dir=V")</f>
        <v>#N/A Connection</v>
      </c>
      <c r="T195" t="e">
        <f ca="1">1/3*(T197-T194)+T194</f>
        <v>#VALUE!</v>
      </c>
    </row>
    <row r="196" spans="5:20" x14ac:dyDescent="0.25">
      <c r="E196" s="1">
        <f t="shared" ca="1" si="38"/>
        <v>49780</v>
      </c>
      <c r="F196" t="e">
        <f t="shared" ca="1" si="39"/>
        <v>#VALUE!</v>
      </c>
      <c r="J196" t="s">
        <v>604</v>
      </c>
      <c r="P196" s="23"/>
      <c r="R196" s="23" t="str">
        <f ca="1">_xll.BDH($J196,"Close",$C$2,$C$3,"BarType","T","Dir=V")</f>
        <v>#N/A Connection</v>
      </c>
      <c r="T196" t="e">
        <f ca="1">2/3*(T197-T194)+T194</f>
        <v>#VALUE!</v>
      </c>
    </row>
    <row r="197" spans="5:20" x14ac:dyDescent="0.25">
      <c r="E197" s="1">
        <f ca="1">EDATE(E196,36)</f>
        <v>50875</v>
      </c>
      <c r="F197" t="str">
        <f t="shared" ca="1" si="39"/>
        <v>#N/A Connection</v>
      </c>
      <c r="J197" t="s">
        <v>605</v>
      </c>
      <c r="P197" s="23"/>
      <c r="R197" s="23" t="str">
        <f ca="1">_xll.BDH($J197,"Close",$C$2,$C$3,"BarType","T","Dir=V")</f>
        <v>#N/A Connection</v>
      </c>
      <c r="T197" t="str">
        <f ca="1">_xll.BDH($J197,"LAST_PRICE",Swap_Date,Swap_Date)</f>
        <v>#N/A Connection</v>
      </c>
    </row>
    <row r="198" spans="5:20" x14ac:dyDescent="0.25">
      <c r="E198" s="1">
        <f ca="1">EDATE(E197,60)</f>
        <v>52702</v>
      </c>
      <c r="F198" t="str">
        <f ca="1">F197</f>
        <v>#N/A Connection</v>
      </c>
    </row>
    <row r="199" spans="5:20" x14ac:dyDescent="0.25">
      <c r="E199" s="1">
        <f ca="1">EDATE(E198,60)</f>
        <v>54528</v>
      </c>
      <c r="F199" t="str">
        <f t="shared" ref="F199:F201" ca="1" si="40">F198</f>
        <v>#N/A Connection</v>
      </c>
    </row>
    <row r="200" spans="5:20" x14ac:dyDescent="0.25">
      <c r="E200" s="1">
        <f ca="1">EDATE(E199,120)</f>
        <v>58180</v>
      </c>
      <c r="F200" t="str">
        <f t="shared" ca="1" si="40"/>
        <v>#N/A Connection</v>
      </c>
    </row>
    <row r="201" spans="5:20" x14ac:dyDescent="0.25">
      <c r="E201" s="1">
        <f ca="1">EDATE(E200,12)</f>
        <v>58546</v>
      </c>
      <c r="F201" t="str">
        <f t="shared" ca="1" si="40"/>
        <v>#N/A Connection</v>
      </c>
    </row>
  </sheetData>
  <mergeCells count="1">
    <mergeCell ref="M56:N5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1D0FC-6518-47AF-B3E8-D494277BEFD1}">
  <sheetPr codeName="Sheet4"/>
  <dimension ref="A1:AH80"/>
  <sheetViews>
    <sheetView topLeftCell="A19" workbookViewId="0">
      <selection activeCell="G37" sqref="G37"/>
    </sheetView>
  </sheetViews>
  <sheetFormatPr defaultRowHeight="15" x14ac:dyDescent="0.25"/>
  <cols>
    <col min="1" max="1" width="18.5703125" customWidth="1"/>
    <col min="2" max="2" width="16.5703125" customWidth="1"/>
  </cols>
  <sheetData>
    <row r="1" spans="1:34" x14ac:dyDescent="0.25">
      <c r="A1" t="s">
        <v>612</v>
      </c>
      <c r="B1" t="s">
        <v>613</v>
      </c>
      <c r="C1" s="123" t="s">
        <v>614</v>
      </c>
      <c r="D1" s="123"/>
      <c r="E1" s="123"/>
      <c r="F1" s="123"/>
      <c r="V1" s="11"/>
    </row>
    <row r="2" spans="1:34" x14ac:dyDescent="0.25">
      <c r="A2" s="20">
        <f ca="1">Pre_Date</f>
        <v>43570</v>
      </c>
      <c r="B2" t="s">
        <v>615</v>
      </c>
      <c r="C2" t="s">
        <v>616</v>
      </c>
      <c r="D2" t="s">
        <v>617</v>
      </c>
      <c r="E2" t="s">
        <v>618</v>
      </c>
      <c r="F2" t="s">
        <v>619</v>
      </c>
      <c r="G2" t="s">
        <v>620</v>
      </c>
      <c r="H2" t="s">
        <v>621</v>
      </c>
      <c r="I2" t="s">
        <v>622</v>
      </c>
      <c r="J2" t="s">
        <v>623</v>
      </c>
      <c r="K2" t="s">
        <v>624</v>
      </c>
      <c r="L2" t="s">
        <v>625</v>
      </c>
      <c r="M2" t="s">
        <v>626</v>
      </c>
      <c r="V2" s="11"/>
      <c r="W2" t="s">
        <v>647</v>
      </c>
    </row>
    <row r="3" spans="1:34" x14ac:dyDescent="0.25">
      <c r="A3" t="s">
        <v>627</v>
      </c>
      <c r="B3" s="40">
        <v>2.5000000000000001E-3</v>
      </c>
      <c r="C3" s="40">
        <v>5.0000000000000001E-3</v>
      </c>
      <c r="D3" s="40">
        <v>7.4999999999999997E-3</v>
      </c>
      <c r="E3" s="40">
        <v>0.01</v>
      </c>
      <c r="F3" s="40">
        <v>1.4999999999999999E-2</v>
      </c>
      <c r="G3" s="40">
        <v>0.02</v>
      </c>
      <c r="H3" s="40">
        <v>2.5000000000000001E-2</v>
      </c>
      <c r="I3" s="40">
        <v>0.03</v>
      </c>
      <c r="J3" s="40">
        <v>0.04</v>
      </c>
      <c r="K3" s="40">
        <v>0.05</v>
      </c>
      <c r="L3" s="40">
        <v>0.06</v>
      </c>
      <c r="M3" s="40">
        <v>7.0000000000000007E-2</v>
      </c>
      <c r="N3" t="s">
        <v>628</v>
      </c>
      <c r="O3" t="s">
        <v>628</v>
      </c>
      <c r="P3" t="s">
        <v>628</v>
      </c>
      <c r="Q3" t="s">
        <v>628</v>
      </c>
      <c r="R3" t="s">
        <v>628</v>
      </c>
      <c r="S3" t="s">
        <v>628</v>
      </c>
      <c r="T3" t="s">
        <v>628</v>
      </c>
      <c r="U3" t="s">
        <v>628</v>
      </c>
      <c r="V3" s="11" t="s">
        <v>628</v>
      </c>
    </row>
    <row r="4" spans="1:34" x14ac:dyDescent="0.25">
      <c r="A4">
        <v>1</v>
      </c>
      <c r="B4" t="e">
        <f ca="1">(_xll.BDH(B$2&amp;"0"&amp;$A4&amp;" ICPL curncy","PX_LAST",Pre_Date))+47.38</f>
        <v>#VALUE!</v>
      </c>
      <c r="C4" t="e">
        <f ca="1">(_xll.BDH(C$2&amp;"0"&amp;$A4&amp;" ICPL curncy","PX_LAST",Pre_Date))+44.99</f>
        <v>#VALUE!</v>
      </c>
      <c r="D4" t="e">
        <f ca="1">(_xll.BDH(D$2&amp;"0"&amp;$A4&amp;" ICPL curncy","PX_LAST",Pre_Date))+41.31</f>
        <v>#VALUE!</v>
      </c>
      <c r="E4" t="e">
        <f ca="1">(_xll.BDH(E$2&amp;$A4&amp;" ICPL curncy","PX_LAST",Pre_Date))+35.21</f>
        <v>#VALUE!</v>
      </c>
      <c r="F4" t="e">
        <f ca="1">(_xll.BDH(F$2&amp;$A4&amp;" ICPL curncy","PX_LAST",Pre_Date))+22.11</f>
        <v>#VALUE!</v>
      </c>
      <c r="G4" t="e">
        <f ca="1">(_xll.BDH(G$2&amp;$A4&amp;" ICPL curncy","PX_LAST",Pre_Date))+8.37</f>
        <v>#VALUE!</v>
      </c>
      <c r="H4" t="e">
        <f ca="1">(_xll.BDH(H$2&amp;$A4&amp;" ICPL curncy","PX_LAST",Pre_Date))+-2.11</f>
        <v>#VALUE!</v>
      </c>
      <c r="I4" t="e">
        <f ca="1">(_xll.BDH(I$2&amp;$A4&amp;" ICPL curncy","PX_LAST",Pre_Date))+23.08</f>
        <v>#VALUE!</v>
      </c>
      <c r="J4" t="e">
        <f ca="1">(_xll.BDH(J$2&amp;$A4&amp;" ICPL curncy","PX_LAST",Pre_Date))+73.55</f>
        <v>#VALUE!</v>
      </c>
      <c r="K4" t="e">
        <f ca="1">(_xll.BDH(K$2&amp;$A4&amp;" ICPL curncy","PX_LAST",Pre_Date))+105.95</f>
        <v>#VALUE!</v>
      </c>
      <c r="L4" t="e">
        <f ca="1">(_xll.BDH(L$2&amp;"0"&amp;$A4&amp;" ICPL curncy","PX_LAST",Pre_Date))+0</f>
        <v>#VALUE!</v>
      </c>
      <c r="M4" t="e">
        <f ca="1">(_xll.BDH(M$2&amp;"0"&amp;$A4&amp;" ICPL curncy","PX_LAST",Pre_Date))+0</f>
        <v>#VALUE!</v>
      </c>
      <c r="V4" s="11"/>
      <c r="W4">
        <v>47.379999999999995</v>
      </c>
      <c r="X4">
        <v>44.990000000000009</v>
      </c>
      <c r="Y4">
        <v>41.31</v>
      </c>
      <c r="Z4">
        <v>35.209999999999994</v>
      </c>
      <c r="AA4">
        <v>22.11</v>
      </c>
      <c r="AB4">
        <v>8.3699999999999974</v>
      </c>
      <c r="AC4">
        <v>-2.110000000000003</v>
      </c>
      <c r="AD4">
        <v>23.08</v>
      </c>
      <c r="AE4">
        <v>73.55</v>
      </c>
      <c r="AF4">
        <v>105.95</v>
      </c>
      <c r="AG4">
        <v>0</v>
      </c>
      <c r="AH4">
        <v>0</v>
      </c>
    </row>
    <row r="5" spans="1:34" x14ac:dyDescent="0.25">
      <c r="A5">
        <v>2</v>
      </c>
      <c r="B5" t="e">
        <f ca="1">(_xll.BDH(B$2&amp;"0"&amp;$A5&amp;" ICPL curncy","PX_LAST",Pre_Date))+5.53999999999999</f>
        <v>#VALUE!</v>
      </c>
      <c r="C5" t="e">
        <f ca="1">(_xll.BDH(C$2&amp;"0"&amp;$A5&amp;" ICPL curncy","PX_LAST",Pre_Date))+3.88</f>
        <v>#VALUE!</v>
      </c>
      <c r="D5" t="e">
        <f ca="1">(_xll.BDH(D$2&amp;"0"&amp;$A5&amp;" ICPL curncy","PX_LAST",Pre_Date))+2.52</f>
        <v>#VALUE!</v>
      </c>
      <c r="E5" t="e">
        <f ca="1">(_xll.BDH(E$2&amp;$A5&amp;" ICPL curncy","PX_LAST",Pre_Date))+1.46000000000001</f>
        <v>#VALUE!</v>
      </c>
      <c r="F5" t="e">
        <f ca="1">(_xll.BDH(F$2&amp;$A5&amp;" ICPL curncy","PX_LAST",Pre_Date))+0.150000000000006</f>
        <v>#VALUE!</v>
      </c>
      <c r="G5" t="e">
        <f ca="1">(_xll.BDH(G$2&amp;$A5&amp;" ICPL curncy","PX_LAST",Pre_Date))+-0.219999999999999</f>
        <v>#VALUE!</v>
      </c>
      <c r="H5" t="e">
        <f ca="1">(_xll.BDH(H$2&amp;$A5&amp;" ICPL curncy","PX_LAST",Pre_Date))+-0.120000000000005</f>
        <v>#VALUE!</v>
      </c>
      <c r="I5" t="e">
        <f ca="1">(_xll.BDH(I$2&amp;$A5&amp;" ICPL curncy","PX_LAST",Pre_Date))+9</f>
        <v>#VALUE!</v>
      </c>
      <c r="J5" t="e">
        <f ca="1">(_xll.BDH(J$2&amp;$A5&amp;" ICPL curncy","PX_LAST",Pre_Date))+28.93</f>
        <v>#VALUE!</v>
      </c>
      <c r="K5" t="e">
        <f ca="1">(_xll.BDH(K$2&amp;$A5&amp;" ICPL curncy","PX_LAST",Pre_Date))+50.19</f>
        <v>#VALUE!</v>
      </c>
      <c r="L5" t="e">
        <f ca="1">(_xll.BDH(L$2&amp;"0"&amp;$A5&amp;" ICPL curncy","PX_LAST",Pre_Date))+0</f>
        <v>#VALUE!</v>
      </c>
      <c r="M5" t="e">
        <f ca="1">(_xll.BDH(M$2&amp;"0"&amp;$A5&amp;" ICPL curncy","PX_LAST",Pre_Date))+0</f>
        <v>#VALUE!</v>
      </c>
      <c r="V5" s="11"/>
      <c r="W5">
        <v>5.539999999999992</v>
      </c>
      <c r="X5">
        <v>3.8799999999999955</v>
      </c>
      <c r="Y5">
        <v>2.519999999999996</v>
      </c>
      <c r="Z5">
        <v>1.460000000000008</v>
      </c>
      <c r="AA5">
        <v>0.15000000000000568</v>
      </c>
      <c r="AB5">
        <v>-0.21999999999999886</v>
      </c>
      <c r="AC5">
        <v>-0.12000000000000455</v>
      </c>
      <c r="AD5">
        <v>9</v>
      </c>
      <c r="AE5">
        <v>28.930000000000007</v>
      </c>
      <c r="AF5">
        <v>50.190000000000005</v>
      </c>
      <c r="AG5">
        <v>0</v>
      </c>
      <c r="AH5">
        <v>0</v>
      </c>
    </row>
    <row r="6" spans="1:34" x14ac:dyDescent="0.25">
      <c r="A6">
        <v>3</v>
      </c>
      <c r="B6" t="e">
        <f ca="1">(_xll.BDH(B$2&amp;"0"&amp;$A6&amp;" ICPL curncy","PX_LAST",Pre_Date))+1.56999999999999</f>
        <v>#VALUE!</v>
      </c>
      <c r="C6" t="e">
        <f ca="1">(_xll.BDH(C$2&amp;"0"&amp;$A6&amp;" ICPL curncy","PX_LAST",Pre_Date))+0.739999999999995</f>
        <v>#VALUE!</v>
      </c>
      <c r="D6" t="e">
        <f ca="1">(_xll.BDH(D$2&amp;"0"&amp;$A6&amp;" ICPL curncy","PX_LAST",Pre_Date))+0.100000000000009</f>
        <v>#VALUE!</v>
      </c>
      <c r="E6" t="e">
        <f ca="1">(_xll.BDH(E$2&amp;$A6&amp;" ICPL curncy","PX_LAST",Pre_Date))+-0.340000000000003</f>
        <v>#VALUE!</v>
      </c>
      <c r="F6" t="e">
        <f ca="1">(_xll.BDH(F$2&amp;$A6&amp;" ICPL curncy","PX_LAST",Pre_Date))+-0.769999999999996</f>
        <v>#VALUE!</v>
      </c>
      <c r="G6" t="e">
        <f ca="1">(_xll.BDH(G$2&amp;$A6&amp;" ICPL curncy","PX_LAST",Pre_Date))+-0.520000000000003</f>
        <v>#VALUE!</v>
      </c>
      <c r="H6" t="e">
        <f ca="1">(_xll.BDH(H$2&amp;$A6&amp;" ICPL curncy","PX_LAST",Pre_Date))+0.0500000000000043</f>
        <v>#VALUE!</v>
      </c>
      <c r="I6" t="e">
        <f ca="1">(_xll.BDH(I$2&amp;$A6&amp;" ICPL curncy","PX_LAST",Pre_Date))+5.08</f>
        <v>#VALUE!</v>
      </c>
      <c r="J6" t="e">
        <f ca="1">(_xll.BDH(J$2&amp;$A6&amp;" ICPL curncy","PX_LAST",Pre_Date))+8.59999999999999</f>
        <v>#VALUE!</v>
      </c>
      <c r="K6" t="e">
        <f ca="1">(_xll.BDH(K$2&amp;$A6&amp;" ICPL curncy","PX_LAST",Pre_Date))+12.38</f>
        <v>#VALUE!</v>
      </c>
      <c r="L6" t="e">
        <f ca="1">(_xll.BDH(L$2&amp;"0"&amp;$A6&amp;" ICPL curncy","PX_LAST",Pre_Date))+0</f>
        <v>#VALUE!</v>
      </c>
      <c r="M6" t="e">
        <f ca="1">(_xll.BDH(M$2&amp;"0"&amp;$A6&amp;" ICPL curncy","PX_LAST",Pre_Date))+0</f>
        <v>#VALUE!</v>
      </c>
      <c r="V6" s="11"/>
      <c r="W6">
        <v>1.5699999999999932</v>
      </c>
      <c r="X6">
        <v>0.73999999999999488</v>
      </c>
      <c r="Y6">
        <v>0.10000000000000853</v>
      </c>
      <c r="Z6">
        <v>-0.34000000000000341</v>
      </c>
      <c r="AA6">
        <v>-0.76999999999999602</v>
      </c>
      <c r="AB6">
        <v>-0.52000000000000313</v>
      </c>
      <c r="AC6">
        <v>5.0000000000004263E-2</v>
      </c>
      <c r="AD6">
        <v>5.0799999999999983</v>
      </c>
      <c r="AE6">
        <v>8.5999999999999943</v>
      </c>
      <c r="AF6">
        <v>12.38000000000001</v>
      </c>
      <c r="AG6">
        <v>0</v>
      </c>
      <c r="AH6">
        <v>0</v>
      </c>
    </row>
    <row r="7" spans="1:34" x14ac:dyDescent="0.25">
      <c r="A7">
        <v>4</v>
      </c>
      <c r="B7" t="e">
        <f ca="1">(_xll.BDH(B$2&amp;"0"&amp;$A7&amp;" ICPL curncy","PX_LAST",Pre_Date))+-0.189999999999998</f>
        <v>#VALUE!</v>
      </c>
      <c r="C7" t="e">
        <f ca="1">(_xll.BDH(C$2&amp;"0"&amp;$A7&amp;" ICPL curncy","PX_LAST",Pre_Date))+-0.760000000000005</f>
        <v>#VALUE!</v>
      </c>
      <c r="D7" t="e">
        <f ca="1">(_xll.BDH(D$2&amp;"0"&amp;$A7&amp;" ICPL curncy","PX_LAST",Pre_Date))+-1.05</f>
        <v>#VALUE!</v>
      </c>
      <c r="E7" t="e">
        <f ca="1">(_xll.BDH(E$2&amp;$A7&amp;" ICPL curncy","PX_LAST",Pre_Date))+-1.26000000000001</f>
        <v>#VALUE!</v>
      </c>
      <c r="F7" t="e">
        <f ca="1">(_xll.BDH(F$2&amp;$A7&amp;" ICPL curncy","PX_LAST",Pre_Date))+-1.05</f>
        <v>#VALUE!</v>
      </c>
      <c r="G7" t="e">
        <f ca="1">(_xll.BDH(G$2&amp;$A7&amp;" ICPL curncy","PX_LAST",Pre_Date))+-0.429999999999993</f>
        <v>#VALUE!</v>
      </c>
      <c r="H7" t="e">
        <f ca="1">(_xll.BDH(H$2&amp;$A7&amp;" ICPL curncy","PX_LAST",Pre_Date))+0.460000000000001</f>
        <v>#VALUE!</v>
      </c>
      <c r="I7" t="e">
        <f ca="1">(_xll.BDH(I$2&amp;$A7&amp;" ICPL curncy","PX_LAST",Pre_Date))+3.83000000000001</f>
        <v>#VALUE!</v>
      </c>
      <c r="J7" t="e">
        <f ca="1">(_xll.BDH(J$2&amp;$A7&amp;" ICPL curncy","PX_LAST",Pre_Date))+4.41000000000001</f>
        <v>#VALUE!</v>
      </c>
      <c r="K7" t="e">
        <f ca="1">(_xll.BDH(K$2&amp;$A7&amp;" ICPL curncy","PX_LAST",Pre_Date))+3.73</f>
        <v>#VALUE!</v>
      </c>
      <c r="L7" t="e">
        <f ca="1">(_xll.BDH(L$2&amp;"0"&amp;$A7&amp;" ICPL curncy","PX_LAST",Pre_Date))+0</f>
        <v>#VALUE!</v>
      </c>
      <c r="M7" t="e">
        <f ca="1">(_xll.BDH(M$2&amp;"0"&amp;$A7&amp;" ICPL curncy","PX_LAST",Pre_Date))+0</f>
        <v>#VALUE!</v>
      </c>
      <c r="V7" s="11"/>
      <c r="W7">
        <v>-0.18999999999999773</v>
      </c>
      <c r="X7">
        <v>-0.76000000000000512</v>
      </c>
      <c r="Y7">
        <v>-1.0499999999999972</v>
      </c>
      <c r="Z7">
        <v>-1.2600000000000051</v>
      </c>
      <c r="AA7">
        <v>-1.0499999999999972</v>
      </c>
      <c r="AB7">
        <v>-0.42999999999999261</v>
      </c>
      <c r="AC7">
        <v>0.46000000000000085</v>
      </c>
      <c r="AD7">
        <v>3.8300000000000054</v>
      </c>
      <c r="AE7">
        <v>4.4100000000000108</v>
      </c>
      <c r="AF7">
        <v>3.730000000000004</v>
      </c>
      <c r="AG7">
        <v>0</v>
      </c>
      <c r="AH7">
        <v>0</v>
      </c>
    </row>
    <row r="8" spans="1:34" x14ac:dyDescent="0.25">
      <c r="A8">
        <v>5</v>
      </c>
      <c r="B8" t="e">
        <f ca="1">(_xll.BDH(B$2&amp;"0"&amp;$A8&amp;" ICPL curncy","PX_LAST",Pre_Date))+-0.939999999999998</f>
        <v>#VALUE!</v>
      </c>
      <c r="C8" t="e">
        <f ca="1">(_xll.BDH(C$2&amp;"0"&amp;$A8&amp;" ICPL curncy","PX_LAST",Pre_Date))+-1.37</f>
        <v>#VALUE!</v>
      </c>
      <c r="D8" t="e">
        <f ca="1">(_xll.BDH(D$2&amp;"0"&amp;$A8&amp;" ICPL curncy","PX_LAST",Pre_Date))+-1.61</f>
        <v>#VALUE!</v>
      </c>
      <c r="E8" t="e">
        <f ca="1">(_xll.BDH(E$2&amp;$A8&amp;" ICPL curncy","PX_LAST",Pre_Date))+-1.66000000000001</f>
        <v>#VALUE!</v>
      </c>
      <c r="F8" t="e">
        <f ca="1">(_xll.BDH(F$2&amp;$A8&amp;" ICPL curncy","PX_LAST",Pre_Date))+-1.20999999999999</f>
        <v>#VALUE!</v>
      </c>
      <c r="G8" t="e">
        <f ca="1">(_xll.BDH(G$2&amp;$A8&amp;" ICPL curncy","PX_LAST",Pre_Date))+-0.469999999999999</f>
        <v>#VALUE!</v>
      </c>
      <c r="H8" t="e">
        <f ca="1">(_xll.BDH(H$2&amp;$A8&amp;" ICPL curncy","PX_LAST",Pre_Date))+0.609999999999999</f>
        <v>#VALUE!</v>
      </c>
      <c r="I8" t="e">
        <f ca="1">(_xll.BDH(I$2&amp;$A8&amp;" ICPL curncy","PX_LAST",Pre_Date))+3.31</f>
        <v>#VALUE!</v>
      </c>
      <c r="J8" t="e">
        <f ca="1">(_xll.BDH(J$2&amp;$A8&amp;" ICPL curncy","PX_LAST",Pre_Date))+3.50999999999999</f>
        <v>#VALUE!</v>
      </c>
      <c r="K8" t="e">
        <f ca="1">(_xll.BDH(K$2&amp;$A8&amp;" ICPL curncy","PX_LAST",Pre_Date))+2.13</f>
        <v>#VALUE!</v>
      </c>
      <c r="L8" t="e">
        <f ca="1">(_xll.BDH(L$2&amp;"0"&amp;$A8&amp;" ICPL curncy","PX_LAST",Pre_Date))+0</f>
        <v>#VALUE!</v>
      </c>
      <c r="M8" t="e">
        <f ca="1">(_xll.BDH(M$2&amp;"0"&amp;$A8&amp;" ICPL curncy","PX_LAST",Pre_Date))+0</f>
        <v>#VALUE!</v>
      </c>
      <c r="V8" s="11"/>
      <c r="W8">
        <v>-0.93999999999999773</v>
      </c>
      <c r="X8">
        <v>-1.3700000000000045</v>
      </c>
      <c r="Y8">
        <v>-1.6099999999999994</v>
      </c>
      <c r="Z8">
        <v>-1.6600000000000108</v>
      </c>
      <c r="AA8">
        <v>-1.2099999999999937</v>
      </c>
      <c r="AB8">
        <v>-0.46999999999999886</v>
      </c>
      <c r="AC8">
        <v>0.60999999999999943</v>
      </c>
      <c r="AD8">
        <v>3.3100000000000023</v>
      </c>
      <c r="AE8">
        <v>3.5099999999999909</v>
      </c>
      <c r="AF8">
        <v>2.1299999999999955</v>
      </c>
      <c r="AG8">
        <v>0</v>
      </c>
      <c r="AH8">
        <v>0</v>
      </c>
    </row>
    <row r="9" spans="1:34" x14ac:dyDescent="0.25">
      <c r="A9">
        <v>7</v>
      </c>
      <c r="B9" t="e">
        <f ca="1">(_xll.BDH(B$2&amp;"0"&amp;$A9&amp;" ICPL curncy","PX_LAST",Pre_Date))+-1.19</f>
        <v>#VALUE!</v>
      </c>
      <c r="C9" t="e">
        <f ca="1">(_xll.BDH(C$2&amp;"0"&amp;$A9&amp;" ICPL curncy","PX_LAST",Pre_Date))+-1.5</f>
        <v>#VALUE!</v>
      </c>
      <c r="D9" t="e">
        <f ca="1">(_xll.BDH(D$2&amp;"0"&amp;$A9&amp;" ICPL curncy","PX_LAST",Pre_Date))+-1.5</f>
        <v>#VALUE!</v>
      </c>
      <c r="E9" t="e">
        <f ca="1">(_xll.BDH(E$2&amp;$A9&amp;" ICPL curncy","PX_LAST",Pre_Date))+-1.48</f>
        <v>#VALUE!</v>
      </c>
      <c r="F9" t="e">
        <f ca="1">(_xll.BDH(F$2&amp;$A9&amp;" ICPL curncy","PX_LAST",Pre_Date))+-0.829999999999998</f>
        <v>#VALUE!</v>
      </c>
      <c r="G9" t="e">
        <f ca="1">(_xll.BDH(G$2&amp;$A9&amp;" ICPL curncy","PX_LAST",Pre_Date))+0.170000000000002</f>
        <v>#VALUE!</v>
      </c>
      <c r="H9" t="e">
        <f ca="1">(_xll.BDH(H$2&amp;$A9&amp;" ICPL curncy","PX_LAST",Pre_Date))+1.38</f>
        <v>#VALUE!</v>
      </c>
      <c r="I9" t="e">
        <f ca="1">(_xll.BDH(I$2&amp;$A9&amp;" ICPL curncy","PX_LAST",Pre_Date))+3.56</f>
        <v>#VALUE!</v>
      </c>
      <c r="J9" t="e">
        <f ca="1">(_xll.BDH(J$2&amp;$A9&amp;" ICPL curncy","PX_LAST",Pre_Date))+3.98999999999999</f>
        <v>#VALUE!</v>
      </c>
      <c r="K9" t="e">
        <f ca="1">(_xll.BDH(K$2&amp;$A9&amp;" ICPL curncy","PX_LAST",Pre_Date))+2.55</f>
        <v>#VALUE!</v>
      </c>
      <c r="L9" t="e">
        <f ca="1">(_xll.BDH(L$2&amp;"0"&amp;$A9&amp;" ICPL curncy","PX_LAST",Pre_Date))+0</f>
        <v>#VALUE!</v>
      </c>
      <c r="M9" t="e">
        <f ca="1">(_xll.BDH(M$2&amp;"0"&amp;$A9&amp;" ICPL curncy","PX_LAST",Pre_Date))+0</f>
        <v>#VALUE!</v>
      </c>
      <c r="V9" s="11"/>
      <c r="W9">
        <v>-1.1899999999999977</v>
      </c>
      <c r="X9">
        <v>-1.5</v>
      </c>
      <c r="Y9">
        <v>-1.5</v>
      </c>
      <c r="Z9">
        <v>-1.480000000000004</v>
      </c>
      <c r="AA9">
        <v>-0.82999999999999829</v>
      </c>
      <c r="AB9">
        <v>0.17000000000000171</v>
      </c>
      <c r="AC9">
        <v>1.3799999999999955</v>
      </c>
      <c r="AD9">
        <v>3.5600000000000023</v>
      </c>
      <c r="AE9">
        <v>3.9899999999999949</v>
      </c>
      <c r="AF9">
        <v>2.5499999999999972</v>
      </c>
      <c r="AG9">
        <v>0</v>
      </c>
      <c r="AH9">
        <v>0</v>
      </c>
    </row>
    <row r="10" spans="1:34" x14ac:dyDescent="0.25">
      <c r="A10">
        <v>10</v>
      </c>
      <c r="B10" t="e">
        <f ca="1">(_xll.BDH(B$2&amp;$A10&amp;" ICPL curncy","PX_LAST",Pre_Date))+-0.890000000000001</f>
        <v>#VALUE!</v>
      </c>
      <c r="C10" t="e">
        <f ca="1">(_xll.BDH(C$2&amp;$A10&amp;" ICPL curncy","PX_LAST",Pre_Date))+-1.23</f>
        <v>#VALUE!</v>
      </c>
      <c r="D10" t="e">
        <f ca="1">(_xll.BDH(D$2&amp;$A10&amp;" ICPL curncy","PX_LAST",Pre_Date))+-1.34</f>
        <v>#VALUE!</v>
      </c>
      <c r="E10" t="e">
        <f ca="1">(_xll.BDH(E$2&amp;$A10&amp;" ICPL curncy","PX_LAST",Pre_Date))+-1.3</f>
        <v>#VALUE!</v>
      </c>
      <c r="F10" t="e">
        <f ca="1">(_xll.BDH(F$2&amp;$A10&amp;" ICPL curncy","PX_LAST",Pre_Date))+-0.819999999999993</f>
        <v>#VALUE!</v>
      </c>
      <c r="G10" t="e">
        <f ca="1">(_xll.BDH(G$2&amp;$A10&amp;" ICPL curncy","PX_LAST",Pre_Date))+0.0400000000000063</f>
        <v>#VALUE!</v>
      </c>
      <c r="H10" t="e">
        <f ca="1">(_xll.BDH(H$2&amp;$A10&amp;" ICPL curncy","PX_LAST",Pre_Date))+1.09999999999999</f>
        <v>#VALUE!</v>
      </c>
      <c r="I10" t="e">
        <f ca="1">(_xll.BDH(I$2&amp;$A10&amp;" ICPL curncy","PX_LAST",Pre_Date))+2.62</f>
        <v>#VALUE!</v>
      </c>
      <c r="J10" t="e">
        <f ca="1">(_xll.BDH(J$2&amp;$A10&amp;" ICPL curncy","PX_LAST",Pre_Date))+2.94000000000001</f>
        <v>#VALUE!</v>
      </c>
      <c r="K10" t="e">
        <f ca="1">(_xll.BDH(K$2&amp;$A10&amp;" ICPL curncy","PX_LAST",Pre_Date))+1.45</f>
        <v>#VALUE!</v>
      </c>
      <c r="L10" t="e">
        <f ca="1">(_xll.BDH(L$2&amp;$A10&amp;" ICPL curncy","PX_LAST",Pre_Date))+0</f>
        <v>#VALUE!</v>
      </c>
      <c r="M10" t="e">
        <f ca="1">(_xll.BDH(M$2&amp;$A10&amp;" ICPL curncy","PX_LAST",Pre_Date))+0</f>
        <v>#VALUE!</v>
      </c>
      <c r="V10" s="11"/>
      <c r="W10">
        <v>-0.89000000000000057</v>
      </c>
      <c r="X10">
        <v>-1.230000000000004</v>
      </c>
      <c r="Y10">
        <v>-1.3400000000000034</v>
      </c>
      <c r="Z10">
        <v>-1.2999999999999972</v>
      </c>
      <c r="AA10">
        <v>-0.81999999999999318</v>
      </c>
      <c r="AB10">
        <v>4.0000000000006253E-2</v>
      </c>
      <c r="AC10">
        <v>1.0999999999999943</v>
      </c>
      <c r="AD10">
        <v>2.6200000000000045</v>
      </c>
      <c r="AE10">
        <v>2.9400000000000119</v>
      </c>
      <c r="AF10">
        <v>1.4500000000000028</v>
      </c>
      <c r="AG10">
        <v>0</v>
      </c>
      <c r="AH10">
        <v>0</v>
      </c>
    </row>
    <row r="11" spans="1:34" x14ac:dyDescent="0.25">
      <c r="A11">
        <v>12</v>
      </c>
      <c r="B11" t="e">
        <f ca="1">(_xll.BDH(B$2&amp;$A11&amp;" ICPL curncy","PX_LAST",Pre_Date))+-1.33999999999999</f>
        <v>#VALUE!</v>
      </c>
      <c r="C11" t="e">
        <f ca="1">(_xll.BDH(C$2&amp;$A11&amp;" ICPL curncy","PX_LAST",Pre_Date))+-1.77</f>
        <v>#VALUE!</v>
      </c>
      <c r="D11" t="e">
        <f ca="1">(_xll.BDH(D$2&amp;$A11&amp;" ICPL curncy","PX_LAST",Pre_Date))+-1.95999999999999</f>
        <v>#VALUE!</v>
      </c>
      <c r="E11" t="e">
        <f ca="1">(_xll.BDH(E$2&amp;$A11&amp;" ICPL curncy","PX_LAST",Pre_Date))+-1.98999999999999</f>
        <v>#VALUE!</v>
      </c>
      <c r="F11" t="e">
        <f ca="1">(_xll.BDH(F$2&amp;$A11&amp;" ICPL curncy","PX_LAST",Pre_Date))+-1.63</f>
        <v>#VALUE!</v>
      </c>
      <c r="G11" t="e">
        <f ca="1">(_xll.BDH(G$2&amp;$A11&amp;" ICPL curncy","PX_LAST",Pre_Date))+-0.939999999999998</f>
        <v>#VALUE!</v>
      </c>
      <c r="H11" t="e">
        <f ca="1">(_xll.BDH(H$2&amp;$A11&amp;" ICPL curncy","PX_LAST",Pre_Date))+-0.019999999999996</f>
        <v>#VALUE!</v>
      </c>
      <c r="I11" t="e">
        <f ca="1">(_xll.BDH(I$2&amp;$A11&amp;" ICPL curncy","PX_LAST",Pre_Date))+1.22</f>
        <v>#VALUE!</v>
      </c>
      <c r="J11" t="e">
        <f ca="1">(_xll.BDH(J$2&amp;$A11&amp;" ICPL curncy","PX_LAST",Pre_Date))+1.45999999999999</f>
        <v>#VALUE!</v>
      </c>
      <c r="K11" t="e">
        <f ca="1">(_xll.BDH(K$2&amp;$A11&amp;" ICPL curncy","PX_LAST",Pre_Date))+0.340000000000003</f>
        <v>#VALUE!</v>
      </c>
      <c r="L11" t="e">
        <f ca="1">(_xll.BDH(L$2&amp;$A11&amp;" ICPL curncy","PX_LAST",Pre_Date))+0</f>
        <v>#VALUE!</v>
      </c>
      <c r="M11" t="e">
        <f ca="1">(_xll.BDH(M$2&amp;$A11&amp;" ICPL curncy","PX_LAST",Pre_Date))+0</f>
        <v>#VALUE!</v>
      </c>
      <c r="V11" s="11"/>
      <c r="W11">
        <v>-1.3399999999999892</v>
      </c>
      <c r="X11">
        <v>-1.769999999999996</v>
      </c>
      <c r="Y11">
        <v>-1.9599999999999937</v>
      </c>
      <c r="Z11">
        <v>-1.9899999999999949</v>
      </c>
      <c r="AA11">
        <v>-1.6299999999999955</v>
      </c>
      <c r="AB11">
        <v>-0.93999999999999773</v>
      </c>
      <c r="AC11">
        <v>-1.9999999999996021E-2</v>
      </c>
      <c r="AD11">
        <v>1.2199999999999989</v>
      </c>
      <c r="AE11">
        <v>1.4599999999999937</v>
      </c>
      <c r="AF11">
        <v>0.34000000000000341</v>
      </c>
      <c r="AG11">
        <v>0</v>
      </c>
      <c r="AH11">
        <v>0</v>
      </c>
    </row>
    <row r="12" spans="1:34" x14ac:dyDescent="0.25">
      <c r="A12">
        <v>15</v>
      </c>
      <c r="B12" t="e">
        <f ca="1">(_xll.BDH(B$2&amp;$A12&amp;" ICPL curncy","PX_LAST",Pre_Date))+-0.689999999999998</f>
        <v>#VALUE!</v>
      </c>
      <c r="C12" t="e">
        <f ca="1">(_xll.BDH(C$2&amp;$A12&amp;" ICPL curncy","PX_LAST",Pre_Date))+-1.14</f>
        <v>#VALUE!</v>
      </c>
      <c r="D12" t="e">
        <f ca="1">(_xll.BDH(D$2&amp;$A12&amp;" ICPL curncy","PX_LAST",Pre_Date))+-1.44</f>
        <v>#VALUE!</v>
      </c>
      <c r="E12" t="e">
        <f ca="1">(_xll.BDH(E$2&amp;$A12&amp;" ICPL curncy","PX_LAST",Pre_Date))+-1.58</f>
        <v>#VALUE!</v>
      </c>
      <c r="F12" t="e">
        <f ca="1">(_xll.BDH(F$2&amp;$A12&amp;" ICPL curncy","PX_LAST",Pre_Date))+-1.48</f>
        <v>#VALUE!</v>
      </c>
      <c r="G12" t="e">
        <f ca="1">(_xll.BDH(G$2&amp;$A12&amp;" ICPL curncy","PX_LAST",Pre_Date))+-0.909999999999997</f>
        <v>#VALUE!</v>
      </c>
      <c r="H12" t="e">
        <f ca="1">(_xll.BDH(H$2&amp;$A12&amp;" ICPL curncy","PX_LAST",Pre_Date))+-0.160000000000011</f>
        <v>#VALUE!</v>
      </c>
      <c r="I12" t="e">
        <f ca="1">(_xll.BDH(I$2&amp;$A12&amp;" ICPL curncy","PX_LAST",Pre_Date))+0.859999999999999</f>
        <v>#VALUE!</v>
      </c>
      <c r="J12" t="e">
        <f ca="1">(_xll.BDH(J$2&amp;$A12&amp;" ICPL curncy","PX_LAST",Pre_Date))+1.06</f>
        <v>#VALUE!</v>
      </c>
      <c r="K12" t="e">
        <f ca="1">(_xll.BDH(K$2&amp;$A12&amp;" ICPL curncy","PX_LAST",Pre_Date))+0.150000000000006</f>
        <v>#VALUE!</v>
      </c>
      <c r="L12" t="e">
        <f ca="1">(_xll.BDH(L$2&amp;$A12&amp;" ICPL curncy","PX_LAST",Pre_Date))+0</f>
        <v>#VALUE!</v>
      </c>
      <c r="M12" t="e">
        <f ca="1">(_xll.BDH(M$2&amp;$A12&amp;" ICPL curncy","PX_LAST",Pre_Date))+0</f>
        <v>#VALUE!</v>
      </c>
      <c r="V12" s="11"/>
      <c r="W12">
        <v>-0.68999999999999773</v>
      </c>
      <c r="X12">
        <v>-1.1400000000000006</v>
      </c>
      <c r="Y12">
        <v>-1.4399999999999977</v>
      </c>
      <c r="Z12">
        <v>-1.5799999999999983</v>
      </c>
      <c r="AA12">
        <v>-1.480000000000004</v>
      </c>
      <c r="AB12">
        <v>-0.90999999999999659</v>
      </c>
      <c r="AC12">
        <v>-0.1600000000000108</v>
      </c>
      <c r="AD12">
        <v>0.85999999999999943</v>
      </c>
      <c r="AE12">
        <v>1.0600000000000023</v>
      </c>
      <c r="AF12">
        <v>0.15000000000000568</v>
      </c>
      <c r="AG12">
        <v>0</v>
      </c>
      <c r="AH12">
        <v>0</v>
      </c>
    </row>
    <row r="13" spans="1:34" x14ac:dyDescent="0.25">
      <c r="A13">
        <v>20</v>
      </c>
      <c r="B13" t="e">
        <f ca="1">(_xll.BDH(B$2&amp;$A13&amp;" ICPL curncy","PX_LAST",Pre_Date))+-1.03999999999999</f>
        <v>#VALUE!</v>
      </c>
      <c r="C13" t="e">
        <f ca="1">(_xll.BDH(C$2&amp;$A13&amp;" ICPL curncy","PX_LAST",Pre_Date))+-1.44</f>
        <v>#VALUE!</v>
      </c>
      <c r="D13" t="e">
        <f ca="1">(_xll.BDH(D$2&amp;$A13&amp;" ICPL curncy","PX_LAST",Pre_Date))+-1.8</f>
        <v>#VALUE!</v>
      </c>
      <c r="E13" t="e">
        <f ca="1">(_xll.BDH(E$2&amp;$A13&amp;" ICPL curncy","PX_LAST",Pre_Date))+-1.92</f>
        <v>#VALUE!</v>
      </c>
      <c r="F13" t="e">
        <f ca="1">(_xll.BDH(F$2&amp;$A13&amp;" ICPL curncy","PX_LAST",Pre_Date))+-1.78</f>
        <v>#VALUE!</v>
      </c>
      <c r="G13" t="e">
        <f ca="1">(_xll.BDH(G$2&amp;$A13&amp;" ICPL curncy","PX_LAST",Pre_Date))+-1.19</f>
        <v>#VALUE!</v>
      </c>
      <c r="H13" t="e">
        <f ca="1">(_xll.BDH(H$2&amp;$A13&amp;" ICPL curncy","PX_LAST",Pre_Date))+-0.450000000000003</f>
        <v>#VALUE!</v>
      </c>
      <c r="I13" t="e">
        <f ca="1">(_xll.BDH(I$2&amp;$A13&amp;" ICPL curncy","PX_LAST",Pre_Date))+0.650000000000006</f>
        <v>#VALUE!</v>
      </c>
      <c r="J13" t="e">
        <f ca="1">(_xll.BDH(J$2&amp;$A13&amp;" ICPL curncy","PX_LAST",Pre_Date))+1.50999999999999</f>
        <v>#VALUE!</v>
      </c>
      <c r="K13" t="e">
        <f ca="1">(_xll.BDH(K$2&amp;$A13&amp;" ICPL curncy","PX_LAST",Pre_Date))+1.34999999999999</f>
        <v>#VALUE!</v>
      </c>
      <c r="L13" t="e">
        <f ca="1">(_xll.BDH(L$2&amp;$A13&amp;" ICPL curncy","PX_LAST",Pre_Date))+0</f>
        <v>#VALUE!</v>
      </c>
      <c r="M13" t="e">
        <f ca="1">(_xll.BDH(M$2&amp;$A13&amp;" ICPL curncy","PX_LAST",Pre_Date))+0</f>
        <v>#VALUE!</v>
      </c>
      <c r="V13" s="11"/>
      <c r="W13">
        <v>-1.039999999999992</v>
      </c>
      <c r="X13">
        <v>-1.4399999999999977</v>
      </c>
      <c r="Y13">
        <v>-1.7999999999999972</v>
      </c>
      <c r="Z13">
        <v>-1.9200000000000017</v>
      </c>
      <c r="AA13">
        <v>-1.7800000000000011</v>
      </c>
      <c r="AB13">
        <v>-1.1899999999999977</v>
      </c>
      <c r="AC13">
        <v>-0.45000000000000284</v>
      </c>
      <c r="AD13">
        <v>0.65000000000000568</v>
      </c>
      <c r="AE13">
        <v>1.5099999999999909</v>
      </c>
      <c r="AF13">
        <v>1.3499999999999943</v>
      </c>
      <c r="AG13">
        <v>0</v>
      </c>
      <c r="AH13">
        <v>0</v>
      </c>
    </row>
    <row r="21" spans="1:33" x14ac:dyDescent="0.25">
      <c r="A21" t="s">
        <v>629</v>
      </c>
      <c r="B21" t="s">
        <v>613</v>
      </c>
      <c r="V21" s="11"/>
    </row>
    <row r="22" spans="1:33" x14ac:dyDescent="0.25">
      <c r="A22" s="2"/>
      <c r="B22" t="s">
        <v>630</v>
      </c>
      <c r="C22" t="s">
        <v>631</v>
      </c>
      <c r="D22" t="s">
        <v>632</v>
      </c>
      <c r="E22" t="s">
        <v>633</v>
      </c>
      <c r="F22" t="s">
        <v>634</v>
      </c>
      <c r="G22" t="s">
        <v>635</v>
      </c>
      <c r="H22" t="s">
        <v>636</v>
      </c>
      <c r="I22" t="s">
        <v>637</v>
      </c>
      <c r="J22" t="s">
        <v>638</v>
      </c>
      <c r="K22" t="s">
        <v>639</v>
      </c>
      <c r="L22" t="s">
        <v>640</v>
      </c>
      <c r="V22" s="11"/>
    </row>
    <row r="23" spans="1:33" x14ac:dyDescent="0.25">
      <c r="A23" t="s">
        <v>627</v>
      </c>
      <c r="B23" s="40">
        <v>-5.0000000000000001E-3</v>
      </c>
      <c r="C23" s="40">
        <v>-2.5000000000000001E-3</v>
      </c>
      <c r="D23" s="40">
        <v>-1.2999999999999999E-3</v>
      </c>
      <c r="E23" s="40">
        <v>0</v>
      </c>
      <c r="F23" s="40">
        <v>2.5000000000000001E-3</v>
      </c>
      <c r="G23" s="40">
        <v>5.0000000000000001E-3</v>
      </c>
      <c r="H23" s="40">
        <v>0.01</v>
      </c>
      <c r="I23" s="40">
        <v>1.4999999999999999E-2</v>
      </c>
      <c r="J23" s="40">
        <v>0.02</v>
      </c>
      <c r="K23" s="40">
        <v>0.03</v>
      </c>
      <c r="L23" s="40">
        <v>0.05</v>
      </c>
      <c r="M23" t="s">
        <v>628</v>
      </c>
      <c r="N23" t="s">
        <v>628</v>
      </c>
      <c r="O23" t="s">
        <v>628</v>
      </c>
      <c r="P23" t="s">
        <v>628</v>
      </c>
      <c r="Q23" t="s">
        <v>628</v>
      </c>
      <c r="R23" t="s">
        <v>628</v>
      </c>
      <c r="S23" t="s">
        <v>628</v>
      </c>
      <c r="T23" t="s">
        <v>628</v>
      </c>
      <c r="U23" t="s">
        <v>628</v>
      </c>
      <c r="V23" s="11" t="s">
        <v>628</v>
      </c>
    </row>
    <row r="24" spans="1:33" x14ac:dyDescent="0.25">
      <c r="A24">
        <v>1</v>
      </c>
      <c r="B24" t="e">
        <f ca="1">(_xll.BDH(B$22&amp;"0"&amp;$A24&amp;" ICPL Curncy","PX_LAST",Pre_Date))+1.15</f>
        <v>#VALUE!</v>
      </c>
      <c r="C24" t="e">
        <f ca="1">(_xll.BDH(C$22&amp;"0"&amp;$A24&amp;" ICPL Curncy","PX_LAST",Pre_Date))+0.860000000000001</f>
        <v>#VALUE!</v>
      </c>
      <c r="D24" t="e">
        <f ca="1">(_xll.BDH(D$22&amp;"0"&amp;$A24&amp;" ICPL Curncy","PX_LAST",Pre_Date))+0.370000000000001</f>
        <v>#VALUE!</v>
      </c>
      <c r="E24" t="e">
        <f ca="1">(_xll.BDH(E$22&amp;$A24&amp;" ICPL Curncy","PX_LAST",Pre_Date))+10</f>
        <v>#VALUE!</v>
      </c>
      <c r="F24" t="e">
        <f ca="1">(_xll.BDH(F$22&amp;$A24&amp;" ICPL Curncy","PX_LAST",Pre_Date))+-0.199999999999999</f>
        <v>#VALUE!</v>
      </c>
      <c r="G24" t="e">
        <f ca="1">(_xll.BDH(G$22&amp;$A24&amp;" ICPL Curncy","PX_LAST",Pre_Date))+-0.219999999999999</f>
        <v>#VALUE!</v>
      </c>
      <c r="H24" t="e">
        <f ca="1">(_xll.BDH(H$22&amp;$A24&amp;" ICPL Curncy","PX_LAST",Pre_Date))+-0.0999999999999943</f>
        <v>#VALUE!</v>
      </c>
      <c r="I24" t="e">
        <f ca="1">(_xll.BDH(I$22&amp;$A24&amp;" ICPL Curncy","PX_LAST",Pre_Date))+0.0200000000000031</f>
        <v>#VALUE!</v>
      </c>
      <c r="J24" t="e">
        <f ca="1">(_xll.BDH(J$22&amp;$A24&amp;" ICPL Curncy","PX_LAST",Pre_Date))+-4.47999999999999</f>
        <v>#VALUE!</v>
      </c>
      <c r="K24" t="e">
        <f ca="1">(_xll.BDH(K$22&amp;$A24&amp;" ICPL Curncy","PX_LAST",Pre_Date))+-14.53</f>
        <v>#VALUE!</v>
      </c>
      <c r="L24" t="e">
        <f ca="1">(_xll.BDH(L$22&amp;$A24&amp;" ICPL Curncy","PX_LAST",Pre_Date))+-38.4</f>
        <v>#VALUE!</v>
      </c>
      <c r="V24" s="11"/>
      <c r="W24">
        <v>1.1499999999999986</v>
      </c>
      <c r="X24">
        <v>0.86000000000000121</v>
      </c>
      <c r="Y24">
        <v>0.37000000000000099</v>
      </c>
      <c r="Z24">
        <v>-0.10999999999999943</v>
      </c>
      <c r="AA24">
        <v>-0.19999999999999929</v>
      </c>
      <c r="AB24">
        <v>-0.21999999999999886</v>
      </c>
      <c r="AC24">
        <v>-9.9999999999994316E-2</v>
      </c>
      <c r="AD24">
        <v>2.0000000000003126E-2</v>
      </c>
      <c r="AE24">
        <v>-4.4799999999999898</v>
      </c>
      <c r="AF24">
        <v>-14.530000000000001</v>
      </c>
      <c r="AG24">
        <v>-38.400000000000006</v>
      </c>
    </row>
    <row r="25" spans="1:33" x14ac:dyDescent="0.25">
      <c r="A25">
        <v>2</v>
      </c>
      <c r="B25" t="e">
        <f ca="1">(_xll.BDH(B$22&amp;"0"&amp;$A25&amp;" ICPL Curncy","PX_LAST",Pre_Date))+1.07</f>
        <v>#VALUE!</v>
      </c>
      <c r="C25" t="e">
        <f ca="1">(_xll.BDH(C$22&amp;"0"&amp;$A25&amp;" ICPL Curncy","PX_LAST",Pre_Date))+0.579999999999998</f>
        <v>#VALUE!</v>
      </c>
      <c r="D25" t="e">
        <f ca="1">(_xll.BDH(D$22&amp;"0"&amp;$A25&amp;" ICPL Curncy","PX_LAST",Pre_Date))+0.350000000000001</f>
        <v>#VALUE!</v>
      </c>
      <c r="E25" t="e">
        <f ca="1">(_xll.BDH(E$22&amp;$A25&amp;" ICPL Curncy","PX_LAST",Pre_Date))+4</f>
        <v>#VALUE!</v>
      </c>
      <c r="F25" t="e">
        <f ca="1">(_xll.BDH(F$22&amp;$A25&amp;" ICPL Curncy","PX_LAST",Pre_Date))+0.600000000000001</f>
        <v>#VALUE!</v>
      </c>
      <c r="G25" t="e">
        <f ca="1">(_xll.BDH(G$22&amp;$A25&amp;" ICPL Curncy","PX_LAST",Pre_Date))+1.2</f>
        <v>#VALUE!</v>
      </c>
      <c r="H25" t="e">
        <f ca="1">(_xll.BDH(H$22&amp;$A25&amp;" ICPL Curncy","PX_LAST",Pre_Date))+2.54</f>
        <v>#VALUE!</v>
      </c>
      <c r="I25" t="e">
        <f ca="1">(_xll.BDH(I$22&amp;$A25&amp;" ICPL Curncy","PX_LAST",Pre_Date))+4.01</f>
        <v>#VALUE!</v>
      </c>
      <c r="J25" t="e">
        <f ca="1">(_xll.BDH(J$22&amp;$A25&amp;" ICPL Curncy","PX_LAST",Pre_Date))+5.34</f>
        <v>#VALUE!</v>
      </c>
      <c r="K25" t="e">
        <f ca="1">(_xll.BDH(K$22&amp;$A25&amp;" ICPL Curncy","PX_LAST",Pre_Date))+6.58</f>
        <v>#VALUE!</v>
      </c>
      <c r="L25" t="e">
        <f ca="1">(_xll.BDH(L$22&amp;$A25&amp;" ICPL Curncy","PX_LAST",Pre_Date))+-2.42999999999999</f>
        <v>#VALUE!</v>
      </c>
      <c r="V25" s="11"/>
      <c r="W25">
        <v>1.0700000000000003</v>
      </c>
      <c r="X25">
        <v>0.57999999999999829</v>
      </c>
      <c r="Y25">
        <v>0.35000000000000142</v>
      </c>
      <c r="Z25">
        <v>0.25999999999999801</v>
      </c>
      <c r="AA25">
        <v>0.60000000000000142</v>
      </c>
      <c r="AB25">
        <v>1.2000000000000028</v>
      </c>
      <c r="AC25">
        <v>2.5399999999999991</v>
      </c>
      <c r="AD25">
        <v>4.009999999999998</v>
      </c>
      <c r="AE25">
        <v>5.3399999999999963</v>
      </c>
      <c r="AF25">
        <v>6.5799999999999983</v>
      </c>
      <c r="AG25">
        <v>-2.4299999999999926</v>
      </c>
    </row>
    <row r="26" spans="1:33" x14ac:dyDescent="0.25">
      <c r="A26">
        <v>3</v>
      </c>
      <c r="B26" t="e">
        <f ca="1">(_xll.BDH(B$22&amp;"0"&amp;$A26&amp;" ICPL Curncy","PX_LAST",Pre_Date))+-0.32</f>
        <v>#VALUE!</v>
      </c>
      <c r="C26" t="e">
        <f ca="1">(_xll.BDH(C$22&amp;"0"&amp;$A26&amp;" ICPL Curncy","PX_LAST",Pre_Date))+-0.43</f>
        <v>#VALUE!</v>
      </c>
      <c r="D26" t="e">
        <f ca="1">(_xll.BDH(D$22&amp;"0"&amp;$A26&amp;" ICPL Curncy","PX_LAST",Pre_Date))+-0.52</f>
        <v>#VALUE!</v>
      </c>
      <c r="E26" t="str">
        <f ca="1">(_xll.BDH(E$22&amp;$A26&amp;" ICPL Curncy","PX_LAST",Pre_Date))</f>
        <v>#N/A Connection</v>
      </c>
      <c r="F26" t="e">
        <f ca="1">(_xll.BDH(F$22&amp;$A26&amp;" ICPL Curncy","PX_LAST",Pre_Date))+-0.0700000000000003</f>
        <v>#VALUE!</v>
      </c>
      <c r="G26" t="e">
        <f ca="1">(_xll.BDH(G$22&amp;$A26&amp;" ICPL Curncy","PX_LAST",Pre_Date))+0.590000000000003</f>
        <v>#VALUE!</v>
      </c>
      <c r="H26" t="e">
        <f ca="1">(_xll.BDH(H$22&amp;$A26&amp;" ICPL Curncy","PX_LAST",Pre_Date))+2.18</f>
        <v>#VALUE!</v>
      </c>
      <c r="I26" t="e">
        <f ca="1">(_xll.BDH(I$22&amp;$A26&amp;" ICPL Curncy","PX_LAST",Pre_Date))+3.8</f>
        <v>#VALUE!</v>
      </c>
      <c r="J26" t="e">
        <f ca="1">(_xll.BDH(J$22&amp;$A26&amp;" ICPL Curncy","PX_LAST",Pre_Date))+5.5</f>
        <v>#VALUE!</v>
      </c>
      <c r="K26" t="e">
        <f ca="1">(_xll.BDH(K$22&amp;$A26&amp;" ICPL Curncy","PX_LAST",Pre_Date))+8.52000000000001</f>
        <v>#VALUE!</v>
      </c>
      <c r="L26" t="e">
        <f ca="1">(_xll.BDH(L$22&amp;$A26&amp;" ICPL Curncy","PX_LAST",Pre_Date))+9.23</f>
        <v>#VALUE!</v>
      </c>
      <c r="V26" s="11"/>
      <c r="W26">
        <v>-0.32000000000000028</v>
      </c>
      <c r="X26">
        <v>-0.42999999999999972</v>
      </c>
      <c r="Y26">
        <v>-0.51999999999999957</v>
      </c>
      <c r="Z26">
        <v>-0.60000000000000142</v>
      </c>
      <c r="AA26">
        <v>-7.0000000000000284E-2</v>
      </c>
      <c r="AB26">
        <v>0.59000000000000341</v>
      </c>
      <c r="AC26">
        <v>2.1799999999999997</v>
      </c>
      <c r="AD26">
        <v>3.7999999999999972</v>
      </c>
      <c r="AE26">
        <v>5.5</v>
      </c>
      <c r="AF26">
        <v>8.5200000000000102</v>
      </c>
      <c r="AG26">
        <v>9.230000000000004</v>
      </c>
    </row>
    <row r="27" spans="1:33" x14ac:dyDescent="0.25">
      <c r="A27">
        <v>4</v>
      </c>
      <c r="B27" t="e">
        <f ca="1">(_xll.BDH(B$22&amp;"0"&amp;$A27&amp;" ICPL Curncy","PX_LAST",Pre_Date))+-0.66</f>
        <v>#VALUE!</v>
      </c>
      <c r="C27" t="e">
        <f ca="1">(_xll.BDH(C$22&amp;"0"&amp;$A27&amp;" ICPL Curncy","PX_LAST",Pre_Date))+-0.440000000000001</f>
        <v>#VALUE!</v>
      </c>
      <c r="D27" t="e">
        <f ca="1">(_xll.BDH(D$22&amp;"0"&amp;$A27&amp;" ICPL Curncy","PX_LAST",Pre_Date))+-0.420000000000002</f>
        <v>#VALUE!</v>
      </c>
      <c r="E27" t="e">
        <f ca="1">(_xll.BDH(E$22&amp;$A27&amp;" ICPL Curncy","PX_LAST",Pre_Date))+-0.419999999999998</f>
        <v>#VALUE!</v>
      </c>
      <c r="F27" t="e">
        <f ca="1">(_xll.BDH(F$22&amp;$A27&amp;" ICPL Curncy","PX_LAST",Pre_Date))+0.0200000000000031</f>
        <v>#VALUE!</v>
      </c>
      <c r="G27" t="e">
        <f ca="1">(_xll.BDH(G$22&amp;$A27&amp;" ICPL Curncy","PX_LAST",Pre_Date))+0.600000000000001</f>
        <v>#VALUE!</v>
      </c>
      <c r="H27" t="e">
        <f ca="1">(_xll.BDH(H$22&amp;$A27&amp;" ICPL Curncy","PX_LAST",Pre_Date))+1.74</f>
        <v>#VALUE!</v>
      </c>
      <c r="I27" t="e">
        <f ca="1">(_xll.BDH(I$22&amp;$A27&amp;" ICPL Curncy","PX_LAST",Pre_Date))+2.8</f>
        <v>#VALUE!</v>
      </c>
      <c r="J27" t="e">
        <f ca="1">(_xll.BDH(J$22&amp;$A27&amp;" ICPL Curncy","PX_LAST",Pre_Date))+3.75</f>
        <v>#VALUE!</v>
      </c>
      <c r="K27" t="e">
        <f ca="1">(_xll.BDH(K$22&amp;$A27&amp;" ICPL Curncy","PX_LAST",Pre_Date))+5.43000000000001</f>
        <v>#VALUE!</v>
      </c>
      <c r="L27" t="e">
        <f ca="1">(_xll.BDH(L$22&amp;$A27&amp;" ICPL Curncy","PX_LAST",Pre_Date))+8.45999999999999</f>
        <v>#VALUE!</v>
      </c>
      <c r="V27" s="11"/>
      <c r="W27">
        <v>-0.66000000000000014</v>
      </c>
      <c r="X27">
        <v>-0.44000000000000128</v>
      </c>
      <c r="Y27">
        <v>-0.42000000000000171</v>
      </c>
      <c r="Z27">
        <v>-0.41999999999999815</v>
      </c>
      <c r="AA27">
        <v>2.0000000000003126E-2</v>
      </c>
      <c r="AB27">
        <v>0.60000000000000142</v>
      </c>
      <c r="AC27">
        <v>1.740000000000002</v>
      </c>
      <c r="AD27">
        <v>2.7999999999999972</v>
      </c>
      <c r="AE27">
        <v>3.75</v>
      </c>
      <c r="AF27">
        <v>5.4300000000000068</v>
      </c>
      <c r="AG27">
        <v>8.4599999999999937</v>
      </c>
    </row>
    <row r="28" spans="1:33" x14ac:dyDescent="0.25">
      <c r="A28">
        <v>5</v>
      </c>
      <c r="B28" t="e">
        <f ca="1">(_xll.BDH(B$22&amp;"0"&amp;$A28&amp;" ICPL Curncy","PX_LAST",Pre_Date))+-0.649999999999999</f>
        <v>#VALUE!</v>
      </c>
      <c r="C28" t="e">
        <f ca="1">(_xll.BDH(C$22&amp;"0"&amp;$A28&amp;" ICPL Curncy","PX_LAST",Pre_Date))+-0.340000000000003</f>
        <v>#VALUE!</v>
      </c>
      <c r="D28" t="e">
        <f ca="1">(_xll.BDH(D$22&amp;"0"&amp;$A28&amp;" ICPL Curncy","PX_LAST",Pre_Date))+-0.200000000000003</f>
        <v>#VALUE!</v>
      </c>
      <c r="E28" t="e">
        <f ca="1">(_xll.BDH(E$22&amp;$A28&amp;" ICPL Curncy","PX_LAST",Pre_Date))+-0.170000000000002</f>
        <v>#VALUE!</v>
      </c>
      <c r="F28" t="e">
        <f ca="1">(_xll.BDH(F$22&amp;$A28&amp;" ICPL Curncy","PX_LAST",Pre_Date))+0.369999999999997</f>
        <v>#VALUE!</v>
      </c>
      <c r="G28" t="e">
        <f ca="1">(_xll.BDH(G$22&amp;$A28&amp;" ICPL Curncy","PX_LAST",Pre_Date))+0.839999999999996</f>
        <v>#VALUE!</v>
      </c>
      <c r="H28" t="e">
        <f ca="1">(_xll.BDH(H$22&amp;$A28&amp;" ICPL Curncy","PX_LAST",Pre_Date))+1.66</f>
        <v>#VALUE!</v>
      </c>
      <c r="I28" t="e">
        <f ca="1">(_xll.BDH(I$22&amp;$A28&amp;" ICPL Curncy","PX_LAST",Pre_Date))+2.18</f>
        <v>#VALUE!</v>
      </c>
      <c r="J28" t="e">
        <f ca="1">(_xll.BDH(J$22&amp;$A28&amp;" ICPL Curncy","PX_LAST",Pre_Date))+2.5</f>
        <v>#VALUE!</v>
      </c>
      <c r="K28" t="e">
        <f ca="1">(_xll.BDH(K$22&amp;$A28&amp;" ICPL Curncy","PX_LAST",Pre_Date))+2.78</f>
        <v>#VALUE!</v>
      </c>
      <c r="L28" t="e">
        <f ca="1">(_xll.BDH(L$22&amp;$A28&amp;" ICPL Curncy","PX_LAST",Pre_Date))+2.62</f>
        <v>#VALUE!</v>
      </c>
      <c r="V28" s="11"/>
      <c r="W28">
        <v>-0.64999999999999858</v>
      </c>
      <c r="X28">
        <v>-0.34000000000000341</v>
      </c>
      <c r="Y28">
        <v>-0.20000000000000284</v>
      </c>
      <c r="Z28">
        <v>-0.17000000000000171</v>
      </c>
      <c r="AA28">
        <v>0.36999999999999744</v>
      </c>
      <c r="AB28">
        <v>0.83999999999999631</v>
      </c>
      <c r="AC28">
        <v>1.6600000000000037</v>
      </c>
      <c r="AD28">
        <v>2.1799999999999997</v>
      </c>
      <c r="AE28">
        <v>2.5</v>
      </c>
      <c r="AF28">
        <v>2.7800000000000011</v>
      </c>
      <c r="AG28">
        <v>2.6200000000000045</v>
      </c>
    </row>
    <row r="29" spans="1:33" x14ac:dyDescent="0.25">
      <c r="A29">
        <v>7</v>
      </c>
      <c r="B29" t="e">
        <f ca="1">(_xll.BDH(B$22&amp;"0"&amp;$A29&amp;" ICPL Curncy","PX_LAST",Pre_Date))+-0.600000000000001</f>
        <v>#VALUE!</v>
      </c>
      <c r="C29" t="e">
        <f ca="1">(_xll.BDH(C$22&amp;"0"&amp;$A29&amp;" ICPL Curncy","PX_LAST",Pre_Date))+-0.25</f>
        <v>#VALUE!</v>
      </c>
      <c r="D29" t="e">
        <f ca="1">(_xll.BDH(D$22&amp;"0"&amp;$A29&amp;" ICPL Curncy","PX_LAST",Pre_Date))+0.5</f>
        <v>#VALUE!</v>
      </c>
      <c r="E29" t="str">
        <f ca="1">(_xll.BDH(E$22&amp;$A29&amp;" ICPL Curncy","PX_LAST",Pre_Date))</f>
        <v>#N/A Connection</v>
      </c>
      <c r="F29" t="e">
        <f ca="1">(_xll.BDH(F$22&amp;$A29&amp;" ICPL Curncy","PX_LAST",Pre_Date))+0.32</f>
        <v>#VALUE!</v>
      </c>
      <c r="G29" t="e">
        <f ca="1">(_xll.BDH(G$22&amp;$A29&amp;" ICPL Curncy","PX_LAST",Pre_Date))+0.719999999999999</f>
        <v>#VALUE!</v>
      </c>
      <c r="H29" t="e">
        <f ca="1">(_xll.BDH(H$22&amp;$A29&amp;" ICPL Curncy","PX_LAST",Pre_Date))+1.11</f>
        <v>#VALUE!</v>
      </c>
      <c r="I29" t="e">
        <f ca="1">(_xll.BDH(I$22&amp;$A29&amp;" ICPL Curncy","PX_LAST",Pre_Date))+1.26</f>
        <v>#VALUE!</v>
      </c>
      <c r="J29" t="e">
        <f ca="1">(_xll.BDH(J$22&amp;$A29&amp;" ICPL Curncy","PX_LAST",Pre_Date))+1.23999999999999</f>
        <v>#VALUE!</v>
      </c>
      <c r="K29" t="e">
        <f ca="1">(_xll.BDH(K$22&amp;$A29&amp;" ICPL Curncy","PX_LAST",Pre_Date))+1.10000000000001</f>
        <v>#VALUE!</v>
      </c>
      <c r="L29" t="e">
        <f ca="1">(_xll.BDH(L$22&amp;$A29&amp;" ICPL Curncy","PX_LAST",Pre_Date))+0.640000000000001</f>
        <v>#VALUE!</v>
      </c>
      <c r="V29" s="11"/>
      <c r="W29">
        <v>-0.60000000000000142</v>
      </c>
      <c r="X29">
        <v>-0.25</v>
      </c>
      <c r="Y29">
        <v>0.5</v>
      </c>
      <c r="Z29">
        <v>-7.0000000000000284E-2</v>
      </c>
      <c r="AA29">
        <v>0.32000000000000028</v>
      </c>
      <c r="AB29">
        <v>0.71999999999999886</v>
      </c>
      <c r="AC29">
        <v>1.1099999999999994</v>
      </c>
      <c r="AD29">
        <v>1.259999999999998</v>
      </c>
      <c r="AE29">
        <v>1.2399999999999949</v>
      </c>
      <c r="AF29">
        <v>1.1000000000000085</v>
      </c>
      <c r="AG29">
        <v>0.64000000000000057</v>
      </c>
    </row>
    <row r="30" spans="1:33" x14ac:dyDescent="0.25">
      <c r="A30">
        <v>10</v>
      </c>
      <c r="B30" t="e">
        <f ca="1">(_xll.BDH(B$22&amp;$A30&amp;" ICPL Curncy","PX_LAST",Pre_Date))+-0.530000000000001</f>
        <v>#VALUE!</v>
      </c>
      <c r="C30" t="e">
        <f ca="1">(_xll.BDH(C$22&amp;$A30&amp;" ICPL Curncy","PX_LAST",Pre_Date))+-0.0200000000000031</f>
        <v>#VALUE!</v>
      </c>
      <c r="D30" t="e">
        <f ca="1">(_xll.BDH(D$22&amp;$A30&amp;" ICPL Curncy","PX_LAST",Pre_Date))+0.109999999999999</f>
        <v>#VALUE!</v>
      </c>
      <c r="E30" t="str">
        <f ca="1">(_xll.BDH(E$22&amp;$A30&amp;" ICPL Curncy","PX_LAST",Pre_Date))</f>
        <v>#N/A Connection</v>
      </c>
      <c r="F30" t="e">
        <f ca="1">(_xll.BDH(F$22&amp;$A30&amp;" ICPL Curncy","PX_LAST",Pre_Date))+0.619999999999997</f>
        <v>#VALUE!</v>
      </c>
      <c r="G30" t="e">
        <f ca="1">(_xll.BDH(G$22&amp;$A30&amp;" ICPL Curncy","PX_LAST",Pre_Date))+0.950000000000003</f>
        <v>#VALUE!</v>
      </c>
      <c r="H30" t="e">
        <f ca="1">(_xll.BDH(H$22&amp;$A30&amp;" ICPL Curncy","PX_LAST",Pre_Date))+1.22</f>
        <v>#VALUE!</v>
      </c>
      <c r="I30" t="e">
        <f ca="1">(_xll.BDH(I$22&amp;$A30&amp;" ICPL Curncy","PX_LAST",Pre_Date))+1.26000000000001</f>
        <v>#VALUE!</v>
      </c>
      <c r="J30" t="e">
        <f ca="1">(_xll.BDH(J$22&amp;$A30&amp;" ICPL Curncy","PX_LAST",Pre_Date))+1.11</f>
        <v>#VALUE!</v>
      </c>
      <c r="K30" t="e">
        <f ca="1">(_xll.BDH(K$22&amp;$A30&amp;" ICPL Curncy","PX_LAST",Pre_Date))+0.239999999999995</f>
        <v>#VALUE!</v>
      </c>
      <c r="L30" t="e">
        <f ca="1">(_xll.BDH(L$22&amp;$A30&amp;" ICPL Curncy","PX_LAST",Pre_Date))+-2.00999999999999</f>
        <v>#VALUE!</v>
      </c>
      <c r="V30" s="11"/>
      <c r="W30">
        <v>-0.53000000000000114</v>
      </c>
      <c r="X30">
        <v>-2.0000000000003126E-2</v>
      </c>
      <c r="Y30">
        <v>0.10999999999999943</v>
      </c>
      <c r="Z30">
        <v>0.24000000000000199</v>
      </c>
      <c r="AA30">
        <v>0.61999999999999744</v>
      </c>
      <c r="AB30">
        <v>0.95000000000000284</v>
      </c>
      <c r="AC30">
        <v>1.2199999999999989</v>
      </c>
      <c r="AD30">
        <v>1.2600000000000051</v>
      </c>
      <c r="AE30">
        <v>1.1099999999999994</v>
      </c>
      <c r="AF30">
        <v>0.23999999999999488</v>
      </c>
      <c r="AG30">
        <v>-2.0099999999999909</v>
      </c>
    </row>
    <row r="31" spans="1:33" x14ac:dyDescent="0.25">
      <c r="A31">
        <v>12</v>
      </c>
      <c r="B31" t="e">
        <f ca="1">(_xll.BDH(B$22&amp;$A31&amp;" ICPL Curncy","PX_LAST",Pre_Date))+-0.469999999999999</f>
        <v>#VALUE!</v>
      </c>
      <c r="C31" t="e">
        <f ca="1">(_xll.BDH(C$22&amp;$A31&amp;" ICPL Curncy","PX_LAST",Pre_Date))+-0.229999999999997</f>
        <v>#VALUE!</v>
      </c>
      <c r="D31" t="e">
        <f ca="1">(_xll.BDH(D$22&amp;$A31&amp;" ICPL Curncy","PX_LAST",Pre_Date))+-0.109999999999999</f>
        <v>#VALUE!</v>
      </c>
      <c r="E31" t="e">
        <f ca="1">(_xll.BDH(E$22&amp;$A31&amp;" ICPL Curncy","PX_LAST",Pre_Date))+0.0200000000000031</f>
        <v>#VALUE!</v>
      </c>
      <c r="F31" t="e">
        <f ca="1">(_xll.BDH(F$22&amp;$A31&amp;" ICPL Curncy","PX_LAST",Pre_Date))+0.210000000000001</f>
        <v>#VALUE!</v>
      </c>
      <c r="G31" t="e">
        <f ca="1">(_xll.BDH(G$22&amp;$A31&amp;" ICPL Curncy","PX_LAST",Pre_Date))+0.300000000000004</f>
        <v>#VALUE!</v>
      </c>
      <c r="H31" t="e">
        <f ca="1">(_xll.BDH(H$22&amp;$A31&amp;" ICPL Curncy","PX_LAST",Pre_Date))+0.329999999999998</f>
        <v>#VALUE!</v>
      </c>
      <c r="I31" t="e">
        <f ca="1">(_xll.BDH(I$22&amp;$A31&amp;" ICPL Curncy","PX_LAST",Pre_Date))+0.149999999999999</f>
        <v>#VALUE!</v>
      </c>
      <c r="J31" t="e">
        <f ca="1">(_xll.BDH(J$22&amp;$A31&amp;" ICPL Curncy","PX_LAST",Pre_Date))+-0.140000000000001</f>
        <v>#VALUE!</v>
      </c>
      <c r="K31" t="e">
        <f ca="1">(_xll.BDH(K$22&amp;$A31&amp;" ICPL Curncy","PX_LAST",Pre_Date))+-0.679999999999993</f>
        <v>#VALUE!</v>
      </c>
      <c r="L31" t="e">
        <f ca="1">(_xll.BDH(L$22&amp;$A31&amp;" ICPL Curncy","PX_LAST",Pre_Date))+-0.879999999999995</f>
        <v>#VALUE!</v>
      </c>
      <c r="V31" s="11"/>
      <c r="W31">
        <v>-0.46999999999999886</v>
      </c>
      <c r="X31">
        <v>-0.22999999999999687</v>
      </c>
      <c r="Y31">
        <v>-0.10999999999999943</v>
      </c>
      <c r="Z31">
        <v>2.0000000000003126E-2</v>
      </c>
      <c r="AA31">
        <v>0.21000000000000085</v>
      </c>
      <c r="AB31">
        <v>0.30000000000000426</v>
      </c>
      <c r="AC31">
        <v>0.32999999999999829</v>
      </c>
      <c r="AD31">
        <v>0.14999999999999858</v>
      </c>
      <c r="AE31">
        <v>-0.14000000000000057</v>
      </c>
      <c r="AF31">
        <v>-0.67999999999999261</v>
      </c>
      <c r="AG31">
        <v>-0.87999999999999545</v>
      </c>
    </row>
    <row r="32" spans="1:33" x14ac:dyDescent="0.25">
      <c r="A32">
        <v>15</v>
      </c>
      <c r="B32" t="e">
        <f ca="1">(_xll.BDH(B$22&amp;$A32&amp;" ICPL Curncy","PX_LAST",Pre_Date))+-0.399999999999999</f>
        <v>#VALUE!</v>
      </c>
      <c r="C32" t="e">
        <f ca="1">(_xll.BDH(C$22&amp;$A32&amp;" ICPL Curncy","PX_LAST",Pre_Date))+-0.0300000000000011</f>
        <v>#VALUE!</v>
      </c>
      <c r="D32" t="e">
        <f ca="1">(_xll.BDH(D$22&amp;$A32&amp;" ICPL Curncy","PX_LAST",Pre_Date))+0.0799999999999983</f>
        <v>#VALUE!</v>
      </c>
      <c r="E32" t="e">
        <f ca="1">(_xll.BDH(E$22&amp;$A32&amp;" ICPL Curncy","PX_LAST",Pre_Date))+0.0899999999999963</f>
        <v>#VALUE!</v>
      </c>
      <c r="F32" t="e">
        <f ca="1">(_xll.BDH(F$22&amp;$A32&amp;" ICPL Curncy","PX_LAST",Pre_Date))+0.300000000000004</f>
        <v>#VALUE!</v>
      </c>
      <c r="G32" t="e">
        <f ca="1">(_xll.BDH(G$22&amp;$A32&amp;" ICPL Curncy","PX_LAST",Pre_Date))+0.479999999999997</f>
        <v>#VALUE!</v>
      </c>
      <c r="H32" t="e">
        <f ca="1">(_xll.BDH(H$22&amp;$A32&amp;" ICPL Curncy","PX_LAST",Pre_Date))+0.5</f>
        <v>#VALUE!</v>
      </c>
      <c r="I32" t="e">
        <f ca="1">(_xll.BDH(I$22&amp;$A32&amp;" ICPL Curncy","PX_LAST",Pre_Date))+0.280000000000001</f>
        <v>#VALUE!</v>
      </c>
      <c r="J32" t="e">
        <f ca="1">(_xll.BDH(J$22&amp;$A32&amp;" ICPL Curncy","PX_LAST",Pre_Date))+-0.0600000000000023</f>
        <v>#VALUE!</v>
      </c>
      <c r="K32" t="e">
        <f ca="1">(_xll.BDH(K$22&amp;$A32&amp;" ICPL Curncy","PX_LAST",Pre_Date))+-1</f>
        <v>#VALUE!</v>
      </c>
      <c r="L32" t="e">
        <f ca="1">(_xll.BDH(L$22&amp;$A32&amp;" ICPL Curncy","PX_LAST",Pre_Date))+-2.93000000000001</f>
        <v>#VALUE!</v>
      </c>
      <c r="V32" s="11"/>
      <c r="W32">
        <v>-0.39999999999999858</v>
      </c>
      <c r="X32">
        <v>-3.0000000000001137E-2</v>
      </c>
      <c r="Y32">
        <v>7.9999999999998295E-2</v>
      </c>
      <c r="Z32">
        <v>8.9999999999996305E-2</v>
      </c>
      <c r="AA32">
        <v>0.30000000000000426</v>
      </c>
      <c r="AB32">
        <v>0.47999999999999687</v>
      </c>
      <c r="AC32">
        <v>0.5</v>
      </c>
      <c r="AD32">
        <v>0.28000000000000114</v>
      </c>
      <c r="AE32">
        <v>-6.0000000000002274E-2</v>
      </c>
      <c r="AF32">
        <v>-1</v>
      </c>
      <c r="AG32">
        <v>-2.9300000000000068</v>
      </c>
    </row>
    <row r="33" spans="1:33" x14ac:dyDescent="0.25">
      <c r="A33">
        <v>20</v>
      </c>
      <c r="B33" t="e">
        <f ca="1">(_xll.BDH(B$22&amp;$A33&amp;" ICPL Curncy","PX_LAST",Pre_Date))+-0.600000000000001</f>
        <v>#VALUE!</v>
      </c>
      <c r="C33" t="e">
        <f ca="1">(_xll.BDH(C$22&amp;$A33&amp;" ICPL Curncy","PX_LAST",Pre_Date))+-0.0700000000000003</f>
        <v>#VALUE!</v>
      </c>
      <c r="D33" t="e">
        <f ca="1">(_xll.BDH(D$22&amp;$A33&amp;" ICPL Curncy","PX_LAST",Pre_Date))+0.0600000000000023</f>
        <v>#VALUE!</v>
      </c>
      <c r="E33" t="e">
        <f ca="1">(_xll.BDH(E$22&amp;$A33&amp;" ICPL Curncy","PX_LAST",Pre_Date))+0.150000000000006</f>
        <v>#VALUE!</v>
      </c>
      <c r="F33" t="e">
        <f ca="1">(_xll.BDH(F$22&amp;$A33&amp;" ICPL Curncy","PX_LAST",Pre_Date))+0.410000000000004</f>
        <v>#VALUE!</v>
      </c>
      <c r="G33" t="e">
        <f ca="1">(_xll.BDH(G$22&amp;$A33&amp;" ICPL Curncy","PX_LAST",Pre_Date))+0.600000000000001</f>
        <v>#VALUE!</v>
      </c>
      <c r="H33" t="e">
        <f ca="1">(_xll.BDH(H$22&amp;$A33&amp;" ICPL Curncy","PX_LAST",Pre_Date))+0.759999999999998</f>
        <v>#VALUE!</v>
      </c>
      <c r="I33" t="e">
        <f ca="1">(_xll.BDH(I$22&amp;$A33&amp;" ICPL Curncy","PX_LAST",Pre_Date))+0.75</f>
        <v>#VALUE!</v>
      </c>
      <c r="J33" t="e">
        <f ca="1">(_xll.BDH(J$22&amp;$A33&amp;" ICPL Curncy","PX_LAST",Pre_Date))+0.609999999999999</f>
        <v>#VALUE!</v>
      </c>
      <c r="K33" t="e">
        <f ca="1">(_xll.BDH(K$22&amp;$A33&amp;" ICPL Curncy","PX_LAST",Pre_Date))+0.0999999999999943</f>
        <v>#VALUE!</v>
      </c>
      <c r="L33" t="e">
        <f ca="1">(_xll.BDH(L$22&amp;$A33&amp;" ICPL Curncy","PX_LAST",Pre_Date))+-0.799999999999997</f>
        <v>#VALUE!</v>
      </c>
      <c r="V33" s="11"/>
      <c r="W33">
        <v>-0.60000000000000142</v>
      </c>
      <c r="X33">
        <v>-7.0000000000000284E-2</v>
      </c>
      <c r="Y33">
        <v>6.0000000000002274E-2</v>
      </c>
      <c r="Z33">
        <v>0.15000000000000568</v>
      </c>
      <c r="AA33">
        <v>0.41000000000000369</v>
      </c>
      <c r="AB33">
        <v>0.60000000000000142</v>
      </c>
      <c r="AC33">
        <v>0.75999999999999801</v>
      </c>
      <c r="AD33">
        <v>0.75</v>
      </c>
      <c r="AE33">
        <v>0.60999999999999943</v>
      </c>
      <c r="AF33">
        <v>9.9999999999994316E-2</v>
      </c>
      <c r="AG33">
        <v>-0.79999999999999716</v>
      </c>
    </row>
    <row r="41" spans="1:33" x14ac:dyDescent="0.25">
      <c r="A41" t="s">
        <v>641</v>
      </c>
      <c r="B41" t="s">
        <v>642</v>
      </c>
      <c r="C41" t="s">
        <v>643</v>
      </c>
      <c r="U41" s="11"/>
      <c r="V41" s="11"/>
    </row>
    <row r="42" spans="1:33" x14ac:dyDescent="0.25">
      <c r="A42" s="2"/>
      <c r="C42" t="s">
        <v>643</v>
      </c>
      <c r="U42" s="11"/>
      <c r="V42" s="11"/>
    </row>
    <row r="43" spans="1:33" x14ac:dyDescent="0.25">
      <c r="A43" t="s">
        <v>644</v>
      </c>
      <c r="B43" s="41">
        <v>1</v>
      </c>
      <c r="C43" s="41">
        <v>2</v>
      </c>
      <c r="D43" s="41">
        <v>3</v>
      </c>
      <c r="E43" s="41">
        <v>4</v>
      </c>
      <c r="F43" s="41">
        <v>5</v>
      </c>
      <c r="G43" s="41">
        <v>6</v>
      </c>
      <c r="H43" s="41">
        <v>7</v>
      </c>
      <c r="I43" s="41">
        <v>8</v>
      </c>
      <c r="J43" s="41">
        <v>9</v>
      </c>
      <c r="K43" s="41">
        <v>10</v>
      </c>
      <c r="L43" s="41">
        <v>15</v>
      </c>
      <c r="M43" s="41">
        <v>20</v>
      </c>
      <c r="N43" s="41">
        <v>25</v>
      </c>
      <c r="O43" s="41">
        <v>30</v>
      </c>
      <c r="P43" s="42" t="s">
        <v>628</v>
      </c>
      <c r="Q43" s="42" t="s">
        <v>628</v>
      </c>
      <c r="R43" s="42" t="s">
        <v>628</v>
      </c>
      <c r="S43" s="42" t="s">
        <v>628</v>
      </c>
      <c r="T43" s="42" t="s">
        <v>628</v>
      </c>
      <c r="U43" s="11" t="s">
        <v>628</v>
      </c>
    </row>
    <row r="44" spans="1:33" x14ac:dyDescent="0.25">
      <c r="A44" s="2">
        <f ca="1">EDATE(Pre_Date,1)</f>
        <v>43600</v>
      </c>
      <c r="B44" t="str">
        <f ca="1">_xll.BDH($C$42&amp;"0A"&amp;B$43&amp;" CMPN Curncy","PX_LAST",Pre_Date)</f>
        <v>#N/A Connection</v>
      </c>
      <c r="C44" t="str">
        <f ca="1">_xll.BDH($C$42&amp;"0A"&amp;C$43&amp;" CMPN Curncy","PX_LAST",Pre_Date)</f>
        <v>#N/A Connection</v>
      </c>
      <c r="D44" t="str">
        <f ca="1">_xll.BDH($C$42&amp;"0A"&amp;D$43&amp;" CMPN Curncy","PX_LAST",Pre_Date)</f>
        <v>#N/A Connection</v>
      </c>
      <c r="E44" t="str">
        <f ca="1">_xll.BDH($C$42&amp;"0A"&amp;E$43&amp;" CMPN Curncy","PX_LAST",Pre_Date)</f>
        <v>#N/A Connection</v>
      </c>
      <c r="F44" t="str">
        <f ca="1">_xll.BDH($C$42&amp;"0A"&amp;F$43&amp;" CMPN Curncy","PX_LAST",Pre_Date)</f>
        <v>#N/A Connection</v>
      </c>
      <c r="G44" t="str">
        <f ca="1">_xll.BDH($C$42&amp;"0A"&amp;G$43&amp;" CMPN Curncy","PX_LAST",Pre_Date)</f>
        <v>#N/A Connection</v>
      </c>
      <c r="H44" t="str">
        <f ca="1">_xll.BDH($C$42&amp;"0A"&amp;H$43&amp;" CMPN Curncy","PX_LAST",Pre_Date)</f>
        <v>#N/A Connection</v>
      </c>
      <c r="I44" t="str">
        <f ca="1">_xll.BDH($C$42&amp;"0A"&amp;I$43&amp;" CMPN Curncy","PX_LAST",Pre_Date)</f>
        <v>#N/A Connection</v>
      </c>
      <c r="J44" t="str">
        <f ca="1">_xll.BDH($C$42&amp;"0A"&amp;J$43&amp;" CMPN Curncy","PX_LAST",Pre_Date)</f>
        <v>#N/A Connection</v>
      </c>
      <c r="K44" t="str">
        <f ca="1">_xll.BDH($C$42&amp;"0A"&amp;K$43&amp;" CMPN Curncy","PX_LAST",Pre_Date)</f>
        <v>#N/A Connection</v>
      </c>
      <c r="L44" t="str">
        <f ca="1">_xll.BDH($C$42&amp;"0A"&amp;L$43&amp;" CMPN Curncy","PX_LAST",Pre_Date)</f>
        <v>#N/A Connection</v>
      </c>
      <c r="M44" t="str">
        <f ca="1">_xll.BDH($C$42&amp;"0A"&amp;M$43&amp;" CMPN Curncy","PX_LAST",Pre_Date)</f>
        <v>#N/A Connection</v>
      </c>
      <c r="N44" t="str">
        <f ca="1">_xll.BDH($C$42&amp;"0A"&amp;N$43&amp;" CMPN Curncy","PX_LAST",Pre_Date)</f>
        <v>#N/A Connection</v>
      </c>
      <c r="O44" t="str">
        <f ca="1">_xll.BDH($C$42&amp;"0A"&amp;O$43&amp;" CMPN Curncy","PX_LAST",Pre_Date)</f>
        <v>#N/A Connection</v>
      </c>
      <c r="U44" s="11"/>
    </row>
    <row r="45" spans="1:33" x14ac:dyDescent="0.25">
      <c r="A45" s="2">
        <f ca="1">EDATE(Pre_Date,3)</f>
        <v>43661</v>
      </c>
      <c r="B45" t="str">
        <f ca="1">_xll.BDH($C$42&amp;"0C"&amp;B$43&amp;" CMPN Curncy","PX_LAST",Pre_Date)</f>
        <v>#N/A Connection</v>
      </c>
      <c r="C45" t="str">
        <f ca="1">_xll.BDH($C$42&amp;"0C"&amp;C$43&amp;" CMPN Curncy","PX_LAST",Pre_Date)</f>
        <v>#N/A Connection</v>
      </c>
      <c r="D45" t="str">
        <f ca="1">_xll.BDH($C$42&amp;"0C"&amp;D$43&amp;" CMPN Curncy","PX_LAST",Pre_Date)</f>
        <v>#N/A Connection</v>
      </c>
      <c r="E45" t="str">
        <f ca="1">_xll.BDH($C$42&amp;"0C"&amp;E$43&amp;" CMPN Curncy","PX_LAST",Pre_Date)</f>
        <v>#N/A Connection</v>
      </c>
      <c r="F45" t="str">
        <f ca="1">_xll.BDH($C$42&amp;"0C"&amp;F$43&amp;" CMPN Curncy","PX_LAST",Pre_Date)</f>
        <v>#N/A Connection</v>
      </c>
      <c r="G45" t="str">
        <f ca="1">_xll.BDH($C$42&amp;"0C"&amp;G$43&amp;" CMPN Curncy","PX_LAST",Pre_Date)</f>
        <v>#N/A Connection</v>
      </c>
      <c r="H45" t="str">
        <f ca="1">_xll.BDH($C$42&amp;"0C"&amp;H$43&amp;" CMPN Curncy","PX_LAST",Pre_Date)</f>
        <v>#N/A Connection</v>
      </c>
      <c r="I45" t="str">
        <f ca="1">_xll.BDH($C$42&amp;"0C"&amp;I$43&amp;" CMPN Curncy","PX_LAST",Pre_Date)</f>
        <v>#N/A Connection</v>
      </c>
      <c r="J45" t="str">
        <f ca="1">_xll.BDH($C$42&amp;"0C"&amp;J$43&amp;" CMPN Curncy","PX_LAST",Pre_Date)</f>
        <v>#N/A Connection</v>
      </c>
      <c r="K45" t="str">
        <f ca="1">_xll.BDH($C$42&amp;"0C"&amp;K$43&amp;" CMPN Curncy","PX_LAST",Pre_Date)</f>
        <v>#N/A Connection</v>
      </c>
      <c r="L45" t="str">
        <f ca="1">_xll.BDH($C$42&amp;"0C"&amp;L$43&amp;" CMPN Curncy","PX_LAST",Pre_Date)</f>
        <v>#N/A Connection</v>
      </c>
      <c r="M45" t="str">
        <f ca="1">_xll.BDH($C$42&amp;"0C"&amp;M$43&amp;" CMPN Curncy","PX_LAST",Pre_Date)</f>
        <v>#N/A Connection</v>
      </c>
      <c r="N45" t="str">
        <f ca="1">_xll.BDH($C$42&amp;"0C"&amp;N$43&amp;" CMPN Curncy","PX_LAST",Pre_Date)</f>
        <v>#N/A Connection</v>
      </c>
      <c r="O45" t="str">
        <f ca="1">_xll.BDH($C$42&amp;"0C"&amp;O$43&amp;" CMPN Curncy","PX_LAST",Pre_Date)</f>
        <v>#N/A Connection</v>
      </c>
      <c r="U45" s="11"/>
    </row>
    <row r="46" spans="1:33" x14ac:dyDescent="0.25">
      <c r="A46" s="2">
        <f ca="1">EDATE(Pre_Date,6)</f>
        <v>43753</v>
      </c>
      <c r="B46" t="str">
        <f ca="1">_xll.BDH($C$42&amp;"0F"&amp;B$43&amp;" CMPN Curncy","PX_LAST",Pre_Date)</f>
        <v>#N/A Connection</v>
      </c>
      <c r="C46" t="str">
        <f ca="1">_xll.BDH($C$42&amp;"0F"&amp;C$43&amp;" CMPN Curncy","PX_LAST",Pre_Date)</f>
        <v>#N/A Connection</v>
      </c>
      <c r="D46" t="str">
        <f ca="1">_xll.BDH($C$42&amp;"0F"&amp;D$43&amp;" CMPN Curncy","PX_LAST",Pre_Date)</f>
        <v>#N/A Connection</v>
      </c>
      <c r="E46" t="str">
        <f ca="1">_xll.BDH($C$42&amp;"0F"&amp;E$43&amp;" CMPN Curncy","PX_LAST",Pre_Date)</f>
        <v>#N/A Connection</v>
      </c>
      <c r="F46" t="str">
        <f ca="1">_xll.BDH($C$42&amp;"0F"&amp;F$43&amp;" CMPN Curncy","PX_LAST",Pre_Date)</f>
        <v>#N/A Connection</v>
      </c>
      <c r="G46" t="str">
        <f ca="1">_xll.BDH($C$42&amp;"0F"&amp;G$43&amp;" CMPN Curncy","PX_LAST",Pre_Date)</f>
        <v>#N/A Connection</v>
      </c>
      <c r="H46" t="str">
        <f ca="1">_xll.BDH($C$42&amp;"0F"&amp;H$43&amp;" CMPN Curncy","PX_LAST",Pre_Date)</f>
        <v>#N/A Connection</v>
      </c>
      <c r="I46" t="str">
        <f ca="1">_xll.BDH($C$42&amp;"0F"&amp;I$43&amp;" CMPN Curncy","PX_LAST",Pre_Date)</f>
        <v>#N/A Connection</v>
      </c>
      <c r="J46" t="str">
        <f ca="1">_xll.BDH($C$42&amp;"0F"&amp;J$43&amp;" CMPN Curncy","PX_LAST",Pre_Date)</f>
        <v>#N/A Connection</v>
      </c>
      <c r="K46" t="str">
        <f ca="1">_xll.BDH($C$42&amp;"0F"&amp;K$43&amp;" CMPN Curncy","PX_LAST",Pre_Date)</f>
        <v>#N/A Connection</v>
      </c>
      <c r="L46" t="str">
        <f ca="1">_xll.BDH($C$42&amp;"0F"&amp;L$43&amp;" CMPN Curncy","PX_LAST",Pre_Date)</f>
        <v>#N/A Connection</v>
      </c>
      <c r="M46" t="str">
        <f ca="1">_xll.BDH($C$42&amp;"0F"&amp;M$43&amp;" CMPN Curncy","PX_LAST",Pre_Date)</f>
        <v>#N/A Connection</v>
      </c>
      <c r="N46" t="str">
        <f ca="1">_xll.BDH($C$42&amp;"0F"&amp;N$43&amp;" CMPN Curncy","PX_LAST",Pre_Date)</f>
        <v>#N/A Connection</v>
      </c>
      <c r="O46" t="str">
        <f ca="1">_xll.BDH($C$42&amp;"0F"&amp;O$43&amp;" CMPN Curncy","PX_LAST",Pre_Date)</f>
        <v>#N/A Connection</v>
      </c>
      <c r="U46" s="11"/>
    </row>
    <row r="47" spans="1:33" x14ac:dyDescent="0.25">
      <c r="A47" s="2">
        <f ca="1">EDATE(Pre_Date,9)</f>
        <v>43845</v>
      </c>
      <c r="B47" t="str">
        <f ca="1">_xll.BDH($C$42&amp;"0I"&amp;B$43&amp;" CMPN Curncy","PX_LAST",Pre_Date)</f>
        <v>#N/A Connection</v>
      </c>
      <c r="C47" t="str">
        <f ca="1">_xll.BDH($C$42&amp;"0I"&amp;C$43&amp;" CMPN Curncy","PX_LAST",Pre_Date)</f>
        <v>#N/A Connection</v>
      </c>
      <c r="D47" t="str">
        <f ca="1">_xll.BDH($C$42&amp;"0I"&amp;D$43&amp;" CMPN Curncy","PX_LAST",Pre_Date)</f>
        <v>#N/A Connection</v>
      </c>
      <c r="E47" t="str">
        <f ca="1">_xll.BDH($C$42&amp;"0I"&amp;E$43&amp;" CMPN Curncy","PX_LAST",Pre_Date)</f>
        <v>#N/A Connection</v>
      </c>
      <c r="F47" t="str">
        <f ca="1">_xll.BDH($C$42&amp;"0I"&amp;F$43&amp;" CMPN Curncy","PX_LAST",Pre_Date)</f>
        <v>#N/A Connection</v>
      </c>
      <c r="G47" t="str">
        <f ca="1">_xll.BDH($C$42&amp;"0I"&amp;G$43&amp;" CMPN Curncy","PX_LAST",Pre_Date)</f>
        <v>#N/A Connection</v>
      </c>
      <c r="H47" t="str">
        <f ca="1">_xll.BDH($C$42&amp;"0I"&amp;H$43&amp;" CMPN Curncy","PX_LAST",Pre_Date)</f>
        <v>#N/A Connection</v>
      </c>
      <c r="I47" t="str">
        <f ca="1">_xll.BDH($C$42&amp;"0I"&amp;I$43&amp;" CMPN Curncy","PX_LAST",Pre_Date)</f>
        <v>#N/A Connection</v>
      </c>
      <c r="J47" t="str">
        <f ca="1">_xll.BDH($C$42&amp;"0I"&amp;J$43&amp;" CMPN Curncy","PX_LAST",Pre_Date)</f>
        <v>#N/A Connection</v>
      </c>
      <c r="K47" t="str">
        <f ca="1">_xll.BDH($C$42&amp;"0I"&amp;K$43&amp;" CMPN Curncy","PX_LAST",Pre_Date)</f>
        <v>#N/A Connection</v>
      </c>
      <c r="L47" t="str">
        <f ca="1">_xll.BDH($C$42&amp;"0I"&amp;L$43&amp;" CMPN Curncy","PX_LAST",Pre_Date)</f>
        <v>#N/A Connection</v>
      </c>
      <c r="M47" t="str">
        <f ca="1">_xll.BDH($C$42&amp;"0I"&amp;M$43&amp;" CMPN Curncy","PX_LAST",Pre_Date)</f>
        <v>#N/A Connection</v>
      </c>
      <c r="N47" t="str">
        <f ca="1">_xll.BDH($C$42&amp;"0I"&amp;N$43&amp;" CMPN Curncy","PX_LAST",Pre_Date)</f>
        <v>#N/A Connection</v>
      </c>
      <c r="O47" t="str">
        <f ca="1">_xll.BDH($C$42&amp;"0I"&amp;O$43&amp;" CMPN Curncy","PX_LAST",Pre_Date)</f>
        <v>#N/A Connection</v>
      </c>
      <c r="U47" s="11"/>
    </row>
    <row r="48" spans="1:33" x14ac:dyDescent="0.25">
      <c r="A48" s="2">
        <f ca="1">EDATE(Pre_Date,12)</f>
        <v>43936</v>
      </c>
      <c r="B48" t="str">
        <f ca="1">_xll.BDH($C$42&amp;"01"&amp;B$43&amp;" CMPN Curncy","PX_LAST",Pre_Date)</f>
        <v>#N/A Connection</v>
      </c>
      <c r="C48" t="str">
        <f ca="1">_xll.BDH($C$42&amp;"01"&amp;C$43&amp;" CMPN Curncy","PX_LAST",Pre_Date)</f>
        <v>#N/A Connection</v>
      </c>
      <c r="D48" t="str">
        <f ca="1">_xll.BDH($C$42&amp;"01"&amp;D$43&amp;" CMPN Curncy","PX_LAST",Pre_Date)</f>
        <v>#N/A Connection</v>
      </c>
      <c r="E48" t="str">
        <f ca="1">_xll.BDH($C$42&amp;"01"&amp;E$43&amp;" CMPN Curncy","PX_LAST",Pre_Date)</f>
        <v>#N/A Connection</v>
      </c>
      <c r="F48" t="str">
        <f ca="1">_xll.BDH($C$42&amp;"01"&amp;F$43&amp;" CMPN Curncy","PX_LAST",Pre_Date)</f>
        <v>#N/A Connection</v>
      </c>
      <c r="G48" t="str">
        <f ca="1">_xll.BDH($C$42&amp;"01"&amp;G$43&amp;" CMPN Curncy","PX_LAST",Pre_Date)</f>
        <v>#N/A Connection</v>
      </c>
      <c r="H48" t="str">
        <f ca="1">_xll.BDH($C$42&amp;"01"&amp;H$43&amp;" CMPN Curncy","PX_LAST",Pre_Date)</f>
        <v>#N/A Connection</v>
      </c>
      <c r="I48" t="str">
        <f ca="1">_xll.BDH($C$42&amp;"01"&amp;I$43&amp;" CMPN Curncy","PX_LAST",Pre_Date)</f>
        <v>#N/A Connection</v>
      </c>
      <c r="J48" t="str">
        <f ca="1">_xll.BDH($C$42&amp;"01"&amp;J$43&amp;" CMPN Curncy","PX_LAST",Pre_Date)</f>
        <v>#N/A Connection</v>
      </c>
      <c r="K48" t="str">
        <f ca="1">_xll.BDH($C$42&amp;"01"&amp;K$43&amp;" CMPN Curncy","PX_LAST",Pre_Date)</f>
        <v>#N/A Connection</v>
      </c>
      <c r="L48" t="str">
        <f ca="1">_xll.BDH($C$42&amp;"01"&amp;L$43&amp;" CMPN Curncy","PX_LAST",Pre_Date)</f>
        <v>#N/A Connection</v>
      </c>
      <c r="M48" t="str">
        <f ca="1">_xll.BDH($C$42&amp;"01"&amp;M$43&amp;" CMPN Curncy","PX_LAST",Pre_Date)</f>
        <v>#N/A Connection</v>
      </c>
      <c r="N48" t="str">
        <f ca="1">_xll.BDH($C$42&amp;"01"&amp;N$43&amp;" CMPN Curncy","PX_LAST",Pre_Date)</f>
        <v>#N/A Connection</v>
      </c>
      <c r="O48" t="str">
        <f ca="1">_xll.BDH($C$42&amp;"01"&amp;O$43&amp;" CMPN Curncy","PX_LAST",Pre_Date)</f>
        <v>#N/A Connection</v>
      </c>
      <c r="U48" s="11"/>
    </row>
    <row r="49" spans="1:22" x14ac:dyDescent="0.25">
      <c r="A49" s="2">
        <f ca="1">EDATE(Pre_Date,24)</f>
        <v>44301</v>
      </c>
      <c r="B49" t="str">
        <f ca="1">_xll.BDH($C$42&amp;"02"&amp;B$43&amp;" CMPN Curncy","PX_LAST",Pre_Date)</f>
        <v>#N/A Connection</v>
      </c>
      <c r="C49" t="str">
        <f ca="1">_xll.BDH($C$42&amp;"02"&amp;C$43&amp;" CMPN Curncy","PX_LAST",Pre_Date)</f>
        <v>#N/A Connection</v>
      </c>
      <c r="D49" t="str">
        <f ca="1">_xll.BDH($C$42&amp;"02"&amp;D$43&amp;" CMPN Curncy","PX_LAST",Pre_Date)</f>
        <v>#N/A Connection</v>
      </c>
      <c r="E49" t="str">
        <f ca="1">_xll.BDH($C$42&amp;"02"&amp;E$43&amp;" CMPN Curncy","PX_LAST",Pre_Date)</f>
        <v>#N/A Connection</v>
      </c>
      <c r="F49" t="str">
        <f ca="1">_xll.BDH($C$42&amp;"02"&amp;F$43&amp;" CMPN Curncy","PX_LAST",Pre_Date)</f>
        <v>#N/A Connection</v>
      </c>
      <c r="G49" t="str">
        <f ca="1">_xll.BDH($C$42&amp;"02"&amp;G$43&amp;" CMPN Curncy","PX_LAST",Pre_Date)</f>
        <v>#N/A Connection</v>
      </c>
      <c r="H49" t="str">
        <f ca="1">_xll.BDH($C$42&amp;"02"&amp;H$43&amp;" CMPN Curncy","PX_LAST",Pre_Date)</f>
        <v>#N/A Connection</v>
      </c>
      <c r="I49" t="str">
        <f ca="1">_xll.BDH($C$42&amp;"02"&amp;I$43&amp;" CMPN Curncy","PX_LAST",Pre_Date)</f>
        <v>#N/A Connection</v>
      </c>
      <c r="J49" t="str">
        <f ca="1">_xll.BDH($C$42&amp;"02"&amp;J$43&amp;" CMPN Curncy","PX_LAST",Pre_Date)</f>
        <v>#N/A Connection</v>
      </c>
      <c r="K49" t="str">
        <f ca="1">_xll.BDH($C$42&amp;"02"&amp;K$43&amp;" CMPN Curncy","PX_LAST",Pre_Date)</f>
        <v>#N/A Connection</v>
      </c>
      <c r="L49" t="str">
        <f ca="1">_xll.BDH($C$42&amp;"02"&amp;L$43&amp;" CMPN Curncy","PX_LAST",Pre_Date)</f>
        <v>#N/A Connection</v>
      </c>
      <c r="M49" t="str">
        <f ca="1">_xll.BDH($C$42&amp;"02"&amp;M$43&amp;" CMPN Curncy","PX_LAST",Pre_Date)</f>
        <v>#N/A Connection</v>
      </c>
      <c r="N49" t="str">
        <f ca="1">_xll.BDH($C$42&amp;"02"&amp;N$43&amp;" CMPN Curncy","PX_LAST",Pre_Date)</f>
        <v>#N/A Connection</v>
      </c>
      <c r="O49" t="str">
        <f ca="1">_xll.BDH($C$42&amp;"02"&amp;O$43&amp;" CMPN Curncy","PX_LAST",Pre_Date)</f>
        <v>#N/A Connection</v>
      </c>
      <c r="U49" s="11"/>
    </row>
    <row r="50" spans="1:22" x14ac:dyDescent="0.25">
      <c r="A50" s="2">
        <f ca="1">EDATE(Pre_Date,36)</f>
        <v>44666</v>
      </c>
      <c r="B50" t="str">
        <f ca="1">_xll.BDH($C$42&amp;"03"&amp;B$43&amp;" CMPN Curncy","PX_LAST",Pre_Date)</f>
        <v>#N/A Connection</v>
      </c>
      <c r="C50" t="str">
        <f ca="1">_xll.BDH($C$42&amp;"03"&amp;C$43&amp;" CMPN Curncy","PX_LAST",Pre_Date)</f>
        <v>#N/A Connection</v>
      </c>
      <c r="D50" t="str">
        <f ca="1">_xll.BDH($C$42&amp;"03"&amp;D$43&amp;" CMPN Curncy","PX_LAST",Pre_Date)</f>
        <v>#N/A Connection</v>
      </c>
      <c r="E50" t="str">
        <f ca="1">_xll.BDH($C$42&amp;"03"&amp;E$43&amp;" CMPN Curncy","PX_LAST",Pre_Date)</f>
        <v>#N/A Connection</v>
      </c>
      <c r="F50" t="str">
        <f ca="1">_xll.BDH($C$42&amp;"03"&amp;F$43&amp;" CMPN Curncy","PX_LAST",Pre_Date)</f>
        <v>#N/A Connection</v>
      </c>
      <c r="G50" t="str">
        <f ca="1">_xll.BDH($C$42&amp;"03"&amp;G$43&amp;" CMPN Curncy","PX_LAST",Pre_Date)</f>
        <v>#N/A Connection</v>
      </c>
      <c r="H50" t="str">
        <f ca="1">_xll.BDH($C$42&amp;"03"&amp;H$43&amp;" CMPN Curncy","PX_LAST",Pre_Date)</f>
        <v>#N/A Connection</v>
      </c>
      <c r="I50" t="str">
        <f ca="1">_xll.BDH($C$42&amp;"03"&amp;I$43&amp;" CMPN Curncy","PX_LAST",Pre_Date)</f>
        <v>#N/A Connection</v>
      </c>
      <c r="J50" t="str">
        <f ca="1">_xll.BDH($C$42&amp;"03"&amp;J$43&amp;" CMPN Curncy","PX_LAST",Pre_Date)</f>
        <v>#N/A Connection</v>
      </c>
      <c r="K50" t="str">
        <f ca="1">_xll.BDH($C$42&amp;"03"&amp;K$43&amp;" CMPN Curncy","PX_LAST",Pre_Date)</f>
        <v>#N/A Connection</v>
      </c>
      <c r="L50" t="str">
        <f ca="1">_xll.BDH($C$42&amp;"03"&amp;L$43&amp;" CMPN Curncy","PX_LAST",Pre_Date)</f>
        <v>#N/A Connection</v>
      </c>
      <c r="M50" t="str">
        <f ca="1">_xll.BDH($C$42&amp;"03"&amp;M$43&amp;" CMPN Curncy","PX_LAST",Pre_Date)</f>
        <v>#N/A Connection</v>
      </c>
      <c r="N50" t="str">
        <f ca="1">_xll.BDH($C$42&amp;"03"&amp;N$43&amp;" CMPN Curncy","PX_LAST",Pre_Date)</f>
        <v>#N/A Connection</v>
      </c>
      <c r="O50" t="str">
        <f ca="1">_xll.BDH($C$42&amp;"03"&amp;O$43&amp;" CMPN Curncy","PX_LAST",Pre_Date)</f>
        <v>#N/A Connection</v>
      </c>
      <c r="U50" s="11"/>
    </row>
    <row r="51" spans="1:22" x14ac:dyDescent="0.25">
      <c r="A51" s="2">
        <f ca="1">EDATE(Pre_Date,48)</f>
        <v>45031</v>
      </c>
      <c r="B51" t="str">
        <f ca="1">_xll.BDH($C$42&amp;"04"&amp;B$43&amp;" CMPN Curncy","PX_LAST",Pre_Date)</f>
        <v>#N/A Connection</v>
      </c>
      <c r="C51" t="str">
        <f ca="1">_xll.BDH($C$42&amp;"04"&amp;C$43&amp;" CMPN Curncy","PX_LAST",Pre_Date)</f>
        <v>#N/A Connection</v>
      </c>
      <c r="D51" t="str">
        <f ca="1">_xll.BDH($C$42&amp;"04"&amp;D$43&amp;" CMPN Curncy","PX_LAST",Pre_Date)</f>
        <v>#N/A Connection</v>
      </c>
      <c r="E51" t="str">
        <f ca="1">_xll.BDH($C$42&amp;"04"&amp;E$43&amp;" CMPN Curncy","PX_LAST",Pre_Date)</f>
        <v>#N/A Connection</v>
      </c>
      <c r="F51" t="str">
        <f ca="1">_xll.BDH($C$42&amp;"04"&amp;F$43&amp;" CMPN Curncy","PX_LAST",Pre_Date)</f>
        <v>#N/A Connection</v>
      </c>
      <c r="G51" t="str">
        <f ca="1">_xll.BDH($C$42&amp;"04"&amp;G$43&amp;" CMPN Curncy","PX_LAST",Pre_Date)</f>
        <v>#N/A Connection</v>
      </c>
      <c r="H51" t="str">
        <f ca="1">_xll.BDH($C$42&amp;"04"&amp;H$43&amp;" CMPN Curncy","PX_LAST",Pre_Date)</f>
        <v>#N/A Connection</v>
      </c>
      <c r="I51" t="str">
        <f ca="1">_xll.BDH($C$42&amp;"04"&amp;I$43&amp;" CMPN Curncy","PX_LAST",Pre_Date)</f>
        <v>#N/A Connection</v>
      </c>
      <c r="J51" t="str">
        <f ca="1">_xll.BDH($C$42&amp;"04"&amp;J$43&amp;" CMPN Curncy","PX_LAST",Pre_Date)</f>
        <v>#N/A Connection</v>
      </c>
      <c r="K51" t="str">
        <f ca="1">_xll.BDH($C$42&amp;"04"&amp;K$43&amp;" CMPN Curncy","PX_LAST",Pre_Date)</f>
        <v>#N/A Connection</v>
      </c>
      <c r="L51" t="str">
        <f ca="1">_xll.BDH($C$42&amp;"04"&amp;L$43&amp;" CMPN Curncy","PX_LAST",Pre_Date)</f>
        <v>#N/A Connection</v>
      </c>
      <c r="M51" t="str">
        <f ca="1">_xll.BDH($C$42&amp;"04"&amp;M$43&amp;" CMPN Curncy","PX_LAST",Pre_Date)</f>
        <v>#N/A Connection</v>
      </c>
      <c r="N51" t="str">
        <f ca="1">_xll.BDH($C$42&amp;"04"&amp;N$43&amp;" CMPN Curncy","PX_LAST",Pre_Date)</f>
        <v>#N/A Connection</v>
      </c>
      <c r="O51" t="str">
        <f ca="1">_xll.BDH($C$42&amp;"04"&amp;O$43&amp;" CMPN Curncy","PX_LAST",Pre_Date)</f>
        <v>#N/A Connection</v>
      </c>
      <c r="U51" s="11"/>
    </row>
    <row r="52" spans="1:22" x14ac:dyDescent="0.25">
      <c r="A52" s="2">
        <f ca="1">EDATE(Pre_Date,60)</f>
        <v>45397</v>
      </c>
      <c r="B52" t="str">
        <f ca="1">_xll.BDH($C$42&amp;"05"&amp;B$43&amp;" CMPN Curncy","PX_LAST",Pre_Date)</f>
        <v>#N/A Connection</v>
      </c>
      <c r="C52" t="str">
        <f ca="1">_xll.BDH($C$42&amp;"05"&amp;C$43&amp;" CMPN Curncy","PX_LAST",Pre_Date)</f>
        <v>#N/A Connection</v>
      </c>
      <c r="D52" t="str">
        <f ca="1">_xll.BDH($C$42&amp;"05"&amp;D$43&amp;" CMPN Curncy","PX_LAST",Pre_Date)</f>
        <v>#N/A Connection</v>
      </c>
      <c r="E52" t="str">
        <f ca="1">_xll.BDH($C$42&amp;"05"&amp;E$43&amp;" CMPN Curncy","PX_LAST",Pre_Date)</f>
        <v>#N/A Connection</v>
      </c>
      <c r="F52" t="str">
        <f ca="1">_xll.BDH($C$42&amp;"05"&amp;F$43&amp;" CMPN Curncy","PX_LAST",Pre_Date)</f>
        <v>#N/A Connection</v>
      </c>
      <c r="G52" t="str">
        <f ca="1">_xll.BDH($C$42&amp;"05"&amp;G$43&amp;" CMPN Curncy","PX_LAST",Pre_Date)</f>
        <v>#N/A Connection</v>
      </c>
      <c r="H52" t="str">
        <f ca="1">_xll.BDH($C$42&amp;"05"&amp;H$43&amp;" CMPN Curncy","PX_LAST",Pre_Date)</f>
        <v>#N/A Connection</v>
      </c>
      <c r="I52" t="str">
        <f ca="1">_xll.BDH($C$42&amp;"05"&amp;I$43&amp;" CMPN Curncy","PX_LAST",Pre_Date)</f>
        <v>#N/A Connection</v>
      </c>
      <c r="J52" t="str">
        <f ca="1">_xll.BDH($C$42&amp;"05"&amp;J$43&amp;" CMPN Curncy","PX_LAST",Pre_Date)</f>
        <v>#N/A Connection</v>
      </c>
      <c r="K52" t="str">
        <f ca="1">_xll.BDH($C$42&amp;"05"&amp;K$43&amp;" CMPN Curncy","PX_LAST",Pre_Date)</f>
        <v>#N/A Connection</v>
      </c>
      <c r="L52" t="str">
        <f ca="1">_xll.BDH($C$42&amp;"05"&amp;L$43&amp;" CMPN Curncy","PX_LAST",Pre_Date)</f>
        <v>#N/A Connection</v>
      </c>
      <c r="M52" t="str">
        <f ca="1">_xll.BDH($C$42&amp;"05"&amp;M$43&amp;" CMPN Curncy","PX_LAST",Pre_Date)</f>
        <v>#N/A Connection</v>
      </c>
      <c r="N52" t="str">
        <f ca="1">_xll.BDH($C$42&amp;"05"&amp;N$43&amp;" CMPN Curncy","PX_LAST",Pre_Date)</f>
        <v>#N/A Connection</v>
      </c>
      <c r="O52" t="str">
        <f ca="1">_xll.BDH($C$42&amp;"05"&amp;O$43&amp;" CMPN Curncy","PX_LAST",Pre_Date)</f>
        <v>#N/A Connection</v>
      </c>
      <c r="U52" s="11"/>
    </row>
    <row r="53" spans="1:22" x14ac:dyDescent="0.25">
      <c r="A53" s="2">
        <f ca="1">EDATE(Pre_Date,84)</f>
        <v>46127</v>
      </c>
      <c r="B53" t="str">
        <f ca="1">_xll.BDH($C$42&amp;"07"&amp;B$43&amp;" CMPN Curncy","PX_LAST",Pre_Date)</f>
        <v>#N/A Connection</v>
      </c>
      <c r="C53" t="str">
        <f ca="1">C52</f>
        <v>#N/A Connection</v>
      </c>
      <c r="D53" t="str">
        <f ca="1">_xll.BDH($C$42&amp;"07"&amp;D$43&amp;" CMPN Curncy","PX_LAST",Pre_Date)</f>
        <v>#N/A Connection</v>
      </c>
      <c r="E53" t="str">
        <f ca="1">_xll.BDH($C$42&amp;"07"&amp;E$43&amp;" CMPN Curncy","PX_LAST",Pre_Date)</f>
        <v>#N/A Connection</v>
      </c>
      <c r="F53" t="str">
        <f ca="1">_xll.BDH($C$42&amp;"07"&amp;F$43&amp;" CMPN Curncy","PX_LAST",Pre_Date)</f>
        <v>#N/A Connection</v>
      </c>
      <c r="G53" t="str">
        <f ca="1">_xll.BDH($C$42&amp;"07"&amp;G$43&amp;" CMPN Curncy","PX_LAST",Pre_Date)</f>
        <v>#N/A Connection</v>
      </c>
      <c r="H53" t="str">
        <f ca="1">_xll.BDH($C$42&amp;"07"&amp;H$43&amp;" CMPN Curncy","PX_LAST",Pre_Date)</f>
        <v>#N/A Connection</v>
      </c>
      <c r="I53" t="str">
        <f ca="1">_xll.BDH($C$42&amp;"07"&amp;I$43&amp;" CMPN Curncy","PX_LAST",Pre_Date)</f>
        <v>#N/A Connection</v>
      </c>
      <c r="J53" t="str">
        <f ca="1">_xll.BDH($C$42&amp;"07"&amp;J$43&amp;" CMPN Curncy","PX_LAST",Pre_Date)</f>
        <v>#N/A Connection</v>
      </c>
      <c r="K53" t="str">
        <f ca="1">_xll.BDH($C$42&amp;"07"&amp;K$43&amp;" CMPN Curncy","PX_LAST",Pre_Date)</f>
        <v>#N/A Connection</v>
      </c>
      <c r="L53" t="str">
        <f ca="1">_xll.BDH($C$42&amp;"07"&amp;L$43&amp;" CMPN Curncy","PX_LAST",Pre_Date)</f>
        <v>#N/A Connection</v>
      </c>
      <c r="M53" t="str">
        <f ca="1">_xll.BDH($C$42&amp;"07"&amp;M$43&amp;" CMPN Curncy","PX_LAST",Pre_Date)</f>
        <v>#N/A Connection</v>
      </c>
      <c r="N53" t="str">
        <f ca="1">_xll.BDH($C$42&amp;"07"&amp;N$43&amp;" CMPN Curncy","PX_LAST",Pre_Date)</f>
        <v>#N/A Connection</v>
      </c>
      <c r="O53" t="str">
        <f ca="1">O52</f>
        <v>#N/A Connection</v>
      </c>
    </row>
    <row r="54" spans="1:22" x14ac:dyDescent="0.25">
      <c r="A54" s="2">
        <f ca="1">EDATE(Pre_Date,120)</f>
        <v>47223</v>
      </c>
      <c r="B54" t="str">
        <f ca="1">_xll.BDH($C$42&amp;"10"&amp;B$43&amp;" CMPN Curncy","PX_LAST",Pre_Date)</f>
        <v>#N/A Connection</v>
      </c>
      <c r="C54" t="str">
        <f ca="1">_xll.BDH($C$42&amp;"10"&amp;C$43&amp;" CMPN Curncy","PX_LAST",Pre_Date)</f>
        <v>#N/A Connection</v>
      </c>
      <c r="D54" t="str">
        <f ca="1">D53</f>
        <v>#N/A Connection</v>
      </c>
      <c r="E54" t="str">
        <f ca="1">E53</f>
        <v>#N/A Connection</v>
      </c>
      <c r="F54" t="str">
        <f ca="1">_xll.BDH($C$42&amp;"10"&amp;F$43&amp;" CMPN Curncy","PX_LAST",Pre_Date)</f>
        <v>#N/A Connection</v>
      </c>
      <c r="G54" t="str">
        <f ca="1">G53</f>
        <v>#N/A Connection</v>
      </c>
      <c r="H54" t="str">
        <f ca="1">H53</f>
        <v>#N/A Connection</v>
      </c>
      <c r="I54" t="str">
        <f ca="1">_xll.BDH($C$42&amp;"10"&amp;I$43&amp;" CMPN Curncy","PX_LAST",Pre_Date)</f>
        <v>#N/A Connection</v>
      </c>
      <c r="J54" t="str">
        <f ca="1">J53</f>
        <v>#N/A Connection</v>
      </c>
      <c r="K54" t="str">
        <f ca="1">_xll.BDH($C$42&amp;"10"&amp;K$43&amp;" CMPN Curncy","PX_LAST",Pre_Date)</f>
        <v>#N/A Connection</v>
      </c>
      <c r="L54" t="str">
        <f ca="1">L53</f>
        <v>#N/A Connection</v>
      </c>
      <c r="M54" t="str">
        <f ca="1">_xll.BDH($C$42&amp;"10"&amp;M$43&amp;" CMPN Curncy","PX_LAST",Pre_Date)</f>
        <v>#N/A Connection</v>
      </c>
      <c r="N54" t="str">
        <f ca="1">N53</f>
        <v>#N/A Connection</v>
      </c>
      <c r="O54" t="str">
        <f ca="1">_xll.BDH($C$42&amp;"10"&amp;O$43&amp;" CMPN Curncy","PX_LAST",Pre_Date)</f>
        <v>#N/A Connection</v>
      </c>
    </row>
    <row r="55" spans="1:22" x14ac:dyDescent="0.25">
      <c r="A55" s="2">
        <f ca="1">EDATE(Pre_Date,240)</f>
        <v>50875</v>
      </c>
      <c r="B55" t="str">
        <f ca="1">B54</f>
        <v>#N/A Connection</v>
      </c>
      <c r="C55" t="str">
        <f ca="1">_xll.BDH($C$42&amp;"20"&amp;C$43&amp;" CMPN Curncy","PX_LAST",Pre_Date)</f>
        <v>#N/A Connection</v>
      </c>
      <c r="D55" t="str">
        <f ca="1">D54</f>
        <v>#N/A Connection</v>
      </c>
      <c r="E55" t="str">
        <f ca="1">E53</f>
        <v>#N/A Connection</v>
      </c>
      <c r="F55" t="str">
        <f ca="1">_xll.BDH($C$42&amp;"20"&amp;F$43&amp;" CMPN Curncy","PX_LAST",Pre_Date)</f>
        <v>#N/A Connection</v>
      </c>
      <c r="G55" t="str">
        <f ca="1">G53</f>
        <v>#N/A Connection</v>
      </c>
      <c r="H55" t="str">
        <f ca="1">_xll.BDH($C$42&amp;"20"&amp;H$43&amp;" CMPN Curncy","PX_LAST",Pre_Date)</f>
        <v>#N/A Connection</v>
      </c>
      <c r="I55" t="str">
        <f ca="1">I54</f>
        <v>#N/A Connection</v>
      </c>
      <c r="J55" t="str">
        <f ca="1">J54</f>
        <v>#N/A Connection</v>
      </c>
      <c r="K55" t="str">
        <f ca="1">_xll.BDH($C$42&amp;"20"&amp;K$43&amp;" CMPN Curncy","PX_LAST",Pre_Date)</f>
        <v>#N/A Connection</v>
      </c>
      <c r="L55" t="str">
        <f ca="1">L54</f>
        <v>#N/A Connection</v>
      </c>
      <c r="M55" t="str">
        <f ca="1">M54</f>
        <v>#N/A Connection</v>
      </c>
      <c r="N55" t="str">
        <f ca="1">N54</f>
        <v>#N/A Connection</v>
      </c>
      <c r="O55" t="str">
        <f ca="1">_xll.BDH($C$42&amp;"20"&amp;O$43&amp;" CMPN Curncy","PX_LAST",Pre_Date)</f>
        <v>#N/A Connection</v>
      </c>
    </row>
    <row r="61" spans="1:22" x14ac:dyDescent="0.25">
      <c r="A61" t="s">
        <v>645</v>
      </c>
      <c r="B61" t="s">
        <v>642</v>
      </c>
      <c r="C61" t="s">
        <v>646</v>
      </c>
      <c r="U61" s="11"/>
      <c r="V61" s="11"/>
    </row>
    <row r="62" spans="1:22" x14ac:dyDescent="0.25">
      <c r="A62" s="2"/>
      <c r="C62" t="s">
        <v>646</v>
      </c>
      <c r="U62" s="11"/>
      <c r="V62" s="11"/>
    </row>
    <row r="63" spans="1:22" x14ac:dyDescent="0.25">
      <c r="A63" t="s">
        <v>644</v>
      </c>
      <c r="B63" s="41">
        <v>1</v>
      </c>
      <c r="C63" s="41">
        <v>2</v>
      </c>
      <c r="D63" s="41">
        <v>3</v>
      </c>
      <c r="E63" s="41">
        <v>4</v>
      </c>
      <c r="F63" s="41">
        <v>5</v>
      </c>
      <c r="G63" s="41">
        <v>6</v>
      </c>
      <c r="H63" s="41">
        <v>7</v>
      </c>
      <c r="I63" s="41">
        <v>8</v>
      </c>
      <c r="J63" s="41">
        <v>9</v>
      </c>
      <c r="K63" s="41">
        <v>10</v>
      </c>
      <c r="L63" s="41">
        <v>15</v>
      </c>
      <c r="M63" s="41">
        <v>20</v>
      </c>
      <c r="N63" s="41">
        <v>25</v>
      </c>
      <c r="O63" s="41">
        <v>30</v>
      </c>
      <c r="P63" s="42" t="s">
        <v>628</v>
      </c>
      <c r="Q63" s="42" t="s">
        <v>628</v>
      </c>
      <c r="R63" s="42" t="s">
        <v>628</v>
      </c>
      <c r="S63" s="42" t="s">
        <v>628</v>
      </c>
      <c r="T63" s="42" t="s">
        <v>628</v>
      </c>
      <c r="U63" s="11" t="s">
        <v>628</v>
      </c>
    </row>
    <row r="64" spans="1:22" x14ac:dyDescent="0.25">
      <c r="A64" s="2">
        <f ca="1">EDATE(Pre_Date,1)</f>
        <v>43600</v>
      </c>
      <c r="B64" t="str">
        <f ca="1">_xll.BDH($C$62&amp;"A"&amp;B$63&amp;" ICPL Curncy","PX_LAST",Pre_Date)</f>
        <v>#N/A Connection</v>
      </c>
      <c r="C64" t="str">
        <f ca="1">_xll.BDH($C$62&amp;"A"&amp;C$63&amp;" ICPL Curncy","PX_LAST",Pre_Date)</f>
        <v>#N/A Connection</v>
      </c>
      <c r="D64" t="str">
        <f ca="1">_xll.BDH($C$62&amp;"A"&amp;D$63&amp;" ICPL Curncy","PX_LAST",Pre_Date)</f>
        <v>#N/A Connection</v>
      </c>
      <c r="E64" t="str">
        <f ca="1">_xll.BDH($C$62&amp;"A"&amp;E$63&amp;" ICPL Curncy","PX_LAST",Pre_Date)</f>
        <v>#N/A Connection</v>
      </c>
      <c r="F64" t="str">
        <f ca="1">_xll.BDH($C$62&amp;"A"&amp;F$63&amp;" ICPL Curncy","PX_LAST",Pre_Date)</f>
        <v>#N/A Connection</v>
      </c>
      <c r="G64" t="str">
        <f ca="1">_xll.BDH($C$62&amp;"A"&amp;G$63&amp;" ICPL Curncy","PX_LAST",Pre_Date)</f>
        <v>#N/A Connection</v>
      </c>
      <c r="H64" t="str">
        <f ca="1">_xll.BDH($C$62&amp;"A"&amp;H$63&amp;" ICPL Curncy","PX_LAST",Pre_Date)</f>
        <v>#N/A Connection</v>
      </c>
      <c r="I64" t="str">
        <f ca="1">_xll.BDH($C$62&amp;"A"&amp;I$63&amp;" ICPL Curncy","PX_LAST",Pre_Date)</f>
        <v>#N/A Connection</v>
      </c>
      <c r="J64" t="str">
        <f ca="1">_xll.BDH($C$62&amp;"A"&amp;J$63&amp;" ICPL Curncy","PX_LAST",Pre_Date)</f>
        <v>#N/A Connection</v>
      </c>
      <c r="K64" t="str">
        <f ca="1">_xll.BDH($C$62&amp;"A"&amp;K$63&amp;" ICPL Curncy","PX_LAST",Pre_Date)</f>
        <v>#N/A Connection</v>
      </c>
      <c r="L64" t="str">
        <f ca="1">_xll.BDH($C$62&amp;"A"&amp;L$63&amp;" ICPL Curncy","PX_LAST",Pre_Date)</f>
        <v>#N/A Connection</v>
      </c>
      <c r="M64" t="str">
        <f ca="1">_xll.BDH($C$62&amp;"A"&amp;M$63&amp;" ICPL Curncy","PX_LAST",Pre_Date)</f>
        <v>#N/A Connection</v>
      </c>
      <c r="N64" t="str">
        <f ca="1">_xll.BDH($C$62&amp;"A"&amp;N$63&amp;" ICPL Curncy","PX_LAST",Pre_Date)</f>
        <v>#N/A Connection</v>
      </c>
      <c r="O64" t="str">
        <f ca="1">_xll.BDH($C$62&amp;"A"&amp;O$63&amp;" ICPL Curncy","PX_LAST",Pre_Date)</f>
        <v>#N/A Connection</v>
      </c>
      <c r="U64" s="11"/>
    </row>
    <row r="65" spans="1:21" x14ac:dyDescent="0.25">
      <c r="A65" s="2">
        <f ca="1">EDATE(Pre_Date,3)</f>
        <v>43661</v>
      </c>
      <c r="B65" t="str">
        <f ca="1">_xll.BDH($C$62&amp;"C"&amp;B$63&amp;" ICPL Curncy","PX_LAST",Pre_Date)</f>
        <v>#N/A Connection</v>
      </c>
      <c r="C65" t="str">
        <f ca="1">_xll.BDH($C$62&amp;"C"&amp;C$63&amp;" ICPL Curncy","PX_LAST",Pre_Date)</f>
        <v>#N/A Connection</v>
      </c>
      <c r="D65" t="str">
        <f ca="1">_xll.BDH($C$62&amp;"C"&amp;D$63&amp;" ICPL Curncy","PX_LAST",Pre_Date)</f>
        <v>#N/A Connection</v>
      </c>
      <c r="E65" t="str">
        <f ca="1">_xll.BDH($C$62&amp;"C"&amp;E$63&amp;" ICPL Curncy","PX_LAST",Pre_Date)</f>
        <v>#N/A Connection</v>
      </c>
      <c r="F65" t="str">
        <f ca="1">_xll.BDH($C$62&amp;"C"&amp;F$63&amp;" ICPL Curncy","PX_LAST",Pre_Date)</f>
        <v>#N/A Connection</v>
      </c>
      <c r="G65" t="str">
        <f ca="1">_xll.BDH($C$62&amp;"C"&amp;G$63&amp;" ICPL Curncy","PX_LAST",Pre_Date)</f>
        <v>#N/A Connection</v>
      </c>
      <c r="H65" t="str">
        <f ca="1">_xll.BDH($C$62&amp;"C"&amp;H$63&amp;" ICPL Curncy","PX_LAST",Pre_Date)</f>
        <v>#N/A Connection</v>
      </c>
      <c r="I65" t="str">
        <f ca="1">_xll.BDH($C$62&amp;"C"&amp;I$63&amp;" ICPL Curncy","PX_LAST",Pre_Date)</f>
        <v>#N/A Connection</v>
      </c>
      <c r="J65" t="str">
        <f ca="1">_xll.BDH($C$62&amp;"C"&amp;J$63&amp;" ICPL Curncy","PX_LAST",Pre_Date)</f>
        <v>#N/A Connection</v>
      </c>
      <c r="K65" t="str">
        <f ca="1">_xll.BDH($C$62&amp;"C"&amp;K$63&amp;" ICPL Curncy","PX_LAST",Pre_Date)</f>
        <v>#N/A Connection</v>
      </c>
      <c r="L65" t="str">
        <f ca="1">_xll.BDH($C$62&amp;"C"&amp;L$63&amp;" ICPL Curncy","PX_LAST",Pre_Date)</f>
        <v>#N/A Connection</v>
      </c>
      <c r="M65" t="str">
        <f ca="1">_xll.BDH($C$62&amp;"C"&amp;M$63&amp;" ICPL Curncy","PX_LAST",Pre_Date)</f>
        <v>#N/A Connection</v>
      </c>
      <c r="N65" t="str">
        <f ca="1">_xll.BDH($C$62&amp;"C"&amp;N$63&amp;" ICPL Curncy","PX_LAST",Pre_Date)</f>
        <v>#N/A Connection</v>
      </c>
      <c r="O65" t="str">
        <f ca="1">_xll.BDH($C$62&amp;"C"&amp;O$63&amp;" ICPL Curncy","PX_LAST",Pre_Date)</f>
        <v>#N/A Connection</v>
      </c>
      <c r="U65" s="11"/>
    </row>
    <row r="66" spans="1:21" x14ac:dyDescent="0.25">
      <c r="A66" s="2">
        <f ca="1">EDATE(Pre_Date,6)</f>
        <v>43753</v>
      </c>
      <c r="B66" t="str">
        <f ca="1">_xll.BDH($C$62&amp;"F"&amp;B$63&amp;" ICPL Curncy","PX_LAST",Pre_Date)</f>
        <v>#N/A Connection</v>
      </c>
      <c r="C66" t="str">
        <f ca="1">_xll.BDH($C$62&amp;"F"&amp;C$63&amp;" ICPL Curncy","PX_LAST",Pre_Date)</f>
        <v>#N/A Connection</v>
      </c>
      <c r="D66" t="str">
        <f ca="1">_xll.BDH($C$62&amp;"F"&amp;D$63&amp;" ICPL Curncy","PX_LAST",Pre_Date)</f>
        <v>#N/A Connection</v>
      </c>
      <c r="E66" t="str">
        <f ca="1">_xll.BDH($C$62&amp;"F"&amp;E$63&amp;" ICPL Curncy","PX_LAST",Pre_Date)</f>
        <v>#N/A Connection</v>
      </c>
      <c r="F66" t="str">
        <f ca="1">_xll.BDH($C$62&amp;"F"&amp;F$63&amp;" ICPL Curncy","PX_LAST",Pre_Date)</f>
        <v>#N/A Connection</v>
      </c>
      <c r="G66" t="str">
        <f ca="1">_xll.BDH($C$62&amp;"F"&amp;G$63&amp;" ICPL Curncy","PX_LAST",Pre_Date)</f>
        <v>#N/A Connection</v>
      </c>
      <c r="H66" t="str">
        <f ca="1">_xll.BDH($C$62&amp;"F"&amp;H$63&amp;" ICPL Curncy","PX_LAST",Pre_Date)</f>
        <v>#N/A Connection</v>
      </c>
      <c r="I66" t="str">
        <f ca="1">_xll.BDH($C$62&amp;"F"&amp;I$63&amp;" ICPL Curncy","PX_LAST",Pre_Date)</f>
        <v>#N/A Connection</v>
      </c>
      <c r="J66" t="str">
        <f ca="1">_xll.BDH($C$62&amp;"F"&amp;J$63&amp;" ICPL Curncy","PX_LAST",Pre_Date)</f>
        <v>#N/A Connection</v>
      </c>
      <c r="K66" t="str">
        <f ca="1">_xll.BDH($C$62&amp;"F"&amp;K$63&amp;" ICPL Curncy","PX_LAST",Pre_Date)</f>
        <v>#N/A Connection</v>
      </c>
      <c r="L66" t="str">
        <f ca="1">_xll.BDH($C$62&amp;"F"&amp;L$63&amp;" ICPL Curncy","PX_LAST",Pre_Date)</f>
        <v>#N/A Connection</v>
      </c>
      <c r="M66" t="str">
        <f ca="1">_xll.BDH($C$62&amp;"F"&amp;M$63&amp;" ICPL Curncy","PX_LAST",Pre_Date)</f>
        <v>#N/A Connection</v>
      </c>
      <c r="N66" t="str">
        <f ca="1">_xll.BDH($C$62&amp;"F"&amp;N$63&amp;" ICPL Curncy","PX_LAST",Pre_Date)</f>
        <v>#N/A Connection</v>
      </c>
      <c r="O66" t="str">
        <f ca="1">_xll.BDH($C$62&amp;"F"&amp;O$63&amp;" ICPL Curncy","PX_LAST",Pre_Date)</f>
        <v>#N/A Connection</v>
      </c>
      <c r="U66" s="11"/>
    </row>
    <row r="67" spans="1:21" x14ac:dyDescent="0.25">
      <c r="A67" s="2">
        <f ca="1">EDATE(Pre_Date,9)</f>
        <v>43845</v>
      </c>
      <c r="B67" t="str">
        <f ca="1">_xll.BDH($C$62&amp;"I"&amp;B$63&amp;" ICPL Curncy","PX_LAST",Pre_Date)</f>
        <v>#N/A Connection</v>
      </c>
      <c r="C67" t="str">
        <f ca="1">_xll.BDH($C$62&amp;"I"&amp;C$63&amp;" ICPL Curncy","PX_LAST",Pre_Date)</f>
        <v>#N/A Connection</v>
      </c>
      <c r="D67" t="str">
        <f ca="1">_xll.BDH($C$62&amp;"I"&amp;D$63&amp;" ICPL Curncy","PX_LAST",Pre_Date)</f>
        <v>#N/A Connection</v>
      </c>
      <c r="E67" t="str">
        <f ca="1">_xll.BDH($C$62&amp;"I"&amp;E$63&amp;" ICPL Curncy","PX_LAST",Pre_Date)</f>
        <v>#N/A Connection</v>
      </c>
      <c r="F67" t="str">
        <f ca="1">_xll.BDH($C$62&amp;"I"&amp;F$63&amp;" ICPL Curncy","PX_LAST",Pre_Date)</f>
        <v>#N/A Connection</v>
      </c>
      <c r="G67" t="str">
        <f ca="1">_xll.BDH($C$62&amp;"I"&amp;G$63&amp;" ICPL Curncy","PX_LAST",Pre_Date)</f>
        <v>#N/A Connection</v>
      </c>
      <c r="H67" t="str">
        <f ca="1">_xll.BDH($C$62&amp;"I"&amp;H$63&amp;" ICPL Curncy","PX_LAST",Pre_Date)</f>
        <v>#N/A Connection</v>
      </c>
      <c r="I67" t="str">
        <f ca="1">_xll.BDH($C$62&amp;"I"&amp;I$63&amp;" ICPL Curncy","PX_LAST",Pre_Date)</f>
        <v>#N/A Connection</v>
      </c>
      <c r="J67" t="str">
        <f ca="1">_xll.BDH($C$62&amp;"I"&amp;J$63&amp;" ICPL Curncy","PX_LAST",Pre_Date)</f>
        <v>#N/A Connection</v>
      </c>
      <c r="K67" t="str">
        <f ca="1">_xll.BDH($C$62&amp;"I"&amp;K$63&amp;" ICPL Curncy","PX_LAST",Pre_Date)</f>
        <v>#N/A Connection</v>
      </c>
      <c r="L67" t="str">
        <f ca="1">_xll.BDH($C$62&amp;"I"&amp;L$63&amp;" ICPL Curncy","PX_LAST",Pre_Date)</f>
        <v>#N/A Connection</v>
      </c>
      <c r="M67" t="str">
        <f ca="1">_xll.BDH($C$62&amp;"I"&amp;M$63&amp;" ICPL Curncy","PX_LAST",Pre_Date)</f>
        <v>#N/A Connection</v>
      </c>
      <c r="N67" t="str">
        <f ca="1">_xll.BDH($C$62&amp;"I"&amp;N$63&amp;" ICPL Curncy","PX_LAST",Pre_Date)</f>
        <v>#N/A Connection</v>
      </c>
      <c r="O67" t="str">
        <f ca="1">_xll.BDH($C$62&amp;"I"&amp;O$63&amp;" ICPL Curncy","PX_LAST",Pre_Date)</f>
        <v>#N/A Connection</v>
      </c>
      <c r="U67" s="11"/>
    </row>
    <row r="68" spans="1:21" x14ac:dyDescent="0.25">
      <c r="A68" s="2">
        <f ca="1">EDATE(Pre_Date,12)</f>
        <v>43936</v>
      </c>
      <c r="B68" t="str">
        <f ca="1">_xll.BDH($C$62&amp;"1"&amp;B$63&amp;" ICPL Curncy","PX_LAST",Pre_Date)</f>
        <v>#N/A Connection</v>
      </c>
      <c r="C68" t="str">
        <f ca="1">_xll.BDH($C$62&amp;"1"&amp;C$63&amp;" ICPL Curncy","PX_LAST",Pre_Date)</f>
        <v>#N/A Connection</v>
      </c>
      <c r="D68" t="str">
        <f ca="1">_xll.BDH($C$62&amp;"1"&amp;D$63&amp;" ICPL Curncy","PX_LAST",Pre_Date)</f>
        <v>#N/A Connection</v>
      </c>
      <c r="E68" t="str">
        <f ca="1">_xll.BDH($C$62&amp;"1"&amp;E$63&amp;" ICPL Curncy","PX_LAST",Pre_Date)</f>
        <v>#N/A Connection</v>
      </c>
      <c r="F68" t="str">
        <f ca="1">_xll.BDH($C$62&amp;"1"&amp;F$63&amp;" ICPL Curncy","PX_LAST",Pre_Date)</f>
        <v>#N/A Connection</v>
      </c>
      <c r="G68" t="str">
        <f ca="1">_xll.BDH($C$62&amp;"1"&amp;G$63&amp;" ICPL Curncy","PX_LAST",Pre_Date)</f>
        <v>#N/A Connection</v>
      </c>
      <c r="H68" t="str">
        <f ca="1">_xll.BDH($C$62&amp;"1"&amp;H$63&amp;" ICPL Curncy","PX_LAST",Pre_Date)</f>
        <v>#N/A Connection</v>
      </c>
      <c r="I68" t="str">
        <f ca="1">_xll.BDH($C$62&amp;"1"&amp;I$63&amp;" ICPL Curncy","PX_LAST",Pre_Date)</f>
        <v>#N/A Connection</v>
      </c>
      <c r="J68" t="str">
        <f ca="1">_xll.BDH($C$62&amp;"1"&amp;J$63&amp;" ICPL Curncy","PX_LAST",Pre_Date)</f>
        <v>#N/A Connection</v>
      </c>
      <c r="K68" t="str">
        <f ca="1">_xll.BDH($C$62&amp;"1"&amp;K$63&amp;" ICPL Curncy","PX_LAST",Pre_Date)</f>
        <v>#N/A Connection</v>
      </c>
      <c r="L68" t="str">
        <f ca="1">_xll.BDH($C$62&amp;"1"&amp;L$63&amp;" ICPL Curncy","PX_LAST",Pre_Date)</f>
        <v>#N/A Connection</v>
      </c>
      <c r="M68" t="str">
        <f ca="1">_xll.BDH($C$62&amp;"1"&amp;M$63&amp;" ICPL Curncy","PX_LAST",Pre_Date)</f>
        <v>#N/A Connection</v>
      </c>
      <c r="N68" t="str">
        <f ca="1">_xll.BDH($C$62&amp;"1"&amp;N$63&amp;" ICPL Curncy","PX_LAST",Pre_Date)</f>
        <v>#N/A Connection</v>
      </c>
      <c r="O68" t="str">
        <f ca="1">_xll.BDH($C$62&amp;"1"&amp;O$63&amp;" ICPL Curncy","PX_LAST",Pre_Date)</f>
        <v>#N/A Connection</v>
      </c>
      <c r="U68" s="11"/>
    </row>
    <row r="69" spans="1:21" x14ac:dyDescent="0.25">
      <c r="A69" s="2">
        <f ca="1">EDATE(Pre_Date,24)</f>
        <v>44301</v>
      </c>
      <c r="B69" t="str">
        <f ca="1">_xll.BDH($C$62&amp;"2"&amp;B$63&amp;" ICPL Curncy","PX_LAST",Pre_Date)</f>
        <v>#N/A Connection</v>
      </c>
      <c r="C69" t="str">
        <f ca="1">_xll.BDH($C$62&amp;"2"&amp;C$63&amp;" ICPL Curncy","PX_LAST",Pre_Date)</f>
        <v>#N/A Connection</v>
      </c>
      <c r="D69" t="str">
        <f ca="1">_xll.BDH($C$62&amp;"2"&amp;D$63&amp;" ICPL Curncy","PX_LAST",Pre_Date)</f>
        <v>#N/A Connection</v>
      </c>
      <c r="E69" t="str">
        <f ca="1">_xll.BDH($C$62&amp;"2"&amp;E$63&amp;" ICPL Curncy","PX_LAST",Pre_Date)</f>
        <v>#N/A Connection</v>
      </c>
      <c r="F69" t="str">
        <f ca="1">_xll.BDH($C$62&amp;"2"&amp;F$63&amp;" ICPL Curncy","PX_LAST",Pre_Date)</f>
        <v>#N/A Connection</v>
      </c>
      <c r="G69" t="str">
        <f ca="1">_xll.BDH($C$62&amp;"2"&amp;G$63&amp;" ICPL Curncy","PX_LAST",Pre_Date)</f>
        <v>#N/A Connection</v>
      </c>
      <c r="H69" t="str">
        <f ca="1">_xll.BDH($C$62&amp;"2"&amp;H$63&amp;" ICPL Curncy","PX_LAST",Pre_Date)</f>
        <v>#N/A Connection</v>
      </c>
      <c r="I69" t="str">
        <f ca="1">_xll.BDH($C$62&amp;"2"&amp;I$63&amp;" ICPL Curncy","PX_LAST",Pre_Date)</f>
        <v>#N/A Connection</v>
      </c>
      <c r="J69" t="str">
        <f ca="1">_xll.BDH($C$62&amp;"2"&amp;J$63&amp;" ICPL Curncy","PX_LAST",Pre_Date)</f>
        <v>#N/A Connection</v>
      </c>
      <c r="K69" t="str">
        <f ca="1">_xll.BDH($C$62&amp;"2"&amp;K$63&amp;" ICPL Curncy","PX_LAST",Pre_Date)</f>
        <v>#N/A Connection</v>
      </c>
      <c r="L69" t="str">
        <f ca="1">_xll.BDH($C$62&amp;"2"&amp;L$63&amp;" ICPL Curncy","PX_LAST",Pre_Date)</f>
        <v>#N/A Connection</v>
      </c>
      <c r="M69" t="str">
        <f ca="1">_xll.BDH($C$62&amp;"2"&amp;M$63&amp;" ICPL Curncy","PX_LAST",Pre_Date)</f>
        <v>#N/A Connection</v>
      </c>
      <c r="N69" t="str">
        <f ca="1">_xll.BDH($C$62&amp;"2"&amp;N$63&amp;" ICPL Curncy","PX_LAST",Pre_Date)</f>
        <v>#N/A Connection</v>
      </c>
      <c r="O69" t="str">
        <f ca="1">_xll.BDH($C$62&amp;"2"&amp;O$63&amp;" ICPL Curncy","PX_LAST",Pre_Date)</f>
        <v>#N/A Connection</v>
      </c>
      <c r="U69" s="11"/>
    </row>
    <row r="70" spans="1:21" x14ac:dyDescent="0.25">
      <c r="A70" s="2">
        <f ca="1">EDATE(Pre_Date,36)</f>
        <v>44666</v>
      </c>
      <c r="B70" t="str">
        <f ca="1">_xll.BDH($C$62&amp;"3"&amp;B$63&amp;" ICPL Curncy","PX_LAST",Pre_Date)</f>
        <v>#N/A Connection</v>
      </c>
      <c r="C70" t="str">
        <f ca="1">_xll.BDH($C$62&amp;"3"&amp;C$63&amp;" ICPL Curncy","PX_LAST",Pre_Date)</f>
        <v>#N/A Connection</v>
      </c>
      <c r="D70" t="str">
        <f ca="1">_xll.BDH($C$62&amp;"3"&amp;D$63&amp;" ICPL Curncy","PX_LAST",Pre_Date)</f>
        <v>#N/A Connection</v>
      </c>
      <c r="E70" t="str">
        <f ca="1">_xll.BDH($C$62&amp;"3"&amp;E$63&amp;" ICPL Curncy","PX_LAST",Pre_Date)</f>
        <v>#N/A Connection</v>
      </c>
      <c r="F70" t="str">
        <f ca="1">_xll.BDH($C$62&amp;"3"&amp;F$63&amp;" ICPL Curncy","PX_LAST",Pre_Date)</f>
        <v>#N/A Connection</v>
      </c>
      <c r="G70" t="str">
        <f ca="1">_xll.BDH($C$62&amp;"3"&amp;G$63&amp;" ICPL Curncy","PX_LAST",Pre_Date)</f>
        <v>#N/A Connection</v>
      </c>
      <c r="H70" t="str">
        <f ca="1">_xll.BDH($C$62&amp;"3"&amp;H$63&amp;" ICPL Curncy","PX_LAST",Pre_Date)</f>
        <v>#N/A Connection</v>
      </c>
      <c r="I70" t="str">
        <f ca="1">_xll.BDH($C$62&amp;"3"&amp;I$63&amp;" ICPL Curncy","PX_LAST",Pre_Date)</f>
        <v>#N/A Connection</v>
      </c>
      <c r="J70" t="str">
        <f ca="1">_xll.BDH($C$62&amp;"3"&amp;J$63&amp;" ICPL Curncy","PX_LAST",Pre_Date)</f>
        <v>#N/A Connection</v>
      </c>
      <c r="K70" t="str">
        <f ca="1">_xll.BDH($C$62&amp;"3"&amp;K$63&amp;" ICPL Curncy","PX_LAST",Pre_Date)</f>
        <v>#N/A Connection</v>
      </c>
      <c r="L70" t="str">
        <f ca="1">_xll.BDH($C$62&amp;"3"&amp;L$63&amp;" ICPL Curncy","PX_LAST",Pre_Date)</f>
        <v>#N/A Connection</v>
      </c>
      <c r="M70" t="str">
        <f ca="1">_xll.BDH($C$62&amp;"3"&amp;M$63&amp;" ICPL Curncy","PX_LAST",Pre_Date)</f>
        <v>#N/A Connection</v>
      </c>
      <c r="N70" t="str">
        <f ca="1">_xll.BDH($C$62&amp;"3"&amp;N$63&amp;" ICPL Curncy","PX_LAST",Pre_Date)</f>
        <v>#N/A Connection</v>
      </c>
      <c r="O70" t="str">
        <f ca="1">_xll.BDH($C$62&amp;"3"&amp;O$63&amp;" ICPL Curncy","PX_LAST",Pre_Date)</f>
        <v>#N/A Connection</v>
      </c>
      <c r="U70" s="11"/>
    </row>
    <row r="71" spans="1:21" x14ac:dyDescent="0.25">
      <c r="A71" s="2">
        <f ca="1">EDATE(Pre_Date,48)</f>
        <v>45031</v>
      </c>
      <c r="B71" t="str">
        <f ca="1">_xll.BDH($C$62&amp;"4"&amp;B$63&amp;" ICPL Curncy","PX_LAST",Pre_Date)</f>
        <v>#N/A Connection</v>
      </c>
      <c r="C71" t="str">
        <f ca="1">_xll.BDH($C$62&amp;"4"&amp;C$63&amp;" ICPL Curncy","PX_LAST",Pre_Date)</f>
        <v>#N/A Connection</v>
      </c>
      <c r="D71" t="str">
        <f ca="1">_xll.BDH($C$62&amp;"4"&amp;D$63&amp;" ICPL Curncy","PX_LAST",Pre_Date)</f>
        <v>#N/A Connection</v>
      </c>
      <c r="E71" t="str">
        <f ca="1">_xll.BDH($C$62&amp;"4"&amp;E$63&amp;" ICPL Curncy","PX_LAST",Pre_Date)</f>
        <v>#N/A Connection</v>
      </c>
      <c r="F71" t="str">
        <f ca="1">_xll.BDH($C$62&amp;"4"&amp;F$63&amp;" ICPL Curncy","PX_LAST",Pre_Date)</f>
        <v>#N/A Connection</v>
      </c>
      <c r="G71" t="str">
        <f ca="1">_xll.BDH($C$62&amp;"4"&amp;G$63&amp;" ICPL Curncy","PX_LAST",Pre_Date)</f>
        <v>#N/A Connection</v>
      </c>
      <c r="H71" t="str">
        <f ca="1">_xll.BDH($C$62&amp;"4"&amp;H$63&amp;" ICPL Curncy","PX_LAST",Pre_Date)</f>
        <v>#N/A Connection</v>
      </c>
      <c r="I71" t="str">
        <f ca="1">_xll.BDH($C$62&amp;"4"&amp;I$63&amp;" ICPL Curncy","PX_LAST",Pre_Date)</f>
        <v>#N/A Connection</v>
      </c>
      <c r="J71" t="str">
        <f ca="1">_xll.BDH($C$62&amp;"4"&amp;J$63&amp;" ICPL Curncy","PX_LAST",Pre_Date)</f>
        <v>#N/A Connection</v>
      </c>
      <c r="K71" t="str">
        <f ca="1">_xll.BDH($C$62&amp;"4"&amp;K$63&amp;" ICPL Curncy","PX_LAST",Pre_Date)</f>
        <v>#N/A Connection</v>
      </c>
      <c r="L71" t="str">
        <f ca="1">_xll.BDH($C$62&amp;"4"&amp;L$63&amp;" ICPL Curncy","PX_LAST",Pre_Date)</f>
        <v>#N/A Connection</v>
      </c>
      <c r="M71" t="str">
        <f ca="1">_xll.BDH($C$62&amp;"4"&amp;M$63&amp;" ICPL Curncy","PX_LAST",Pre_Date)</f>
        <v>#N/A Connection</v>
      </c>
      <c r="N71" t="str">
        <f ca="1">_xll.BDH($C$62&amp;"4"&amp;N$63&amp;" ICPL Curncy","PX_LAST",Pre_Date)</f>
        <v>#N/A Connection</v>
      </c>
      <c r="O71" t="str">
        <f ca="1">_xll.BDH($C$62&amp;"4"&amp;O$63&amp;" ICPL Curncy","PX_LAST",Pre_Date)</f>
        <v>#N/A Connection</v>
      </c>
      <c r="U71" s="11"/>
    </row>
    <row r="72" spans="1:21" x14ac:dyDescent="0.25">
      <c r="A72" s="2">
        <f ca="1">EDATE(Pre_Date,60)</f>
        <v>45397</v>
      </c>
      <c r="B72" t="str">
        <f ca="1">_xll.BDH($C$62&amp;"5"&amp;B$63&amp;" ICPL Curncy","PX_LAST",Pre_Date)</f>
        <v>#N/A Connection</v>
      </c>
      <c r="C72" t="str">
        <f ca="1">_xll.BDH($C$62&amp;"5"&amp;C$63&amp;" ICPL Curncy","PX_LAST",Pre_Date)</f>
        <v>#N/A Connection</v>
      </c>
      <c r="D72" t="str">
        <f ca="1">_xll.BDH($C$62&amp;"5"&amp;D$63&amp;" ICPL Curncy","PX_LAST",Pre_Date)</f>
        <v>#N/A Connection</v>
      </c>
      <c r="E72" t="str">
        <f ca="1">_xll.BDH($C$62&amp;"5"&amp;E$63&amp;" ICPL Curncy","PX_LAST",Pre_Date)</f>
        <v>#N/A Connection</v>
      </c>
      <c r="F72" t="str">
        <f ca="1">_xll.BDH($C$62&amp;"5"&amp;F$63&amp;" ICPL Curncy","PX_LAST",Pre_Date)</f>
        <v>#N/A Connection</v>
      </c>
      <c r="G72" t="str">
        <f ca="1">_xll.BDH($C$62&amp;"5"&amp;G$63&amp;" ICPL Curncy","PX_LAST",Pre_Date)</f>
        <v>#N/A Connection</v>
      </c>
      <c r="H72" t="str">
        <f ca="1">_xll.BDH($C$62&amp;"5"&amp;H$63&amp;" ICPL Curncy","PX_LAST",Pre_Date)</f>
        <v>#N/A Connection</v>
      </c>
      <c r="I72" t="str">
        <f ca="1">_xll.BDH($C$62&amp;"5"&amp;I$63&amp;" ICPL Curncy","PX_LAST",Pre_Date)</f>
        <v>#N/A Connection</v>
      </c>
      <c r="J72" t="str">
        <f ca="1">_xll.BDH($C$62&amp;"5"&amp;J$63&amp;" ICPL Curncy","PX_LAST",Pre_Date)</f>
        <v>#N/A Connection</v>
      </c>
      <c r="K72" t="str">
        <f ca="1">_xll.BDH($C$62&amp;"5"&amp;K$63&amp;" ICPL Curncy","PX_LAST",Pre_Date)</f>
        <v>#N/A Connection</v>
      </c>
      <c r="L72" t="str">
        <f ca="1">_xll.BDH($C$62&amp;"5"&amp;L$63&amp;" ICPL Curncy","PX_LAST",Pre_Date)</f>
        <v>#N/A Connection</v>
      </c>
      <c r="M72" t="str">
        <f ca="1">_xll.BDH($C$62&amp;"5"&amp;M$63&amp;" ICPL Curncy","PX_LAST",Pre_Date)</f>
        <v>#N/A Connection</v>
      </c>
      <c r="N72" t="str">
        <f ca="1">_xll.BDH($C$62&amp;"5"&amp;N$63&amp;" ICPL Curncy","PX_LAST",Pre_Date)</f>
        <v>#N/A Connection</v>
      </c>
      <c r="O72" t="str">
        <f ca="1">_xll.BDH($C$62&amp;"5"&amp;O$63&amp;" ICPL Curncy","PX_LAST",Pre_Date)</f>
        <v>#N/A Connection</v>
      </c>
      <c r="U72" s="11"/>
    </row>
    <row r="73" spans="1:21" x14ac:dyDescent="0.25">
      <c r="A73" s="2">
        <f ca="1">EDATE(Pre_Date,120)</f>
        <v>47223</v>
      </c>
      <c r="B73" t="str">
        <f ca="1">_xll.BDH($C$62&amp;"10"&amp;B$63&amp;" ICPL Curncy","PX_LAST",Pre_Date)</f>
        <v>#N/A Connection</v>
      </c>
      <c r="C73" t="str">
        <f ca="1">_xll.BDH($C$62&amp;"10"&amp;C$63&amp;" ICPL Curncy","PX_LAST",Pre_Date)</f>
        <v>#N/A Connection</v>
      </c>
      <c r="D73" t="str">
        <f ca="1">_xll.BDH($C$62&amp;"10"&amp;D$63&amp;" ICPL Curncy","PX_LAST",Pre_Date)</f>
        <v>#N/A Connection</v>
      </c>
      <c r="E73" t="str">
        <f ca="1">_xll.BDH($C$62&amp;"10"&amp;E$63&amp;" ICPL Curncy","PX_LAST",Pre_Date)</f>
        <v>#N/A Connection</v>
      </c>
      <c r="F73" t="str">
        <f ca="1">_xll.BDH($C$62&amp;"10"&amp;F$63&amp;" ICPL Curncy","PX_LAST",Pre_Date)</f>
        <v>#N/A Connection</v>
      </c>
      <c r="G73" t="str">
        <f ca="1">_xll.BDH($C$62&amp;"10"&amp;G$63&amp;" ICPL Curncy","PX_LAST",Pre_Date)</f>
        <v>#N/A Connection</v>
      </c>
      <c r="H73" t="str">
        <f ca="1">_xll.BDH($C$62&amp;"10"&amp;H$63&amp;" ICPL Curncy","PX_LAST",Pre_Date)</f>
        <v>#N/A Connection</v>
      </c>
      <c r="I73" t="str">
        <f ca="1">_xll.BDH($C$62&amp;"10"&amp;I$63&amp;" ICPL Curncy","PX_LAST",Pre_Date)</f>
        <v>#N/A Connection</v>
      </c>
      <c r="J73" t="str">
        <f ca="1">_xll.BDH($C$62&amp;"10"&amp;J$63&amp;" ICPL Curncy","PX_LAST",Pre_Date)</f>
        <v>#N/A Connection</v>
      </c>
      <c r="K73" t="str">
        <f ca="1">_xll.BDH($C$62&amp;"10"&amp;K$63&amp;" ICPL Curncy","PX_LAST",Pre_Date)</f>
        <v>#N/A Connection</v>
      </c>
      <c r="L73" t="str">
        <f ca="1">_xll.BDH($C$62&amp;"10"&amp;L$63&amp;" ICPL Curncy","PX_LAST",Pre_Date)</f>
        <v>#N/A Connection</v>
      </c>
      <c r="M73" t="str">
        <f ca="1">_xll.BDH($C$62&amp;"10"&amp;M$63&amp;" ICPL Curncy","PX_LAST",Pre_Date)</f>
        <v>#N/A Connection</v>
      </c>
      <c r="N73" t="str">
        <f ca="1">_xll.BDH($C$62&amp;"10"&amp;N$63&amp;" ICPL Curncy","PX_LAST",Pre_Date)</f>
        <v>#N/A Connection</v>
      </c>
      <c r="O73" t="str">
        <f ca="1">_xll.BDH($C$62&amp;"10"&amp;O$63&amp;" ICPL Curncy","PX_LAST",Pre_Date)</f>
        <v>#N/A Connection</v>
      </c>
    </row>
    <row r="74" spans="1:21" x14ac:dyDescent="0.25">
      <c r="A74" s="2">
        <f ca="1">EDATE(Pre_Date,240)</f>
        <v>50875</v>
      </c>
      <c r="B74" t="str">
        <f ca="1">_xll.BDH($C$62&amp;"20"&amp;B$63&amp;" ICPL Curncy","PX_LAST",Pre_Date)</f>
        <v>#N/A Connection</v>
      </c>
      <c r="C74" t="str">
        <f ca="1">_xll.BDH($C$62&amp;"20"&amp;C$63&amp;" ICPL Curncy","PX_LAST",Pre_Date)</f>
        <v>#N/A Connection</v>
      </c>
      <c r="D74" t="str">
        <f ca="1">_xll.BDH($C$62&amp;"20"&amp;D$63&amp;" ICPL Curncy","PX_LAST",Pre_Date)</f>
        <v>#N/A Connection</v>
      </c>
      <c r="E74" t="str">
        <f ca="1">_xll.BDH($C$62&amp;"20"&amp;E$63&amp;" ICPL Curncy","PX_LAST",Pre_Date)</f>
        <v>#N/A Connection</v>
      </c>
      <c r="F74" t="str">
        <f ca="1">_xll.BDH($C$62&amp;"20"&amp;F$63&amp;" ICPL Curncy","PX_LAST",Pre_Date)</f>
        <v>#N/A Connection</v>
      </c>
      <c r="G74" t="str">
        <f ca="1">_xll.BDH($C$62&amp;"20"&amp;G$63&amp;" ICPL Curncy","PX_LAST",Pre_Date)</f>
        <v>#N/A Connection</v>
      </c>
      <c r="H74" t="str">
        <f ca="1">_xll.BDH($C$62&amp;"20"&amp;H$63&amp;" ICPL Curncy","PX_LAST",Pre_Date)</f>
        <v>#N/A Connection</v>
      </c>
      <c r="I74" t="str">
        <f ca="1">_xll.BDH($C$62&amp;"20"&amp;I$63&amp;" ICPL Curncy","PX_LAST",Pre_Date)</f>
        <v>#N/A Connection</v>
      </c>
      <c r="J74" t="str">
        <f ca="1">_xll.BDH($C$62&amp;"20"&amp;J$63&amp;" ICPL Curncy","PX_LAST",Pre_Date)</f>
        <v>#N/A Connection</v>
      </c>
      <c r="K74" t="str">
        <f ca="1">_xll.BDH($C$62&amp;"20"&amp;K$63&amp;" ICPL Curncy","PX_LAST",Pre_Date)</f>
        <v>#N/A Connection</v>
      </c>
      <c r="L74" t="str">
        <f ca="1">_xll.BDH($C$62&amp;"20"&amp;L$63&amp;" ICPL Curncy","PX_LAST",Pre_Date)</f>
        <v>#N/A Connection</v>
      </c>
      <c r="M74" t="str">
        <f ca="1">_xll.BDH($C$62&amp;"20"&amp;M$63&amp;" ICPL Curncy","PX_LAST",Pre_Date)</f>
        <v>#N/A Connection</v>
      </c>
      <c r="N74" t="str">
        <f ca="1">_xll.BDH($C$62&amp;"20"&amp;N$63&amp;" ICPL Curncy","PX_LAST",Pre_Date)</f>
        <v>#N/A Connection</v>
      </c>
      <c r="O74" t="str">
        <f ca="1">_xll.BDH($C$62&amp;"20"&amp;O$63&amp;" ICPL Curncy","PX_LAST",Pre_Date)</f>
        <v>#N/A Connection</v>
      </c>
    </row>
    <row r="80" spans="1:21" x14ac:dyDescent="0.25">
      <c r="A80" t="s">
        <v>648</v>
      </c>
    </row>
  </sheetData>
  <mergeCells count="1">
    <mergeCell ref="C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893E-770E-4BFF-9B9B-3468375AD628}">
  <sheetPr codeName="Sheet35"/>
  <dimension ref="A1:V201"/>
  <sheetViews>
    <sheetView zoomScale="70" zoomScaleNormal="70" workbookViewId="0">
      <selection activeCell="R12" sqref="R12"/>
    </sheetView>
  </sheetViews>
  <sheetFormatPr defaultColWidth="8.85546875" defaultRowHeight="15" x14ac:dyDescent="0.25"/>
  <cols>
    <col min="1" max="1" width="9.5703125" customWidth="1"/>
    <col min="3" max="3" width="10.28515625" customWidth="1"/>
    <col min="4" max="4" width="12" bestFit="1" customWidth="1"/>
    <col min="5" max="5" width="9.5703125" bestFit="1" customWidth="1"/>
    <col min="9" max="9" width="11.7109375" customWidth="1"/>
    <col min="13" max="13" width="11.7109375" customWidth="1"/>
    <col min="18" max="18" width="14.85546875" bestFit="1" customWidth="1"/>
  </cols>
  <sheetData>
    <row r="1" spans="1:12" x14ac:dyDescent="0.25">
      <c r="A1" s="124" t="s">
        <v>60</v>
      </c>
      <c r="B1" s="124"/>
    </row>
    <row r="2" spans="1:12" x14ac:dyDescent="0.25">
      <c r="A2" s="124" t="s">
        <v>61</v>
      </c>
      <c r="B2" s="124"/>
      <c r="E2" t="str">
        <f ca="1">Rate_History!E2</f>
        <v>04/15/2019 11:15:00</v>
      </c>
    </row>
    <row r="3" spans="1:12" x14ac:dyDescent="0.25">
      <c r="A3" s="124" t="s">
        <v>62</v>
      </c>
      <c r="B3" s="124"/>
      <c r="C3" s="1"/>
      <c r="E3" s="2" t="str">
        <f ca="1">Rate_History!E3</f>
        <v>04/15/2019 11:16:00</v>
      </c>
      <c r="I3" s="3"/>
    </row>
    <row r="4" spans="1:12" x14ac:dyDescent="0.25">
      <c r="A4" t="s">
        <v>12</v>
      </c>
      <c r="B4">
        <v>7</v>
      </c>
      <c r="D4">
        <v>7</v>
      </c>
      <c r="F4">
        <v>100</v>
      </c>
      <c r="H4" t="s">
        <v>34</v>
      </c>
      <c r="I4" t="s">
        <v>656</v>
      </c>
    </row>
    <row r="5" spans="1:12" x14ac:dyDescent="0.25">
      <c r="A5" t="s">
        <v>28</v>
      </c>
      <c r="B5" t="s">
        <v>29</v>
      </c>
      <c r="C5" t="s">
        <v>30</v>
      </c>
      <c r="D5" t="s">
        <v>31</v>
      </c>
      <c r="E5" t="s">
        <v>32</v>
      </c>
      <c r="F5" t="s">
        <v>33</v>
      </c>
      <c r="I5" t="s">
        <v>650</v>
      </c>
    </row>
    <row r="6" spans="1:12" x14ac:dyDescent="0.25">
      <c r="A6" s="1">
        <f ca="1">WORKDAY(Swap_Date,1)</f>
        <v>43571</v>
      </c>
      <c r="B6" t="str">
        <f ca="1">_xll.BDP(H6,"PX_LAST")</f>
        <v>#N/A Connection</v>
      </c>
      <c r="C6" s="1">
        <f ca="1">nextimm(Swap_Date)</f>
        <v>43635</v>
      </c>
      <c r="D6" t="e">
        <f ca="1">100-IF(ISNUMBER(_xll.BDP(I6,"PX_LAST")),_xll.BDP(I6,"PX_LAST"),100-B9)</f>
        <v>#VALUE!</v>
      </c>
      <c r="E6" s="1">
        <f ca="1">EDATE(Swap_Date,24)</f>
        <v>44301</v>
      </c>
      <c r="F6" t="str">
        <f ca="1">_xll.BDP(J6,"PX_LAST")</f>
        <v>#N/A Connection</v>
      </c>
      <c r="H6" t="s">
        <v>35</v>
      </c>
      <c r="I6" t="str">
        <f ca="1">$I$5&amp;$L6&amp;" "&amp;$I$4</f>
        <v>EDM9 Comdty</v>
      </c>
      <c r="J6" t="s">
        <v>41</v>
      </c>
      <c r="L6" t="str">
        <f ca="1">get_fut_code(C6)</f>
        <v>M9</v>
      </c>
    </row>
    <row r="7" spans="1:12" x14ac:dyDescent="0.25">
      <c r="A7" s="1">
        <f ca="1">EDATE(Swap_Date,1)</f>
        <v>43600</v>
      </c>
      <c r="B7" t="str">
        <f ca="1">_xll.BDP(H7,"PX_LAST")</f>
        <v>#N/A Connection</v>
      </c>
      <c r="C7" s="1">
        <f ca="1">nextimm(C6+1)</f>
        <v>43726</v>
      </c>
      <c r="D7" t="e">
        <f ca="1">100-_xll.BDP(I7,"PX_LAST")</f>
        <v>#VALUE!</v>
      </c>
      <c r="E7" s="1">
        <f ca="1">EDATE(E6,12)</f>
        <v>44666</v>
      </c>
      <c r="F7" t="str">
        <f ca="1">_xll.BDP(J7,"PX_LAST")</f>
        <v>#N/A Connection</v>
      </c>
      <c r="H7" t="s">
        <v>36</v>
      </c>
      <c r="I7" t="str">
        <f t="shared" ref="I7:I13" ca="1" si="0">$I$5&amp;$L7&amp;" "&amp;$I$4</f>
        <v>EDU9 Comdty</v>
      </c>
      <c r="J7" t="s">
        <v>42</v>
      </c>
      <c r="L7" t="str">
        <f t="shared" ref="L7:L13" ca="1" si="1">get_fut_code(C7)</f>
        <v>U9</v>
      </c>
    </row>
    <row r="8" spans="1:12" x14ac:dyDescent="0.25">
      <c r="A8" s="1">
        <f ca="1">EDATE(Swap_Date,2)</f>
        <v>43631</v>
      </c>
      <c r="B8" t="str">
        <f ca="1">_xll.BDP(H8,"PX_LAST")</f>
        <v>#N/A Connection</v>
      </c>
      <c r="C8" s="1">
        <f t="shared" ref="C8:C13" ca="1" si="2">nextimm(C7+1)</f>
        <v>43817</v>
      </c>
      <c r="D8" t="e">
        <f ca="1">100-_xll.BDP(I8,"PX_LAST")</f>
        <v>#VALUE!</v>
      </c>
      <c r="E8" s="1">
        <f t="shared" ref="E8:E21" ca="1" si="3">EDATE(E7,12)</f>
        <v>45031</v>
      </c>
      <c r="F8" t="str">
        <f ca="1">_xll.BDP(J8,"PX_LAST")</f>
        <v>#N/A Connection</v>
      </c>
      <c r="H8" t="s">
        <v>37</v>
      </c>
      <c r="I8" t="str">
        <f t="shared" ca="1" si="0"/>
        <v>EDZ9 Comdty</v>
      </c>
      <c r="J8" t="s">
        <v>43</v>
      </c>
      <c r="L8" t="str">
        <f t="shared" ca="1" si="1"/>
        <v>Z9</v>
      </c>
    </row>
    <row r="9" spans="1:12" x14ac:dyDescent="0.25">
      <c r="A9" s="1">
        <f ca="1">EDATE(Swap_Date,3)</f>
        <v>43661</v>
      </c>
      <c r="B9" t="str">
        <f ca="1">_xll.BDP(H9,"PX_LAST")</f>
        <v>#N/A Connection</v>
      </c>
      <c r="C9" s="1">
        <f t="shared" ca="1" si="2"/>
        <v>43908</v>
      </c>
      <c r="D9" t="e">
        <f ca="1">100-_xll.BDP(I9,"PX_LAST")</f>
        <v>#VALUE!</v>
      </c>
      <c r="E9" s="1">
        <f t="shared" ca="1" si="3"/>
        <v>45397</v>
      </c>
      <c r="F9" t="str">
        <f ca="1">_xll.BDP(J9,"PX_LAST")</f>
        <v>#N/A Connection</v>
      </c>
      <c r="H9" t="s">
        <v>38</v>
      </c>
      <c r="I9" t="str">
        <f t="shared" ca="1" si="0"/>
        <v>EDH0 Comdty</v>
      </c>
      <c r="J9" t="s">
        <v>44</v>
      </c>
      <c r="L9" t="str">
        <f t="shared" ca="1" si="1"/>
        <v>H0</v>
      </c>
    </row>
    <row r="10" spans="1:12" x14ac:dyDescent="0.25">
      <c r="A10" s="1">
        <f ca="1">EDATE(Swap_Date,6)</f>
        <v>43753</v>
      </c>
      <c r="B10" t="str">
        <f ca="1">_xll.BDP(H10,"PX_LAST")</f>
        <v>#N/A Connection</v>
      </c>
      <c r="C10" s="1">
        <f t="shared" ca="1" si="2"/>
        <v>43999</v>
      </c>
      <c r="D10" t="e">
        <f ca="1">100-_xll.BDP(I10,"PX_LAST")</f>
        <v>#VALUE!</v>
      </c>
      <c r="E10" s="1">
        <f t="shared" ca="1" si="3"/>
        <v>45762</v>
      </c>
      <c r="F10" t="str">
        <f ca="1">_xll.BDP(J10,"PX_LAST")</f>
        <v>#N/A Connection</v>
      </c>
      <c r="H10" t="s">
        <v>39</v>
      </c>
      <c r="I10" t="str">
        <f t="shared" ca="1" si="0"/>
        <v>EDM0 Comdty</v>
      </c>
      <c r="J10" t="s">
        <v>45</v>
      </c>
      <c r="L10" t="str">
        <f t="shared" ca="1" si="1"/>
        <v>M0</v>
      </c>
    </row>
    <row r="11" spans="1:12" x14ac:dyDescent="0.25">
      <c r="A11" s="1">
        <f ca="1">EDATE(Swap_Date,12)</f>
        <v>43936</v>
      </c>
      <c r="B11" t="str">
        <f ca="1">_xll.BDP(H11,"PX_LAST")</f>
        <v>#N/A Connection</v>
      </c>
      <c r="C11" s="1">
        <f t="shared" ca="1" si="2"/>
        <v>44090</v>
      </c>
      <c r="D11" t="e">
        <f ca="1">100-_xll.BDP(I11,"PX_LAST")</f>
        <v>#VALUE!</v>
      </c>
      <c r="E11" s="1">
        <f t="shared" ca="1" si="3"/>
        <v>46127</v>
      </c>
      <c r="F11" t="str">
        <f ca="1">_xll.BDP(J11,"PX_LAST")</f>
        <v>#N/A Connection</v>
      </c>
      <c r="H11" t="s">
        <v>40</v>
      </c>
      <c r="I11" t="str">
        <f t="shared" ca="1" si="0"/>
        <v>EDU0 Comdty</v>
      </c>
      <c r="J11" t="s">
        <v>46</v>
      </c>
      <c r="L11" t="str">
        <f t="shared" ca="1" si="1"/>
        <v>U0</v>
      </c>
    </row>
    <row r="12" spans="1:12" x14ac:dyDescent="0.25">
      <c r="A12" s="10">
        <f ca="1">EDATE(A11,10)</f>
        <v>44242</v>
      </c>
      <c r="B12" s="11" t="str">
        <f ca="1">$B$11</f>
        <v>#N/A Connection</v>
      </c>
      <c r="C12" s="1">
        <f t="shared" ca="1" si="2"/>
        <v>44181</v>
      </c>
      <c r="D12" t="e">
        <f ca="1">100-_xll.BDP(I12,"PX_LAST")</f>
        <v>#VALUE!</v>
      </c>
      <c r="E12" s="1">
        <f t="shared" ca="1" si="3"/>
        <v>46492</v>
      </c>
      <c r="F12" t="str">
        <f ca="1">_xll.BDP(J12,"PX_LAST")</f>
        <v>#N/A Connection</v>
      </c>
      <c r="I12" t="str">
        <f t="shared" ca="1" si="0"/>
        <v>EDZ0 Comdty</v>
      </c>
      <c r="J12" t="s">
        <v>47</v>
      </c>
      <c r="L12" t="str">
        <f t="shared" ca="1" si="1"/>
        <v>Z0</v>
      </c>
    </row>
    <row r="13" spans="1:12" x14ac:dyDescent="0.25">
      <c r="C13" s="1">
        <f t="shared" ca="1" si="2"/>
        <v>44272</v>
      </c>
      <c r="D13" t="e">
        <f ca="1">100-_xll.BDP(I13,"PX_LAST")</f>
        <v>#VALUE!</v>
      </c>
      <c r="E13" s="1">
        <f t="shared" ca="1" si="3"/>
        <v>46858</v>
      </c>
      <c r="F13" t="str">
        <f ca="1">_xll.BDP(J13,"PX_LAST")</f>
        <v>#N/A Connection</v>
      </c>
      <c r="I13" t="str">
        <f t="shared" ca="1" si="0"/>
        <v>EDH1 Comdty</v>
      </c>
      <c r="J13" t="s">
        <v>48</v>
      </c>
      <c r="L13" t="str">
        <f t="shared" ca="1" si="1"/>
        <v>H1</v>
      </c>
    </row>
    <row r="14" spans="1:12" x14ac:dyDescent="0.25">
      <c r="E14" s="1">
        <f t="shared" ca="1" si="3"/>
        <v>47223</v>
      </c>
      <c r="F14" t="str">
        <f ca="1">_xll.BDP(J14,"PX_LAST")</f>
        <v>#N/A Connection</v>
      </c>
      <c r="J14" t="s">
        <v>25</v>
      </c>
    </row>
    <row r="15" spans="1:12" x14ac:dyDescent="0.25">
      <c r="E15" s="1">
        <f t="shared" ca="1" si="3"/>
        <v>47588</v>
      </c>
      <c r="F15" t="str">
        <f ca="1">_xll.BDP(J15,"PX_LAST")</f>
        <v>#N/A Connection</v>
      </c>
      <c r="J15" t="s">
        <v>49</v>
      </c>
    </row>
    <row r="16" spans="1:12" x14ac:dyDescent="0.25">
      <c r="E16" s="1">
        <f t="shared" ca="1" si="3"/>
        <v>47953</v>
      </c>
      <c r="F16" t="str">
        <f ca="1">_xll.BDP(J16,"PX_LAST")</f>
        <v>#N/A Connection</v>
      </c>
      <c r="J16" t="s">
        <v>50</v>
      </c>
    </row>
    <row r="17" spans="1:17" x14ac:dyDescent="0.25">
      <c r="E17" s="1">
        <f t="shared" ca="1" si="3"/>
        <v>48319</v>
      </c>
      <c r="F17" t="str">
        <f ca="1">_xll.BDP(J17,"PX_LAST")</f>
        <v>#N/A Connection</v>
      </c>
      <c r="J17" t="s">
        <v>51</v>
      </c>
    </row>
    <row r="18" spans="1:17" x14ac:dyDescent="0.25">
      <c r="E18" s="1">
        <f t="shared" ca="1" si="3"/>
        <v>48684</v>
      </c>
      <c r="F18" t="str">
        <f ca="1">_xll.BDP(J18,"PX_LAST")</f>
        <v>#N/A Connection</v>
      </c>
      <c r="J18" t="s">
        <v>52</v>
      </c>
    </row>
    <row r="19" spans="1:17" x14ac:dyDescent="0.25">
      <c r="E19" s="1">
        <f t="shared" ca="1" si="3"/>
        <v>49049</v>
      </c>
      <c r="F19" t="str">
        <f ca="1">_xll.BDP(J19,"PX_LAST")</f>
        <v>#N/A Connection</v>
      </c>
      <c r="J19" t="s">
        <v>53</v>
      </c>
    </row>
    <row r="20" spans="1:17" x14ac:dyDescent="0.25">
      <c r="E20" s="1">
        <f t="shared" ca="1" si="3"/>
        <v>49414</v>
      </c>
      <c r="F20" t="str">
        <f ca="1">_xll.BDP(J20,"PX_LAST")</f>
        <v>#N/A Connection</v>
      </c>
      <c r="J20" t="s">
        <v>54</v>
      </c>
    </row>
    <row r="21" spans="1:17" x14ac:dyDescent="0.25">
      <c r="E21" s="1">
        <f t="shared" ca="1" si="3"/>
        <v>49780</v>
      </c>
      <c r="F21" t="str">
        <f ca="1">_xll.BDP(J21,"PX_LAST")</f>
        <v>#N/A Connection</v>
      </c>
      <c r="J21" t="s">
        <v>55</v>
      </c>
    </row>
    <row r="22" spans="1:17" x14ac:dyDescent="0.25">
      <c r="E22" s="1">
        <f ca="1">EDATE(E21,36)</f>
        <v>50875</v>
      </c>
      <c r="F22" t="str">
        <f ca="1">_xll.BDP(J22,"PX_LAST")</f>
        <v>#N/A Connection</v>
      </c>
      <c r="J22" t="s">
        <v>56</v>
      </c>
    </row>
    <row r="23" spans="1:17" x14ac:dyDescent="0.25">
      <c r="E23" s="1">
        <f ca="1">EDATE(E22,60)</f>
        <v>52702</v>
      </c>
      <c r="F23" t="str">
        <f ca="1">_xll.BDP(J23,"PX_LAST")</f>
        <v>#N/A Connection</v>
      </c>
      <c r="J23" t="s">
        <v>57</v>
      </c>
    </row>
    <row r="24" spans="1:17" x14ac:dyDescent="0.25">
      <c r="E24" s="1">
        <f ca="1">EDATE(E23,60)</f>
        <v>54528</v>
      </c>
      <c r="F24" t="str">
        <f ca="1">_xll.BDP(J24,"PX_LAST")</f>
        <v>#N/A Connection</v>
      </c>
      <c r="J24" t="s">
        <v>58</v>
      </c>
    </row>
    <row r="25" spans="1:17" x14ac:dyDescent="0.25">
      <c r="E25" s="1">
        <f ca="1">EDATE(E24,120)</f>
        <v>58180</v>
      </c>
      <c r="F25" t="str">
        <f ca="1">_xll.BDP(J25,"PX_LAST")</f>
        <v>#N/A Connection</v>
      </c>
      <c r="J25" t="s">
        <v>59</v>
      </c>
    </row>
    <row r="26" spans="1:17" x14ac:dyDescent="0.25">
      <c r="E26" s="1">
        <f ca="1">EDATE(E25,12)</f>
        <v>58546</v>
      </c>
      <c r="F26" t="str">
        <f ca="1">F25</f>
        <v>#N/A Connection</v>
      </c>
    </row>
    <row r="29" spans="1:17" x14ac:dyDescent="0.25">
      <c r="A29" t="s">
        <v>13</v>
      </c>
      <c r="B29">
        <v>7</v>
      </c>
      <c r="D29">
        <v>7</v>
      </c>
      <c r="F29">
        <v>100</v>
      </c>
    </row>
    <row r="30" spans="1:17" x14ac:dyDescent="0.25">
      <c r="A30" t="s">
        <v>28</v>
      </c>
      <c r="B30" t="s">
        <v>29</v>
      </c>
      <c r="C30" t="s">
        <v>30</v>
      </c>
      <c r="D30" t="s">
        <v>31</v>
      </c>
      <c r="E30" t="s">
        <v>32</v>
      </c>
      <c r="F30" t="s">
        <v>33</v>
      </c>
      <c r="I30" t="s">
        <v>651</v>
      </c>
      <c r="M30" s="4" t="s">
        <v>199</v>
      </c>
      <c r="N30" s="4" t="s">
        <v>34</v>
      </c>
    </row>
    <row r="31" spans="1:17" x14ac:dyDescent="0.25">
      <c r="A31" s="1">
        <f ca="1">WORKDAY(Swap_Date,1)</f>
        <v>43571</v>
      </c>
      <c r="B31" t="e">
        <f ca="1">_xll.BDP(H31,"PX_LAST")+$P$31</f>
        <v>#VALUE!</v>
      </c>
      <c r="C31" s="1">
        <f ca="1">nextimm(Swap_Date)</f>
        <v>43635</v>
      </c>
      <c r="D31" t="e">
        <f ca="1">100-IF(ISNUMBER(_xll.BDP(I31,"PX_LAST")),_xll.BDP(I31,"PX_LAST")+$P$31,100-B34)</f>
        <v>#VALUE!</v>
      </c>
      <c r="E31" s="1">
        <f ca="1">EDATE(Swap_Date,24)</f>
        <v>44301</v>
      </c>
      <c r="F31" t="e">
        <f ca="1">_xll.BDP(J31,"PX_LAST")+M31</f>
        <v>#VALUE!</v>
      </c>
      <c r="H31" t="s">
        <v>6</v>
      </c>
      <c r="I31" t="str">
        <f ca="1">$I$30&amp;$L6&amp;" "&amp;$I$4</f>
        <v>ERM9 Comdty</v>
      </c>
      <c r="J31" t="s">
        <v>68</v>
      </c>
      <c r="M31" t="e">
        <f ca="1">_xll.BDP(N31,"PX_LAST")/100</f>
        <v>#VALUE!</v>
      </c>
      <c r="N31" t="s">
        <v>200</v>
      </c>
      <c r="P31" t="e">
        <f ca="1">_xll.BDP(Q31,"PX_LAST")/100</f>
        <v>#VALUE!</v>
      </c>
      <c r="Q31" t="s">
        <v>293</v>
      </c>
    </row>
    <row r="32" spans="1:17" x14ac:dyDescent="0.25">
      <c r="A32" s="1">
        <f ca="1">EDATE(Swap_Date,1)</f>
        <v>43600</v>
      </c>
      <c r="B32" t="e">
        <f ca="1">_xll.BDP(H32,"PX_LAST")+$P$31</f>
        <v>#VALUE!</v>
      </c>
      <c r="C32" s="1">
        <f ca="1">nextimm(C31+1)</f>
        <v>43726</v>
      </c>
      <c r="D32" t="e">
        <f ca="1">IFERROR($P$31+100-_xll.BDP(I32,"PX_LAST"),D31)</f>
        <v>#VALUE!</v>
      </c>
      <c r="E32" s="1">
        <f ca="1">EDATE(E31,12)</f>
        <v>44666</v>
      </c>
      <c r="F32" t="e">
        <f ca="1">_xll.BDP(J32,"PX_LAST")+M32</f>
        <v>#VALUE!</v>
      </c>
      <c r="H32" t="s">
        <v>63</v>
      </c>
      <c r="I32" t="str">
        <f t="shared" ref="I32:I38" ca="1" si="4">$I$30&amp;$L7&amp;" "&amp;$I$4</f>
        <v>ERU9 Comdty</v>
      </c>
      <c r="J32" t="s">
        <v>69</v>
      </c>
      <c r="M32" t="e">
        <f ca="1">_xll.BDP(N32,"PX_LAST")/100</f>
        <v>#VALUE!</v>
      </c>
      <c r="N32" t="s">
        <v>201</v>
      </c>
    </row>
    <row r="33" spans="1:14" x14ac:dyDescent="0.25">
      <c r="A33" s="1">
        <f ca="1">EDATE(Swap_Date,2)</f>
        <v>43631</v>
      </c>
      <c r="B33" t="e">
        <f ca="1">_xll.BDP(H33,"PX_LAST")+$P$31</f>
        <v>#VALUE!</v>
      </c>
      <c r="C33" s="1">
        <f t="shared" ref="C33:C38" ca="1" si="5">nextimm(C32+1)</f>
        <v>43817</v>
      </c>
      <c r="D33" t="e">
        <f ca="1">IFERROR($P$31+100-_xll.BDP(I33,"PX_LAST"),0.5*(D32+D34))</f>
        <v>#VALUE!</v>
      </c>
      <c r="E33" s="1">
        <f t="shared" ref="E33:E46" ca="1" si="6">EDATE(E32,12)</f>
        <v>45031</v>
      </c>
      <c r="F33" t="e">
        <f ca="1">_xll.BDP(J33,"PX_LAST")+M33</f>
        <v>#VALUE!</v>
      </c>
      <c r="H33" t="s">
        <v>64</v>
      </c>
      <c r="I33" t="str">
        <f t="shared" ca="1" si="4"/>
        <v>ERZ9 Comdty</v>
      </c>
      <c r="J33" t="s">
        <v>72</v>
      </c>
      <c r="M33" t="e">
        <f ca="1">_xll.BDP(N33,"PX_LAST")/100</f>
        <v>#VALUE!</v>
      </c>
      <c r="N33" t="s">
        <v>202</v>
      </c>
    </row>
    <row r="34" spans="1:14" x14ac:dyDescent="0.25">
      <c r="A34" s="1">
        <f ca="1">EDATE(Swap_Date,3)</f>
        <v>43661</v>
      </c>
      <c r="B34" t="e">
        <f ca="1">_xll.BDP(H34,"PX_LAST")+$P$31</f>
        <v>#VALUE!</v>
      </c>
      <c r="C34" s="1">
        <f t="shared" ca="1" si="5"/>
        <v>43908</v>
      </c>
      <c r="D34" t="e">
        <f ca="1">$P$31+100-_xll.BDP(I34,"PX_LAST")</f>
        <v>#VALUE!</v>
      </c>
      <c r="E34" s="1">
        <f t="shared" ca="1" si="6"/>
        <v>45397</v>
      </c>
      <c r="F34" t="e">
        <f ca="1">_xll.BDP(J34,"PX_LAST")+M34</f>
        <v>#VALUE!</v>
      </c>
      <c r="H34" t="s">
        <v>65</v>
      </c>
      <c r="I34" t="str">
        <f t="shared" ca="1" si="4"/>
        <v>ERH0 Comdty</v>
      </c>
      <c r="J34" t="s">
        <v>70</v>
      </c>
      <c r="M34" t="e">
        <f ca="1">_xll.BDP(N34,"PX_LAST")/100</f>
        <v>#VALUE!</v>
      </c>
      <c r="N34" t="s">
        <v>203</v>
      </c>
    </row>
    <row r="35" spans="1:14" x14ac:dyDescent="0.25">
      <c r="A35" s="1">
        <f ca="1">EDATE(Swap_Date,6)</f>
        <v>43753</v>
      </c>
      <c r="B35" t="e">
        <f ca="1">_xll.BDP(H35,"PX_LAST")+$P$31</f>
        <v>#VALUE!</v>
      </c>
      <c r="C35" s="1">
        <f t="shared" ca="1" si="5"/>
        <v>43999</v>
      </c>
      <c r="D35" t="e">
        <f ca="1">$P$31+100-_xll.BDP(I35,"PX_LAST")</f>
        <v>#VALUE!</v>
      </c>
      <c r="E35" s="1">
        <f t="shared" ca="1" si="6"/>
        <v>45762</v>
      </c>
      <c r="F35" t="e">
        <f ca="1">_xll.BDP(J35,"PX_LAST")+M35</f>
        <v>#VALUE!</v>
      </c>
      <c r="H35" t="s">
        <v>66</v>
      </c>
      <c r="I35" t="str">
        <f t="shared" ca="1" si="4"/>
        <v>ERM0 Comdty</v>
      </c>
      <c r="J35" t="s">
        <v>73</v>
      </c>
      <c r="M35" t="e">
        <f ca="1">_xll.BDP(N35,"PX_LAST")/100</f>
        <v>#VALUE!</v>
      </c>
      <c r="N35" t="s">
        <v>204</v>
      </c>
    </row>
    <row r="36" spans="1:14" x14ac:dyDescent="0.25">
      <c r="A36" s="1">
        <f ca="1">EDATE(Swap_Date,12)</f>
        <v>43936</v>
      </c>
      <c r="B36" t="e">
        <f ca="1">_xll.BDP(H36,"PX_LAST")+$P$31</f>
        <v>#VALUE!</v>
      </c>
      <c r="C36" s="1">
        <f t="shared" ca="1" si="5"/>
        <v>44090</v>
      </c>
      <c r="D36" t="e">
        <f ca="1">$P$31+100-_xll.BDP(I36,"PX_LAST")</f>
        <v>#VALUE!</v>
      </c>
      <c r="E36" s="1">
        <f t="shared" ca="1" si="6"/>
        <v>46127</v>
      </c>
      <c r="F36" t="e">
        <f ca="1">_xll.BDP(J36,"PX_LAST")+M36</f>
        <v>#VALUE!</v>
      </c>
      <c r="H36" t="s">
        <v>67</v>
      </c>
      <c r="I36" t="str">
        <f t="shared" ca="1" si="4"/>
        <v>ERU0 Comdty</v>
      </c>
      <c r="J36" t="s">
        <v>71</v>
      </c>
      <c r="M36" t="e">
        <f ca="1">_xll.BDP(N36,"PX_LAST")/100</f>
        <v>#VALUE!</v>
      </c>
      <c r="N36" t="s">
        <v>205</v>
      </c>
    </row>
    <row r="37" spans="1:14" x14ac:dyDescent="0.25">
      <c r="A37" s="10">
        <f ca="1">EDATE(A36,10)</f>
        <v>44242</v>
      </c>
      <c r="B37" t="e">
        <f ca="1">$B$36</f>
        <v>#VALUE!</v>
      </c>
      <c r="C37" s="1">
        <f t="shared" ca="1" si="5"/>
        <v>44181</v>
      </c>
      <c r="D37" t="e">
        <f ca="1">$P$31+100-_xll.BDP(I37,"PX_LAST")</f>
        <v>#VALUE!</v>
      </c>
      <c r="E37" s="1">
        <f t="shared" ca="1" si="6"/>
        <v>46492</v>
      </c>
      <c r="F37" t="e">
        <f ca="1">_xll.BDP(J37,"PX_LAST")+M37</f>
        <v>#VALUE!</v>
      </c>
      <c r="I37" t="str">
        <f t="shared" ca="1" si="4"/>
        <v>ERZ0 Comdty</v>
      </c>
      <c r="J37" t="s">
        <v>74</v>
      </c>
      <c r="M37" t="e">
        <f ca="1">_xll.BDP(N37,"PX_LAST")/100</f>
        <v>#VALUE!</v>
      </c>
      <c r="N37" t="s">
        <v>206</v>
      </c>
    </row>
    <row r="38" spans="1:14" x14ac:dyDescent="0.25">
      <c r="C38" s="1">
        <f t="shared" ca="1" si="5"/>
        <v>44272</v>
      </c>
      <c r="D38" t="e">
        <f ca="1">$P$31+100-_xll.BDP(I38,"PX_LAST")</f>
        <v>#VALUE!</v>
      </c>
      <c r="E38" s="1">
        <f t="shared" ca="1" si="6"/>
        <v>46858</v>
      </c>
      <c r="F38" t="e">
        <f ca="1">_xll.BDP(J38,"PX_LAST")+M38</f>
        <v>#VALUE!</v>
      </c>
      <c r="I38" t="str">
        <f t="shared" ca="1" si="4"/>
        <v>ERH1 Comdty</v>
      </c>
      <c r="J38" t="s">
        <v>75</v>
      </c>
      <c r="M38" t="e">
        <f ca="1">_xll.BDP(N38,"PX_LAST")/100</f>
        <v>#VALUE!</v>
      </c>
      <c r="N38" t="s">
        <v>207</v>
      </c>
    </row>
    <row r="39" spans="1:14" x14ac:dyDescent="0.25">
      <c r="E39" s="1">
        <f t="shared" ca="1" si="6"/>
        <v>47223</v>
      </c>
      <c r="F39" t="e">
        <f ca="1">_xll.BDP(J39,"PX_LAST")+M39</f>
        <v>#VALUE!</v>
      </c>
      <c r="J39" t="s">
        <v>26</v>
      </c>
      <c r="M39" t="e">
        <f ca="1">_xll.BDP(N39,"PX_LAST")/100</f>
        <v>#VALUE!</v>
      </c>
      <c r="N39" t="s">
        <v>208</v>
      </c>
    </row>
    <row r="40" spans="1:14" x14ac:dyDescent="0.25">
      <c r="E40" s="1">
        <f t="shared" ca="1" si="6"/>
        <v>47588</v>
      </c>
      <c r="F40" t="e">
        <f ca="1">_xll.BDP(J40,"PX_LAST")+M40</f>
        <v>#VALUE!</v>
      </c>
      <c r="J40" t="s">
        <v>76</v>
      </c>
      <c r="M40" t="e">
        <f ca="1">_xll.BDP(N40,"PX_LAST")/100</f>
        <v>#VALUE!</v>
      </c>
      <c r="N40" t="s">
        <v>209</v>
      </c>
    </row>
    <row r="41" spans="1:14" x14ac:dyDescent="0.25">
      <c r="E41" s="1">
        <f t="shared" ca="1" si="6"/>
        <v>47953</v>
      </c>
      <c r="F41" t="e">
        <f ca="1">_xll.BDP(J41,"PX_LAST")+M41</f>
        <v>#VALUE!</v>
      </c>
      <c r="J41" t="s">
        <v>77</v>
      </c>
      <c r="M41" t="e">
        <f ca="1">_xll.BDP(N41,"PX_LAST")/100</f>
        <v>#VALUE!</v>
      </c>
      <c r="N41" t="s">
        <v>210</v>
      </c>
    </row>
    <row r="42" spans="1:14" x14ac:dyDescent="0.25">
      <c r="E42" s="1">
        <f t="shared" ca="1" si="6"/>
        <v>48319</v>
      </c>
      <c r="F42" t="e">
        <f ca="1">_xll.BDP(J42,"PX_LAST")+M42</f>
        <v>#VALUE!</v>
      </c>
      <c r="J42" t="s">
        <v>78</v>
      </c>
      <c r="M42" s="16" t="e">
        <f ca="1">(M44-M41)/3+M41</f>
        <v>#VALUE!</v>
      </c>
      <c r="N42" t="s">
        <v>211</v>
      </c>
    </row>
    <row r="43" spans="1:14" x14ac:dyDescent="0.25">
      <c r="E43" s="1">
        <f t="shared" ca="1" si="6"/>
        <v>48684</v>
      </c>
      <c r="F43" t="e">
        <f ca="1">_xll.BDP(J43,"PX_LAST")+M43</f>
        <v>#VALUE!</v>
      </c>
      <c r="J43" t="s">
        <v>79</v>
      </c>
      <c r="M43" s="16" t="e">
        <f ca="1">(M44-M41)/3*2+M41</f>
        <v>#VALUE!</v>
      </c>
      <c r="N43" t="s">
        <v>212</v>
      </c>
    </row>
    <row r="44" spans="1:14" x14ac:dyDescent="0.25">
      <c r="E44" s="1">
        <f t="shared" ca="1" si="6"/>
        <v>49049</v>
      </c>
      <c r="F44" t="e">
        <f ca="1">_xll.BDP(J44,"PX_LAST")+M44</f>
        <v>#VALUE!</v>
      </c>
      <c r="J44" t="s">
        <v>80</v>
      </c>
      <c r="M44" t="e">
        <f ca="1">_xll.BDP(N44,"PX_LAST")/100</f>
        <v>#VALUE!</v>
      </c>
      <c r="N44" t="s">
        <v>213</v>
      </c>
    </row>
    <row r="45" spans="1:14" x14ac:dyDescent="0.25">
      <c r="E45" s="1">
        <f t="shared" ca="1" si="6"/>
        <v>49414</v>
      </c>
      <c r="F45" t="e">
        <f ca="1">_xll.BDP(J45,"PX_LAST")+M45</f>
        <v>#VALUE!</v>
      </c>
      <c r="J45" t="s">
        <v>81</v>
      </c>
      <c r="M45" s="16" t="e">
        <f ca="1">(M47-M44)/5+M44</f>
        <v>#VALUE!</v>
      </c>
      <c r="N45" t="s">
        <v>214</v>
      </c>
    </row>
    <row r="46" spans="1:14" x14ac:dyDescent="0.25">
      <c r="E46" s="1">
        <f t="shared" ca="1" si="6"/>
        <v>49780</v>
      </c>
      <c r="F46" t="e">
        <f ca="1">_xll.BDP(J46,"PX_LAST")+M46</f>
        <v>#VALUE!</v>
      </c>
      <c r="J46" t="s">
        <v>82</v>
      </c>
      <c r="M46" s="16" t="e">
        <f ca="1">(M47-M44)/5*2+M44</f>
        <v>#VALUE!</v>
      </c>
      <c r="N46" t="s">
        <v>215</v>
      </c>
    </row>
    <row r="47" spans="1:14" x14ac:dyDescent="0.25">
      <c r="E47" s="1">
        <f ca="1">EDATE(E46,36)</f>
        <v>50875</v>
      </c>
      <c r="F47" t="e">
        <f ca="1">_xll.BDP(J47,"PX_LAST")+M47</f>
        <v>#VALUE!</v>
      </c>
      <c r="J47" t="s">
        <v>83</v>
      </c>
      <c r="M47" t="e">
        <f ca="1">_xll.BDP(N47,"PX_LAST")/100</f>
        <v>#VALUE!</v>
      </c>
      <c r="N47" t="s">
        <v>216</v>
      </c>
    </row>
    <row r="48" spans="1:14" x14ac:dyDescent="0.25">
      <c r="E48" s="1">
        <f ca="1">EDATE(E47,60)</f>
        <v>52702</v>
      </c>
      <c r="F48" t="e">
        <f ca="1">_xll.BDP(J48,"PX_LAST")+M48</f>
        <v>#VALUE!</v>
      </c>
      <c r="J48" t="s">
        <v>84</v>
      </c>
      <c r="M48" t="e">
        <f ca="1">_xll.BDP(N48,"PX_LAST")/100</f>
        <v>#VALUE!</v>
      </c>
      <c r="N48" t="s">
        <v>217</v>
      </c>
    </row>
    <row r="49" spans="1:17" x14ac:dyDescent="0.25">
      <c r="E49" s="1">
        <f ca="1">EDATE(E48,60)</f>
        <v>54528</v>
      </c>
      <c r="F49" t="e">
        <f ca="1">_xll.BDP(J49,"PX_LAST")+M49</f>
        <v>#VALUE!</v>
      </c>
      <c r="J49" t="s">
        <v>85</v>
      </c>
      <c r="M49" t="e">
        <f ca="1">_xll.BDP(N49,"PX_LAST")/100</f>
        <v>#VALUE!</v>
      </c>
      <c r="N49" t="s">
        <v>218</v>
      </c>
    </row>
    <row r="50" spans="1:17" x14ac:dyDescent="0.25">
      <c r="E50" s="1">
        <f ca="1">EDATE(E49,120)</f>
        <v>58180</v>
      </c>
      <c r="F50" t="e">
        <f ca="1">_xll.BDP(J50,"PX_LAST")+M50</f>
        <v>#VALUE!</v>
      </c>
      <c r="J50" t="s">
        <v>86</v>
      </c>
      <c r="M50" t="e">
        <f ca="1">_xll.BDP(N50,"PX_LAST")/100</f>
        <v>#VALUE!</v>
      </c>
      <c r="N50" t="s">
        <v>219</v>
      </c>
    </row>
    <row r="51" spans="1:17" x14ac:dyDescent="0.25">
      <c r="E51" s="1">
        <f ca="1">EDATE(E50,12)</f>
        <v>58546</v>
      </c>
      <c r="F51" t="e">
        <f ca="1">$F$50</f>
        <v>#VALUE!</v>
      </c>
    </row>
    <row r="54" spans="1:17" x14ac:dyDescent="0.25">
      <c r="A54" t="s">
        <v>19</v>
      </c>
      <c r="B54">
        <v>7</v>
      </c>
      <c r="D54">
        <v>7</v>
      </c>
      <c r="F54">
        <v>100</v>
      </c>
    </row>
    <row r="55" spans="1:17" x14ac:dyDescent="0.25">
      <c r="A55" t="s">
        <v>28</v>
      </c>
      <c r="B55" t="s">
        <v>29</v>
      </c>
      <c r="C55" t="s">
        <v>30</v>
      </c>
      <c r="D55" t="s">
        <v>31</v>
      </c>
      <c r="E55" t="s">
        <v>32</v>
      </c>
      <c r="F55" t="s">
        <v>33</v>
      </c>
      <c r="I55" t="s">
        <v>652</v>
      </c>
      <c r="M55" s="4" t="s">
        <v>199</v>
      </c>
      <c r="N55" s="4" t="s">
        <v>34</v>
      </c>
    </row>
    <row r="56" spans="1:17" ht="15.6" customHeight="1" x14ac:dyDescent="0.25">
      <c r="A56" s="1">
        <f ca="1">WORKDAY(Swap_Date,1)</f>
        <v>43571</v>
      </c>
      <c r="B56" t="e">
        <f ca="1">_xll.BDP(H56,"PX_LAST")+$P$56</f>
        <v>#VALUE!</v>
      </c>
      <c r="C56" s="1">
        <f ca="1">nextimm(Swap_Date)</f>
        <v>43635</v>
      </c>
      <c r="D56" t="e">
        <f ca="1">100-IF(ISNUMBER(_xll.BDP(I56,"PX_LAST")),_xll.BDP(I56,"PX_LAST")+$P$56,100-B59)</f>
        <v>#VALUE!</v>
      </c>
      <c r="E56" s="1">
        <f ca="1">EDATE(Swap_Date,24)</f>
        <v>44301</v>
      </c>
      <c r="F56" t="e">
        <f ca="1">_xll.BDP(J56,"PX_LAST")+M56</f>
        <v>#VALUE!</v>
      </c>
      <c r="H56" t="s">
        <v>0</v>
      </c>
      <c r="I56" t="str">
        <f ca="1">$I$55&amp;$L6&amp;" "&amp;$I$4</f>
        <v>YEM9 Comdty</v>
      </c>
      <c r="J56" t="s">
        <v>87</v>
      </c>
      <c r="M56" t="e">
        <f ca="1">_xll.BDP(N56,"PX_LAST")/100</f>
        <v>#VALUE!</v>
      </c>
      <c r="N56" t="s">
        <v>220</v>
      </c>
      <c r="P56" t="e">
        <f ca="1">_xll.BDP(Q56,"PX_LAST")/100</f>
        <v>#VALUE!</v>
      </c>
      <c r="Q56" t="s">
        <v>294</v>
      </c>
    </row>
    <row r="57" spans="1:17" ht="15.6" customHeight="1" x14ac:dyDescent="0.25">
      <c r="A57" s="1">
        <f ca="1">EDATE(Swap_Date,1)</f>
        <v>43600</v>
      </c>
      <c r="B57" t="e">
        <f ca="1">_xll.BDP(H57,"PX_LAST")+$P$56</f>
        <v>#VALUE!</v>
      </c>
      <c r="C57" s="1">
        <f ca="1">nextimm(C56+1)</f>
        <v>43726</v>
      </c>
      <c r="D57" t="e">
        <f ca="1">IFERROR(100-_xll.BDP(I57,"PX_LAST")+$M$56,D56)</f>
        <v>#VALUE!</v>
      </c>
      <c r="E57" s="1">
        <f ca="1">EDATE(E56,12)</f>
        <v>44666</v>
      </c>
      <c r="F57" t="e">
        <f ca="1">_xll.BDP(J57,"PX_LAST")+M57</f>
        <v>#VALUE!</v>
      </c>
      <c r="H57" t="s">
        <v>1</v>
      </c>
      <c r="I57" t="str">
        <f t="shared" ref="I57:I63" ca="1" si="7">$I$55&amp;$L7&amp;" "&amp;$I$4</f>
        <v>YEU9 Comdty</v>
      </c>
      <c r="J57" t="s">
        <v>88</v>
      </c>
      <c r="M57" t="e">
        <f ca="1">_xll.BDP(N57,"PX_LAST")/100</f>
        <v>#VALUE!</v>
      </c>
      <c r="N57" t="s">
        <v>221</v>
      </c>
    </row>
    <row r="58" spans="1:17" ht="15.6" customHeight="1" x14ac:dyDescent="0.25">
      <c r="A58" s="1">
        <f ca="1">EDATE(Swap_Date,2)</f>
        <v>43631</v>
      </c>
      <c r="B58" t="e">
        <f ca="1">_xll.BDP(H58,"PX_LAST")+$P$56</f>
        <v>#VALUE!</v>
      </c>
      <c r="C58" s="1">
        <f t="shared" ref="C58:C63" ca="1" si="8">nextimm(C57+1)</f>
        <v>43817</v>
      </c>
      <c r="D58" t="e">
        <f ca="1">100-_xll.BDP(I58,"PX_LAST")+$M$56</f>
        <v>#VALUE!</v>
      </c>
      <c r="E58" s="1">
        <f t="shared" ref="E58:E71" ca="1" si="9">EDATE(E57,12)</f>
        <v>45031</v>
      </c>
      <c r="F58" t="e">
        <f ca="1">_xll.BDP(J58,"PX_LAST")+M58</f>
        <v>#VALUE!</v>
      </c>
      <c r="H58" t="s">
        <v>2</v>
      </c>
      <c r="I58" t="str">
        <f t="shared" ca="1" si="7"/>
        <v>YEZ9 Comdty</v>
      </c>
      <c r="J58" t="s">
        <v>89</v>
      </c>
      <c r="M58" t="e">
        <f ca="1">_xll.BDP(N58,"PX_LAST")/100</f>
        <v>#VALUE!</v>
      </c>
      <c r="N58" t="s">
        <v>222</v>
      </c>
    </row>
    <row r="59" spans="1:17" x14ac:dyDescent="0.25">
      <c r="A59" s="1">
        <f ca="1">EDATE(Swap_Date,3)</f>
        <v>43661</v>
      </c>
      <c r="B59" t="e">
        <f ca="1">_xll.BDP(H59,"PX_LAST")+$P$56</f>
        <v>#VALUE!</v>
      </c>
      <c r="C59" s="1">
        <f t="shared" ca="1" si="8"/>
        <v>43908</v>
      </c>
      <c r="D59" t="e">
        <f ca="1">100-_xll.BDP(I59,"PX_LAST")+$M$56</f>
        <v>#VALUE!</v>
      </c>
      <c r="E59" s="1">
        <f t="shared" ca="1" si="9"/>
        <v>45397</v>
      </c>
      <c r="F59" t="e">
        <f ca="1">_xll.BDP(J59,"PX_LAST")+M59</f>
        <v>#VALUE!</v>
      </c>
      <c r="H59" t="s">
        <v>3</v>
      </c>
      <c r="I59" t="str">
        <f t="shared" ca="1" si="7"/>
        <v>YEH0 Comdty</v>
      </c>
      <c r="J59" t="s">
        <v>90</v>
      </c>
      <c r="M59" t="e">
        <f ca="1">_xll.BDP(N59,"PX_LAST")/100</f>
        <v>#VALUE!</v>
      </c>
      <c r="N59" t="s">
        <v>223</v>
      </c>
    </row>
    <row r="60" spans="1:17" x14ac:dyDescent="0.25">
      <c r="A60" s="1">
        <f ca="1">EDATE(Swap_Date,6)</f>
        <v>43753</v>
      </c>
      <c r="B60" t="e">
        <f ca="1">_xll.BDP(H60,"PX_LAST")+$P$56</f>
        <v>#VALUE!</v>
      </c>
      <c r="C60" s="1">
        <f t="shared" ca="1" si="8"/>
        <v>43999</v>
      </c>
      <c r="D60" t="e">
        <f ca="1">100-_xll.BDP(I60,"PX_LAST")+$M$56</f>
        <v>#VALUE!</v>
      </c>
      <c r="E60" s="1">
        <f t="shared" ca="1" si="9"/>
        <v>45762</v>
      </c>
      <c r="F60" t="e">
        <f ca="1">_xll.BDP(J60,"PX_LAST")+M60</f>
        <v>#VALUE!</v>
      </c>
      <c r="H60" t="s">
        <v>4</v>
      </c>
      <c r="I60" t="str">
        <f t="shared" ca="1" si="7"/>
        <v>YEM0 Comdty</v>
      </c>
      <c r="J60" t="s">
        <v>91</v>
      </c>
      <c r="M60" t="e">
        <f ca="1">_xll.BDP(N60,"PX_LAST")/100</f>
        <v>#VALUE!</v>
      </c>
      <c r="N60" t="s">
        <v>224</v>
      </c>
    </row>
    <row r="61" spans="1:17" x14ac:dyDescent="0.25">
      <c r="A61" s="1">
        <f ca="1">EDATE(Swap_Date,12)</f>
        <v>43936</v>
      </c>
      <c r="B61" t="e">
        <f ca="1">_xll.BDP(H61,"PX_LAST")+$P$56</f>
        <v>#VALUE!</v>
      </c>
      <c r="C61" s="1">
        <f t="shared" ca="1" si="8"/>
        <v>44090</v>
      </c>
      <c r="D61" t="e">
        <f ca="1">100-_xll.BDP(I61,"PX_LAST")+$M$56</f>
        <v>#VALUE!</v>
      </c>
      <c r="E61" s="1">
        <f t="shared" ca="1" si="9"/>
        <v>46127</v>
      </c>
      <c r="F61" t="e">
        <f ca="1">_xll.BDP(J61,"PX_LAST")+M61</f>
        <v>#VALUE!</v>
      </c>
      <c r="H61" t="s">
        <v>5</v>
      </c>
      <c r="I61" t="str">
        <f t="shared" ca="1" si="7"/>
        <v>YEU0 Comdty</v>
      </c>
      <c r="J61" t="s">
        <v>92</v>
      </c>
      <c r="M61" t="e">
        <f ca="1">_xll.BDP(N61,"PX_LAST")/100</f>
        <v>#VALUE!</v>
      </c>
      <c r="N61" t="s">
        <v>225</v>
      </c>
    </row>
    <row r="62" spans="1:17" x14ac:dyDescent="0.25">
      <c r="A62" s="10">
        <f ca="1">EDATE(A61,10)</f>
        <v>44242</v>
      </c>
      <c r="B62" t="e">
        <f ca="1">$B$61</f>
        <v>#VALUE!</v>
      </c>
      <c r="C62" s="1">
        <f t="shared" ca="1" si="8"/>
        <v>44181</v>
      </c>
      <c r="D62" t="e">
        <f ca="1">100-_xll.BDP(I62,"PX_LAST")+$M$56</f>
        <v>#VALUE!</v>
      </c>
      <c r="E62" s="1">
        <f t="shared" ca="1" si="9"/>
        <v>46492</v>
      </c>
      <c r="F62" t="e">
        <f ca="1">_xll.BDP(J62,"PX_LAST")+M62</f>
        <v>#VALUE!</v>
      </c>
      <c r="I62" t="str">
        <f t="shared" ca="1" si="7"/>
        <v>YEZ0 Comdty</v>
      </c>
      <c r="J62" t="s">
        <v>93</v>
      </c>
      <c r="M62" t="e">
        <f ca="1">_xll.BDP(N62,"PX_LAST")/100</f>
        <v>#VALUE!</v>
      </c>
      <c r="N62" t="s">
        <v>226</v>
      </c>
    </row>
    <row r="63" spans="1:17" x14ac:dyDescent="0.25">
      <c r="C63" s="1">
        <f t="shared" ca="1" si="8"/>
        <v>44272</v>
      </c>
      <c r="D63" t="e">
        <f ca="1">100-_xll.BDP(I63,"PX_LAST")+$M$56</f>
        <v>#VALUE!</v>
      </c>
      <c r="E63" s="1">
        <f t="shared" ca="1" si="9"/>
        <v>46858</v>
      </c>
      <c r="F63" t="e">
        <f ca="1">_xll.BDP(J63,"PX_LAST")+M63</f>
        <v>#VALUE!</v>
      </c>
      <c r="I63" t="str">
        <f t="shared" ca="1" si="7"/>
        <v>YEH1 Comdty</v>
      </c>
      <c r="J63" t="s">
        <v>94</v>
      </c>
      <c r="M63" t="e">
        <f ca="1">_xll.BDP(N63,"PX_LAST")/100</f>
        <v>#VALUE!</v>
      </c>
      <c r="N63" t="s">
        <v>227</v>
      </c>
    </row>
    <row r="64" spans="1:17" x14ac:dyDescent="0.25">
      <c r="E64" s="1">
        <f t="shared" ca="1" si="9"/>
        <v>47223</v>
      </c>
      <c r="F64" t="e">
        <f ca="1">_xll.BDP(J64,"PX_LAST")+M64</f>
        <v>#VALUE!</v>
      </c>
      <c r="J64" t="s">
        <v>95</v>
      </c>
      <c r="M64" t="e">
        <f ca="1">_xll.BDP(N64,"PX_LAST")/100</f>
        <v>#VALUE!</v>
      </c>
      <c r="N64" t="s">
        <v>228</v>
      </c>
    </row>
    <row r="65" spans="1:14" x14ac:dyDescent="0.25">
      <c r="E65" s="1">
        <f t="shared" ca="1" si="9"/>
        <v>47588</v>
      </c>
      <c r="F65" t="e">
        <f ca="1">_xll.BDP(J65,"PX_LAST")+M65</f>
        <v>#VALUE!</v>
      </c>
      <c r="J65" t="s">
        <v>96</v>
      </c>
      <c r="M65" t="e">
        <f ca="1">_xll.BDP(N65,"PX_LAST")/100</f>
        <v>#VALUE!</v>
      </c>
      <c r="N65" t="s">
        <v>229</v>
      </c>
    </row>
    <row r="66" spans="1:14" x14ac:dyDescent="0.25">
      <c r="E66" s="1">
        <f t="shared" ca="1" si="9"/>
        <v>47953</v>
      </c>
      <c r="F66" t="e">
        <f ca="1">_xll.BDP(J66,"PX_LAST")+M66</f>
        <v>#VALUE!</v>
      </c>
      <c r="J66" t="s">
        <v>97</v>
      </c>
      <c r="M66" t="e">
        <f ca="1">_xll.BDP(N66,"PX_LAST")/100</f>
        <v>#VALUE!</v>
      </c>
      <c r="N66" t="s">
        <v>230</v>
      </c>
    </row>
    <row r="67" spans="1:14" x14ac:dyDescent="0.25">
      <c r="E67" s="1">
        <f t="shared" ca="1" si="9"/>
        <v>48319</v>
      </c>
      <c r="F67" t="e">
        <f ca="1">_xll.BDP(J67,"PX_LAST")+M67</f>
        <v>#VALUE!</v>
      </c>
      <c r="J67" t="s">
        <v>98</v>
      </c>
      <c r="M67" s="16" t="e">
        <f ca="1">(M69-M66)/3+M66</f>
        <v>#VALUE!</v>
      </c>
      <c r="N67" t="s">
        <v>231</v>
      </c>
    </row>
    <row r="68" spans="1:14" x14ac:dyDescent="0.25">
      <c r="E68" s="1">
        <f t="shared" ca="1" si="9"/>
        <v>48684</v>
      </c>
      <c r="F68" t="e">
        <f ca="1">_xll.BDP(J68,"PX_LAST")+M68</f>
        <v>#VALUE!</v>
      </c>
      <c r="J68" t="s">
        <v>99</v>
      </c>
      <c r="M68" s="16" t="e">
        <f ca="1">(M69-M66)/3*2+M66</f>
        <v>#VALUE!</v>
      </c>
      <c r="N68" t="s">
        <v>232</v>
      </c>
    </row>
    <row r="69" spans="1:14" x14ac:dyDescent="0.25">
      <c r="E69" s="1">
        <f t="shared" ca="1" si="9"/>
        <v>49049</v>
      </c>
      <c r="F69" t="e">
        <f ca="1">_xll.BDP(J69,"PX_LAST")+M69</f>
        <v>#VALUE!</v>
      </c>
      <c r="J69" t="s">
        <v>100</v>
      </c>
      <c r="M69" t="e">
        <f ca="1">_xll.BDP(N69,"PX_LAST")/100</f>
        <v>#VALUE!</v>
      </c>
      <c r="N69" t="s">
        <v>233</v>
      </c>
    </row>
    <row r="70" spans="1:14" x14ac:dyDescent="0.25">
      <c r="E70" s="1">
        <f t="shared" ca="1" si="9"/>
        <v>49414</v>
      </c>
      <c r="F70" t="e">
        <f ca="1">_xll.BDP(J70,"PX_LAST")+M70</f>
        <v>#VALUE!</v>
      </c>
      <c r="J70" t="s">
        <v>101</v>
      </c>
      <c r="M70" s="16" t="e">
        <f ca="1">(M72-M69)/5+M69</f>
        <v>#VALUE!</v>
      </c>
      <c r="N70" t="s">
        <v>234</v>
      </c>
    </row>
    <row r="71" spans="1:14" x14ac:dyDescent="0.25">
      <c r="E71" s="1">
        <f t="shared" ca="1" si="9"/>
        <v>49780</v>
      </c>
      <c r="F71" t="e">
        <f ca="1">_xll.BDP(J71,"PX_LAST")+M71</f>
        <v>#VALUE!</v>
      </c>
      <c r="J71" t="s">
        <v>102</v>
      </c>
      <c r="M71" s="16" t="e">
        <f ca="1">(M72-M69)/5*2+M69</f>
        <v>#VALUE!</v>
      </c>
      <c r="N71" t="s">
        <v>235</v>
      </c>
    </row>
    <row r="72" spans="1:14" x14ac:dyDescent="0.25">
      <c r="E72" s="1">
        <f ca="1">EDATE(E71,36)</f>
        <v>50875</v>
      </c>
      <c r="F72" t="e">
        <f ca="1">_xll.BDP(J72,"PX_LAST")+M72</f>
        <v>#VALUE!</v>
      </c>
      <c r="J72" t="s">
        <v>103</v>
      </c>
      <c r="M72" t="e">
        <f ca="1">_xll.BDP(N72,"PX_LAST")/100</f>
        <v>#VALUE!</v>
      </c>
      <c r="N72" t="s">
        <v>236</v>
      </c>
    </row>
    <row r="73" spans="1:14" x14ac:dyDescent="0.25">
      <c r="E73" s="1">
        <f ca="1">EDATE(E72,60)</f>
        <v>52702</v>
      </c>
      <c r="F73" t="e">
        <f ca="1">_xll.BDP(J73,"PX_LAST")+M73</f>
        <v>#VALUE!</v>
      </c>
      <c r="J73" t="s">
        <v>104</v>
      </c>
      <c r="M73" t="e">
        <f ca="1">_xll.BDP(N73,"PX_LAST")/100</f>
        <v>#VALUE!</v>
      </c>
      <c r="N73" t="s">
        <v>237</v>
      </c>
    </row>
    <row r="74" spans="1:14" x14ac:dyDescent="0.25">
      <c r="E74" s="1">
        <f ca="1">EDATE(E73,60)</f>
        <v>54528</v>
      </c>
      <c r="F74" t="e">
        <f ca="1">_xll.BDP(J74,"PX_LAST")+M74</f>
        <v>#VALUE!</v>
      </c>
      <c r="J74" t="s">
        <v>105</v>
      </c>
      <c r="M74" t="e">
        <f ca="1">_xll.BDP(N74,"PX_LAST")/100</f>
        <v>#VALUE!</v>
      </c>
      <c r="N74" t="s">
        <v>238</v>
      </c>
    </row>
    <row r="75" spans="1:14" x14ac:dyDescent="0.25">
      <c r="E75" s="1">
        <f ca="1">EDATE(E74,120)</f>
        <v>58180</v>
      </c>
      <c r="F75" t="e">
        <f ca="1">_xll.BDP(J75,"PX_LAST")+M75</f>
        <v>#VALUE!</v>
      </c>
      <c r="J75" t="s">
        <v>106</v>
      </c>
      <c r="M75" t="e">
        <f ca="1">_xll.BDP(N75,"PX_LAST")/100</f>
        <v>#VALUE!</v>
      </c>
      <c r="N75" t="s">
        <v>239</v>
      </c>
    </row>
    <row r="76" spans="1:14" x14ac:dyDescent="0.25">
      <c r="E76" s="1">
        <f ca="1">EDATE(E75,12)</f>
        <v>58546</v>
      </c>
      <c r="F76" t="e">
        <f ca="1">$F$75</f>
        <v>#VALUE!</v>
      </c>
    </row>
    <row r="79" spans="1:14" x14ac:dyDescent="0.25">
      <c r="A79" t="s">
        <v>14</v>
      </c>
      <c r="B79">
        <v>7</v>
      </c>
      <c r="D79">
        <v>7</v>
      </c>
      <c r="F79">
        <v>100</v>
      </c>
    </row>
    <row r="80" spans="1:14" x14ac:dyDescent="0.25">
      <c r="A80" t="s">
        <v>28</v>
      </c>
      <c r="B80" t="s">
        <v>29</v>
      </c>
      <c r="C80" t="s">
        <v>30</v>
      </c>
      <c r="D80" t="s">
        <v>31</v>
      </c>
      <c r="E80" t="s">
        <v>32</v>
      </c>
      <c r="F80" t="s">
        <v>33</v>
      </c>
      <c r="I80" t="s">
        <v>653</v>
      </c>
      <c r="M80" s="4" t="s">
        <v>199</v>
      </c>
      <c r="N80" s="4" t="s">
        <v>34</v>
      </c>
    </row>
    <row r="81" spans="1:17" x14ac:dyDescent="0.25">
      <c r="A81" s="1">
        <f ca="1">WORKDAY(Swap_Date,1)</f>
        <v>43571</v>
      </c>
      <c r="B81" t="e">
        <f ca="1">_xll.BDP(H81,"PX_LAST")+$P$81</f>
        <v>#VALUE!</v>
      </c>
      <c r="C81" s="1">
        <f ca="1">nextimm(Swap_Date)</f>
        <v>43635</v>
      </c>
      <c r="D81" t="e">
        <f ca="1">100-IF(ISNUMBER(_xll.BDP(I81,"PX_LAST")),_xll.BDP(I81,"PX_LAST")+$P$81,100-B84)</f>
        <v>#VALUE!</v>
      </c>
      <c r="E81" s="1">
        <f ca="1">EDATE(Swap_Date,24)</f>
        <v>44301</v>
      </c>
      <c r="F81" t="e">
        <f ca="1">_xll.BDP(J81,"PX_LAST")+M81</f>
        <v>#VALUE!</v>
      </c>
      <c r="H81" t="s">
        <v>110</v>
      </c>
      <c r="I81" t="str">
        <f ca="1">$I$80&amp;$L$6&amp;" "&amp;$I$4</f>
        <v>L M9 Comdty</v>
      </c>
      <c r="J81" t="s">
        <v>116</v>
      </c>
      <c r="M81" t="e">
        <f ca="1">_xll.BDP(N81,"PX_LAST")/100</f>
        <v>#VALUE!</v>
      </c>
      <c r="N81" t="s">
        <v>259</v>
      </c>
      <c r="P81" t="e">
        <f ca="1">_xll.BDP(Q81,"PX_LAST")/100</f>
        <v>#VALUE!</v>
      </c>
      <c r="Q81" t="s">
        <v>297</v>
      </c>
    </row>
    <row r="82" spans="1:17" x14ac:dyDescent="0.25">
      <c r="A82" s="1">
        <f ca="1">EDATE(Swap_Date,1)</f>
        <v>43600</v>
      </c>
      <c r="B82" t="e">
        <f ca="1">_xll.BDP(H82,"PX_LAST")+$P$81</f>
        <v>#VALUE!</v>
      </c>
      <c r="C82" s="1">
        <f ca="1">nextimm(C81+1)</f>
        <v>43726</v>
      </c>
      <c r="D82" t="e">
        <f ca="1">IFERROR($P$81+100-_xll.BDP(I82,"PX_LAST"),D81)</f>
        <v>#VALUE!</v>
      </c>
      <c r="E82" s="1">
        <f ca="1">EDATE(E81,12)</f>
        <v>44666</v>
      </c>
      <c r="F82" t="e">
        <f ca="1">_xll.BDP(J82,"PX_LAST")+M82</f>
        <v>#VALUE!</v>
      </c>
      <c r="H82" t="s">
        <v>111</v>
      </c>
      <c r="I82" t="str">
        <f t="shared" ref="I82:I88" ca="1" si="10">$I$80&amp;$L7&amp;" "&amp;$I$4</f>
        <v>L U9 Comdty</v>
      </c>
      <c r="J82" t="s">
        <v>117</v>
      </c>
      <c r="M82" s="16" t="e">
        <f ca="1">(M81+M83)/2</f>
        <v>#VALUE!</v>
      </c>
      <c r="N82" t="s">
        <v>240</v>
      </c>
    </row>
    <row r="83" spans="1:17" x14ac:dyDescent="0.25">
      <c r="A83" s="1">
        <f ca="1">EDATE(Swap_Date,2)</f>
        <v>43631</v>
      </c>
      <c r="B83" t="e">
        <f ca="1">_xll.BDP(H83,"PX_LAST")+$P$81</f>
        <v>#VALUE!</v>
      </c>
      <c r="C83" s="1">
        <f t="shared" ref="C83:C88" ca="1" si="11">nextimm(C82+1)</f>
        <v>43817</v>
      </c>
      <c r="D83" t="e">
        <f ca="1">$P$81+100-_xll.BDP(I83,"PX_LAST")</f>
        <v>#VALUE!</v>
      </c>
      <c r="E83" s="1">
        <f t="shared" ref="E83:E96" ca="1" si="12">EDATE(E82,12)</f>
        <v>45031</v>
      </c>
      <c r="F83" t="e">
        <f ca="1">_xll.BDP(J83,"PX_LAST")+M83</f>
        <v>#VALUE!</v>
      </c>
      <c r="H83" t="s">
        <v>112</v>
      </c>
      <c r="I83" t="str">
        <f t="shared" ca="1" si="10"/>
        <v>L Z9 Comdty</v>
      </c>
      <c r="J83" t="s">
        <v>118</v>
      </c>
      <c r="M83" t="e">
        <f ca="1">_xll.BDP(N83,"PX_LAST")/100</f>
        <v>#VALUE!</v>
      </c>
      <c r="N83" t="s">
        <v>241</v>
      </c>
    </row>
    <row r="84" spans="1:17" x14ac:dyDescent="0.25">
      <c r="A84" s="1">
        <f ca="1">EDATE(Swap_Date,3)</f>
        <v>43661</v>
      </c>
      <c r="B84" t="e">
        <f ca="1">_xll.BDP(H84,"PX_LAST")+$P$81</f>
        <v>#VALUE!</v>
      </c>
      <c r="C84" s="1">
        <f t="shared" ca="1" si="11"/>
        <v>43908</v>
      </c>
      <c r="D84" t="e">
        <f ca="1">$P$81+100-_xll.BDP(I84,"PX_LAST")</f>
        <v>#VALUE!</v>
      </c>
      <c r="E84" s="1">
        <f t="shared" ca="1" si="12"/>
        <v>45397</v>
      </c>
      <c r="F84" t="e">
        <f ca="1">_xll.BDP(J84,"PX_LAST")+M84</f>
        <v>#VALUE!</v>
      </c>
      <c r="H84" t="s">
        <v>113</v>
      </c>
      <c r="I84" t="str">
        <f t="shared" ca="1" si="10"/>
        <v>L H0 Comdty</v>
      </c>
      <c r="J84" t="s">
        <v>119</v>
      </c>
      <c r="M84" t="e">
        <f ca="1">_xll.BDP(N84,"PX_LAST")/100</f>
        <v>#VALUE!</v>
      </c>
      <c r="N84" t="s">
        <v>242</v>
      </c>
    </row>
    <row r="85" spans="1:17" x14ac:dyDescent="0.25">
      <c r="A85" s="1">
        <f ca="1">EDATE(Swap_Date,6)</f>
        <v>43753</v>
      </c>
      <c r="B85" t="e">
        <f ca="1">_xll.BDP(H85,"PX_LAST")+$P$81</f>
        <v>#VALUE!</v>
      </c>
      <c r="C85" s="1">
        <f t="shared" ca="1" si="11"/>
        <v>43999</v>
      </c>
      <c r="D85" t="e">
        <f ca="1">$P$81+100-_xll.BDP(I85,"PX_LAST")</f>
        <v>#VALUE!</v>
      </c>
      <c r="E85" s="1">
        <f t="shared" ca="1" si="12"/>
        <v>45762</v>
      </c>
      <c r="F85" t="e">
        <f ca="1">_xll.BDP(J85,"PX_LAST")+M85</f>
        <v>#VALUE!</v>
      </c>
      <c r="H85" t="s">
        <v>114</v>
      </c>
      <c r="I85" t="str">
        <f t="shared" ca="1" si="10"/>
        <v>L M0 Comdty</v>
      </c>
      <c r="J85" t="s">
        <v>120</v>
      </c>
      <c r="M85" t="e">
        <f ca="1">_xll.BDP(N85,"PX_LAST")/100</f>
        <v>#VALUE!</v>
      </c>
      <c r="N85" t="s">
        <v>243</v>
      </c>
    </row>
    <row r="86" spans="1:17" x14ac:dyDescent="0.25">
      <c r="A86" s="1">
        <f ca="1">EDATE(Swap_Date,12)</f>
        <v>43936</v>
      </c>
      <c r="B86" t="e">
        <f ca="1">_xll.BDP(H86,"PX_LAST")+$P$81</f>
        <v>#VALUE!</v>
      </c>
      <c r="C86" s="1">
        <f t="shared" ca="1" si="11"/>
        <v>44090</v>
      </c>
      <c r="D86" t="e">
        <f ca="1">$P$81+100-_xll.BDP(I86,"PX_LAST")</f>
        <v>#VALUE!</v>
      </c>
      <c r="E86" s="1">
        <f t="shared" ca="1" si="12"/>
        <v>46127</v>
      </c>
      <c r="F86" t="e">
        <f ca="1">_xll.BDP(J86,"PX_LAST")+M86</f>
        <v>#VALUE!</v>
      </c>
      <c r="H86" t="s">
        <v>115</v>
      </c>
      <c r="I86" t="str">
        <f t="shared" ca="1" si="10"/>
        <v>L U0 Comdty</v>
      </c>
      <c r="J86" t="s">
        <v>121</v>
      </c>
      <c r="M86" t="e">
        <f ca="1">_xll.BDP(N86,"PX_LAST")/100</f>
        <v>#VALUE!</v>
      </c>
      <c r="N86" t="s">
        <v>244</v>
      </c>
    </row>
    <row r="87" spans="1:17" x14ac:dyDescent="0.25">
      <c r="A87" s="10">
        <f ca="1">EDATE(A86,10)</f>
        <v>44242</v>
      </c>
      <c r="B87" t="e">
        <f ca="1">$B$86</f>
        <v>#VALUE!</v>
      </c>
      <c r="C87" s="1">
        <f t="shared" ca="1" si="11"/>
        <v>44181</v>
      </c>
      <c r="D87" t="e">
        <f ca="1">$P$81+100-_xll.BDP(I87,"PX_LAST")</f>
        <v>#VALUE!</v>
      </c>
      <c r="E87" s="1">
        <f t="shared" ca="1" si="12"/>
        <v>46492</v>
      </c>
      <c r="F87" t="e">
        <f ca="1">_xll.BDP(J87,"PX_LAST")+M87</f>
        <v>#VALUE!</v>
      </c>
      <c r="I87" t="str">
        <f t="shared" ca="1" si="10"/>
        <v>L Z0 Comdty</v>
      </c>
      <c r="J87" t="s">
        <v>122</v>
      </c>
      <c r="M87" t="e">
        <f ca="1">_xll.BDP(N87,"PX_LAST")/100</f>
        <v>#VALUE!</v>
      </c>
      <c r="N87" t="s">
        <v>245</v>
      </c>
    </row>
    <row r="88" spans="1:17" x14ac:dyDescent="0.25">
      <c r="C88" s="1">
        <f t="shared" ca="1" si="11"/>
        <v>44272</v>
      </c>
      <c r="D88" t="e">
        <f ca="1">$P$81+100-_xll.BDP(I88,"PX_LAST")</f>
        <v>#VALUE!</v>
      </c>
      <c r="E88" s="1">
        <f t="shared" ca="1" si="12"/>
        <v>46858</v>
      </c>
      <c r="F88" t="e">
        <f ca="1">_xll.BDP(J88,"PX_LAST")+M88</f>
        <v>#VALUE!</v>
      </c>
      <c r="I88" t="str">
        <f t="shared" ca="1" si="10"/>
        <v>L H1 Comdty</v>
      </c>
      <c r="J88" t="s">
        <v>123</v>
      </c>
      <c r="M88" t="e">
        <f ca="1">_xll.BDP(N88,"PX_LAST")/100</f>
        <v>#VALUE!</v>
      </c>
      <c r="N88" t="s">
        <v>246</v>
      </c>
    </row>
    <row r="89" spans="1:17" x14ac:dyDescent="0.25">
      <c r="E89" s="1">
        <f t="shared" ca="1" si="12"/>
        <v>47223</v>
      </c>
      <c r="F89" t="e">
        <f ca="1">_xll.BDP(J89,"PX_LAST")+M89</f>
        <v>#VALUE!</v>
      </c>
      <c r="J89" t="s">
        <v>27</v>
      </c>
      <c r="M89" t="e">
        <f ca="1">_xll.BDP(N89,"PX_LAST")/100</f>
        <v>#VALUE!</v>
      </c>
      <c r="N89" t="s">
        <v>247</v>
      </c>
    </row>
    <row r="90" spans="1:17" x14ac:dyDescent="0.25">
      <c r="E90" s="1">
        <f t="shared" ca="1" si="12"/>
        <v>47588</v>
      </c>
      <c r="F90" t="e">
        <f ca="1">_xll.BDP(J90,"PX_LAST")+M90</f>
        <v>#VALUE!</v>
      </c>
      <c r="J90" t="s">
        <v>124</v>
      </c>
      <c r="M90" t="e">
        <f ca="1">_xll.BDP(N90,"PX_LAST")/100</f>
        <v>#VALUE!</v>
      </c>
      <c r="N90" t="s">
        <v>248</v>
      </c>
    </row>
    <row r="91" spans="1:17" x14ac:dyDescent="0.25">
      <c r="E91" s="1">
        <f t="shared" ca="1" si="12"/>
        <v>47953</v>
      </c>
      <c r="F91" t="e">
        <f ca="1">_xll.BDP(J91,"PX_LAST")+M91</f>
        <v>#VALUE!</v>
      </c>
      <c r="J91" t="s">
        <v>125</v>
      </c>
      <c r="M91" t="e">
        <f ca="1">_xll.BDP(N91,"PX_LAST")/100</f>
        <v>#VALUE!</v>
      </c>
      <c r="N91" t="s">
        <v>249</v>
      </c>
    </row>
    <row r="92" spans="1:17" x14ac:dyDescent="0.25">
      <c r="E92" s="1">
        <f t="shared" ca="1" si="12"/>
        <v>48319</v>
      </c>
      <c r="F92" t="e">
        <f ca="1">_xll.BDP(J92,"PX_LAST")+M92</f>
        <v>#VALUE!</v>
      </c>
      <c r="J92" t="s">
        <v>126</v>
      </c>
      <c r="M92" s="16" t="e">
        <f ca="1">(M94-M91)/3+M91</f>
        <v>#VALUE!</v>
      </c>
      <c r="N92" t="s">
        <v>250</v>
      </c>
    </row>
    <row r="93" spans="1:17" x14ac:dyDescent="0.25">
      <c r="E93" s="1">
        <f t="shared" ca="1" si="12"/>
        <v>48684</v>
      </c>
      <c r="F93" t="e">
        <f ca="1">_xll.BDP(J93,"PX_LAST")+M93</f>
        <v>#VALUE!</v>
      </c>
      <c r="J93" t="s">
        <v>127</v>
      </c>
      <c r="M93" s="16" t="e">
        <f ca="1">(M94-M91)/3*2+M91</f>
        <v>#VALUE!</v>
      </c>
      <c r="N93" t="s">
        <v>251</v>
      </c>
    </row>
    <row r="94" spans="1:17" x14ac:dyDescent="0.25">
      <c r="E94" s="1">
        <f t="shared" ca="1" si="12"/>
        <v>49049</v>
      </c>
      <c r="F94" t="e">
        <f ca="1">_xll.BDP(J94,"PX_LAST")+M94</f>
        <v>#VALUE!</v>
      </c>
      <c r="J94" t="s">
        <v>128</v>
      </c>
      <c r="M94" t="e">
        <f ca="1">_xll.BDP(N94,"PX_LAST")/100</f>
        <v>#VALUE!</v>
      </c>
      <c r="N94" t="s">
        <v>252</v>
      </c>
    </row>
    <row r="95" spans="1:17" x14ac:dyDescent="0.25">
      <c r="E95" s="1">
        <f t="shared" ca="1" si="12"/>
        <v>49414</v>
      </c>
      <c r="F95" t="e">
        <f ca="1">_xll.BDP(J95,"PX_LAST")+M95</f>
        <v>#VALUE!</v>
      </c>
      <c r="J95" t="s">
        <v>129</v>
      </c>
      <c r="M95" s="16" t="e">
        <f ca="1">(M97-M94)/5+M94</f>
        <v>#VALUE!</v>
      </c>
      <c r="N95" t="s">
        <v>253</v>
      </c>
    </row>
    <row r="96" spans="1:17" x14ac:dyDescent="0.25">
      <c r="E96" s="1">
        <f t="shared" ca="1" si="12"/>
        <v>49780</v>
      </c>
      <c r="F96" t="e">
        <f ca="1">_xll.BDP(J96,"PX_LAST")+M96</f>
        <v>#VALUE!</v>
      </c>
      <c r="J96" t="s">
        <v>130</v>
      </c>
      <c r="M96" s="16" t="e">
        <f ca="1">(M97-M94)/5*2+M94</f>
        <v>#VALUE!</v>
      </c>
      <c r="N96" t="s">
        <v>254</v>
      </c>
    </row>
    <row r="97" spans="1:17" x14ac:dyDescent="0.25">
      <c r="E97" s="1">
        <f ca="1">EDATE(E96,36)</f>
        <v>50875</v>
      </c>
      <c r="F97" t="e">
        <f ca="1">_xll.BDP(J97,"PX_LAST")+M97</f>
        <v>#VALUE!</v>
      </c>
      <c r="J97" t="s">
        <v>131</v>
      </c>
      <c r="M97" t="e">
        <f ca="1">_xll.BDP(N97,"PX_LAST")/100</f>
        <v>#VALUE!</v>
      </c>
      <c r="N97" t="s">
        <v>255</v>
      </c>
    </row>
    <row r="98" spans="1:17" x14ac:dyDescent="0.25">
      <c r="E98" s="1">
        <f ca="1">EDATE(E97,60)</f>
        <v>52702</v>
      </c>
      <c r="F98" t="e">
        <f ca="1">_xll.BDP(J98,"PX_LAST")+M98</f>
        <v>#VALUE!</v>
      </c>
      <c r="J98" t="s">
        <v>132</v>
      </c>
      <c r="M98" t="e">
        <f ca="1">_xll.BDP(N98,"PX_LAST")/100</f>
        <v>#VALUE!</v>
      </c>
      <c r="N98" t="s">
        <v>256</v>
      </c>
    </row>
    <row r="99" spans="1:17" x14ac:dyDescent="0.25">
      <c r="E99" s="1">
        <f ca="1">EDATE(E98,60)</f>
        <v>54528</v>
      </c>
      <c r="F99" t="e">
        <f ca="1">_xll.BDP(J99,"PX_LAST")+M99</f>
        <v>#VALUE!</v>
      </c>
      <c r="J99" t="s">
        <v>133</v>
      </c>
      <c r="M99" s="16" t="e">
        <f ca="1">(M100-M98)/3+M98</f>
        <v>#VALUE!</v>
      </c>
      <c r="N99" t="s">
        <v>257</v>
      </c>
    </row>
    <row r="100" spans="1:17" x14ac:dyDescent="0.25">
      <c r="E100" s="1">
        <f ca="1">EDATE(E99,120)</f>
        <v>58180</v>
      </c>
      <c r="F100" t="e">
        <f ca="1">_xll.BDP(J100,"PX_LAST")+M100</f>
        <v>#VALUE!</v>
      </c>
      <c r="J100" t="s">
        <v>134</v>
      </c>
      <c r="M100" t="e">
        <f ca="1">_xll.BDP(N100,"PX_LAST")/100</f>
        <v>#VALUE!</v>
      </c>
      <c r="N100" t="s">
        <v>258</v>
      </c>
    </row>
    <row r="101" spans="1:17" x14ac:dyDescent="0.25">
      <c r="E101" s="1">
        <f ca="1">EDATE(E100,12)</f>
        <v>58546</v>
      </c>
      <c r="F101" t="e">
        <f ca="1">$F$100</f>
        <v>#VALUE!</v>
      </c>
    </row>
    <row r="104" spans="1:17" x14ac:dyDescent="0.25">
      <c r="A104" t="s">
        <v>198</v>
      </c>
      <c r="B104">
        <v>7</v>
      </c>
      <c r="D104">
        <v>7</v>
      </c>
      <c r="F104">
        <v>100</v>
      </c>
    </row>
    <row r="105" spans="1:17" x14ac:dyDescent="0.25">
      <c r="A105" t="s">
        <v>28</v>
      </c>
      <c r="B105" t="s">
        <v>29</v>
      </c>
      <c r="C105" t="s">
        <v>30</v>
      </c>
      <c r="D105" t="s">
        <v>31</v>
      </c>
      <c r="E105" t="s">
        <v>32</v>
      </c>
      <c r="F105" t="s">
        <v>33</v>
      </c>
      <c r="I105" t="s">
        <v>654</v>
      </c>
      <c r="M105" s="4" t="s">
        <v>199</v>
      </c>
      <c r="N105" s="4" t="s">
        <v>34</v>
      </c>
    </row>
    <row r="106" spans="1:17" x14ac:dyDescent="0.25">
      <c r="A106" s="1">
        <f ca="1">WORKDAY(Swap_Date,1)</f>
        <v>43571</v>
      </c>
      <c r="B106" t="e">
        <f ca="1">_xll.BDP(H106,"PX_LAST")+$P$106</f>
        <v>#VALUE!</v>
      </c>
      <c r="C106" s="1">
        <f ca="1">nextimm(Swap_Date)</f>
        <v>43635</v>
      </c>
      <c r="D106" t="e">
        <f ca="1">100-IF(ISNUMBER(_xll.BDP(I106,"PX_LAST")),_xll.BDP(I106,"PX_LAST")+$P$106,100-B109)</f>
        <v>#VALUE!</v>
      </c>
      <c r="E106" s="1">
        <f ca="1">EDATE(Swap_Date,24)</f>
        <v>44301</v>
      </c>
      <c r="F106" t="e">
        <f ca="1">_xll.BDP(J106,"PX_LAST")+M106</f>
        <v>#VALUE!</v>
      </c>
      <c r="H106" t="s">
        <v>135</v>
      </c>
      <c r="I106" t="str">
        <f ca="1">$I$105&amp;$L6&amp;" "&amp;$I$4</f>
        <v>ESM9 Comdty</v>
      </c>
      <c r="J106" t="s">
        <v>141</v>
      </c>
      <c r="M106" t="e">
        <f ca="1">_xll.BDP(N106,"PX_LAST")/100</f>
        <v>#VALUE!</v>
      </c>
      <c r="N106" t="s">
        <v>260</v>
      </c>
      <c r="P106" t="e">
        <f ca="1">_xll.BDP(Q106,"PX_LAST")/100</f>
        <v>#VALUE!</v>
      </c>
      <c r="Q106" t="s">
        <v>295</v>
      </c>
    </row>
    <row r="107" spans="1:17" x14ac:dyDescent="0.25">
      <c r="A107" s="1">
        <f ca="1">EDATE(Swap_Date,1)</f>
        <v>43600</v>
      </c>
      <c r="B107" t="e">
        <f ca="1">_xll.BDP(H107,"PX_LAST")+$P$106</f>
        <v>#VALUE!</v>
      </c>
      <c r="C107" s="1">
        <f ca="1">nextimm(C106+1)</f>
        <v>43726</v>
      </c>
      <c r="D107" t="e">
        <f ca="1">IFERROR($P$106+100-_xll.BDP(I107,"PX_LAST"),D106)</f>
        <v>#VALUE!</v>
      </c>
      <c r="E107" s="1">
        <f ca="1">EDATE(E106,12)</f>
        <v>44666</v>
      </c>
      <c r="F107" t="e">
        <f ca="1">_xll.BDP(J107,"PX_LAST")+M107</f>
        <v>#VALUE!</v>
      </c>
      <c r="H107" t="s">
        <v>136</v>
      </c>
      <c r="I107" t="str">
        <f t="shared" ref="I107:I113" ca="1" si="13">$I$105&amp;$L7&amp;" "&amp;$I$4</f>
        <v>ESU9 Comdty</v>
      </c>
      <c r="J107" t="s">
        <v>142</v>
      </c>
      <c r="M107" s="16" t="e">
        <f ca="1">(M106+M108)/2</f>
        <v>#VALUE!</v>
      </c>
      <c r="N107" t="s">
        <v>261</v>
      </c>
    </row>
    <row r="108" spans="1:17" x14ac:dyDescent="0.25">
      <c r="A108" s="1">
        <f ca="1">EDATE(Swap_Date,2)</f>
        <v>43631</v>
      </c>
      <c r="B108" t="e">
        <f ca="1">_xll.BDP(H108,"PX_LAST")+$P$106</f>
        <v>#VALUE!</v>
      </c>
      <c r="C108" s="1">
        <f t="shared" ref="C108:C113" ca="1" si="14">nextimm(C107+1)</f>
        <v>43817</v>
      </c>
      <c r="D108" t="e">
        <f ca="1">$P$106+100-_xll.BDP(I108,"PX_LAST")</f>
        <v>#VALUE!</v>
      </c>
      <c r="E108" s="1">
        <f t="shared" ref="E108:E119" ca="1" si="15">EDATE(E107,12)</f>
        <v>45031</v>
      </c>
      <c r="F108" t="e">
        <f ca="1">_xll.BDP(J108,"PX_LAST")+M108</f>
        <v>#VALUE!</v>
      </c>
      <c r="H108" t="s">
        <v>137</v>
      </c>
      <c r="I108" t="str">
        <f t="shared" ca="1" si="13"/>
        <v>ESZ9 Comdty</v>
      </c>
      <c r="J108" t="s">
        <v>143</v>
      </c>
      <c r="M108" t="e">
        <f ca="1">_xll.BDP(N108,"PX_LAST")/100</f>
        <v>#VALUE!</v>
      </c>
      <c r="N108" t="s">
        <v>262</v>
      </c>
    </row>
    <row r="109" spans="1:17" x14ac:dyDescent="0.25">
      <c r="A109" s="1">
        <f ca="1">EDATE(Swap_Date,3)</f>
        <v>43661</v>
      </c>
      <c r="B109" t="e">
        <f ca="1">_xll.BDP(H109,"PX_LAST")+$P$106</f>
        <v>#VALUE!</v>
      </c>
      <c r="C109" s="1">
        <f t="shared" ca="1" si="14"/>
        <v>43908</v>
      </c>
      <c r="D109" t="e">
        <f ca="1">$P$106+100-_xll.BDP(I109,"PX_LAST")</f>
        <v>#VALUE!</v>
      </c>
      <c r="E109" s="1">
        <f t="shared" ca="1" si="15"/>
        <v>45397</v>
      </c>
      <c r="F109" t="e">
        <f ca="1">_xll.BDP(J109,"PX_LAST")+M109</f>
        <v>#VALUE!</v>
      </c>
      <c r="H109" t="s">
        <v>138</v>
      </c>
      <c r="I109" t="str">
        <f t="shared" ca="1" si="13"/>
        <v>ESH0 Comdty</v>
      </c>
      <c r="J109" t="s">
        <v>144</v>
      </c>
      <c r="M109" t="e">
        <f ca="1">_xll.BDP(N109,"PX_LAST")/100</f>
        <v>#VALUE!</v>
      </c>
      <c r="N109" t="s">
        <v>263</v>
      </c>
    </row>
    <row r="110" spans="1:17" x14ac:dyDescent="0.25">
      <c r="A110" s="1">
        <f ca="1">EDATE(Swap_Date,6)</f>
        <v>43753</v>
      </c>
      <c r="B110" t="e">
        <f ca="1">_xll.BDP(H110,"PX_LAST")+$P$106</f>
        <v>#VALUE!</v>
      </c>
      <c r="C110" s="1">
        <f t="shared" ca="1" si="14"/>
        <v>43999</v>
      </c>
      <c r="D110" t="e">
        <f ca="1">$P$106+100-_xll.BDP(I110,"PX_LAST")</f>
        <v>#VALUE!</v>
      </c>
      <c r="E110" s="1">
        <f t="shared" ca="1" si="15"/>
        <v>45762</v>
      </c>
      <c r="F110" t="e">
        <f ca="1">_xll.BDP(J110,"PX_LAST")+M110</f>
        <v>#VALUE!</v>
      </c>
      <c r="H110" t="s">
        <v>139</v>
      </c>
      <c r="I110" t="str">
        <f t="shared" ca="1" si="13"/>
        <v>ESM0 Comdty</v>
      </c>
      <c r="J110" t="s">
        <v>145</v>
      </c>
      <c r="M110" t="e">
        <f ca="1">_xll.BDP(N110,"PX_LAST")/100</f>
        <v>#VALUE!</v>
      </c>
      <c r="N110" t="s">
        <v>264</v>
      </c>
    </row>
    <row r="111" spans="1:17" x14ac:dyDescent="0.25">
      <c r="A111" s="1">
        <f ca="1">EDATE(Swap_Date,12)</f>
        <v>43936</v>
      </c>
      <c r="B111" t="e">
        <f ca="1">_xll.BDP(H111,"PX_LAST")+$P$106</f>
        <v>#VALUE!</v>
      </c>
      <c r="C111" s="1">
        <f t="shared" ca="1" si="14"/>
        <v>44090</v>
      </c>
      <c r="D111" t="e">
        <f ca="1">$P$106+100-_xll.BDP(I111,"PX_LAST")</f>
        <v>#VALUE!</v>
      </c>
      <c r="E111" s="1">
        <f t="shared" ca="1" si="15"/>
        <v>46127</v>
      </c>
      <c r="F111" t="e">
        <f ca="1">_xll.BDP(J111,"PX_LAST")+M111</f>
        <v>#VALUE!</v>
      </c>
      <c r="H111" t="s">
        <v>140</v>
      </c>
      <c r="I111" t="str">
        <f t="shared" ca="1" si="13"/>
        <v>ESU0 Comdty</v>
      </c>
      <c r="J111" t="s">
        <v>146</v>
      </c>
      <c r="M111" t="e">
        <f ca="1">_xll.BDP(N111,"PX_LAST")/100</f>
        <v>#VALUE!</v>
      </c>
      <c r="N111" t="s">
        <v>265</v>
      </c>
    </row>
    <row r="112" spans="1:17" x14ac:dyDescent="0.25">
      <c r="A112" s="10">
        <f ca="1">EDATE(A111,10)</f>
        <v>44242</v>
      </c>
      <c r="B112" s="11" t="e">
        <f ca="1">$B$111</f>
        <v>#VALUE!</v>
      </c>
      <c r="C112" s="1">
        <f t="shared" ca="1" si="14"/>
        <v>44181</v>
      </c>
      <c r="D112" t="e">
        <f ca="1">$P$106+100-_xll.BDP(I112,"PX_LAST")</f>
        <v>#VALUE!</v>
      </c>
      <c r="E112" s="1">
        <f t="shared" ca="1" si="15"/>
        <v>46492</v>
      </c>
      <c r="F112" t="e">
        <f ca="1">_xll.BDP(J112,"PX_LAST")+M112</f>
        <v>#VALUE!</v>
      </c>
      <c r="I112" t="str">
        <f t="shared" ca="1" si="13"/>
        <v>ESZ0 Comdty</v>
      </c>
      <c r="J112" t="s">
        <v>147</v>
      </c>
      <c r="M112" t="e">
        <f ca="1">_xll.BDP(N112,"PX_LAST")/100</f>
        <v>#VALUE!</v>
      </c>
      <c r="N112" t="s">
        <v>266</v>
      </c>
    </row>
    <row r="113" spans="3:14" x14ac:dyDescent="0.25">
      <c r="C113" s="1">
        <f t="shared" ca="1" si="14"/>
        <v>44272</v>
      </c>
      <c r="D113" t="e">
        <f ca="1">100-_xll.BDP(I113,"PX_LAST")</f>
        <v>#VALUE!</v>
      </c>
      <c r="E113" s="1">
        <f t="shared" ca="1" si="15"/>
        <v>46858</v>
      </c>
      <c r="F113" t="e">
        <f ca="1">_xll.BDP(J113,"PX_LAST")+M113</f>
        <v>#VALUE!</v>
      </c>
      <c r="I113" t="str">
        <f t="shared" ca="1" si="13"/>
        <v>ESH1 Comdty</v>
      </c>
      <c r="J113" t="s">
        <v>148</v>
      </c>
      <c r="M113" t="e">
        <f ca="1">_xll.BDP(N113,"PX_LAST")/100</f>
        <v>#VALUE!</v>
      </c>
      <c r="N113" t="s">
        <v>267</v>
      </c>
    </row>
    <row r="114" spans="3:14" x14ac:dyDescent="0.25">
      <c r="E114" s="1">
        <f t="shared" ca="1" si="15"/>
        <v>47223</v>
      </c>
      <c r="F114" t="e">
        <f ca="1">_xll.BDP(J114,"PX_LAST")+M114</f>
        <v>#VALUE!</v>
      </c>
      <c r="J114" t="s">
        <v>149</v>
      </c>
      <c r="M114" t="e">
        <f ca="1">_xll.BDP(N114,"PX_LAST")/100</f>
        <v>#VALUE!</v>
      </c>
      <c r="N114" t="s">
        <v>268</v>
      </c>
    </row>
    <row r="115" spans="3:14" x14ac:dyDescent="0.25">
      <c r="E115" s="1">
        <f t="shared" ca="1" si="15"/>
        <v>47588</v>
      </c>
      <c r="F115" t="e">
        <f ca="1">_xll.BDP(J115,"PX_LAST")+M115</f>
        <v>#VALUE!</v>
      </c>
      <c r="J115" t="s">
        <v>150</v>
      </c>
      <c r="M115" s="16" t="e">
        <f ca="1">(M114+M116)/2</f>
        <v>#VALUE!</v>
      </c>
      <c r="N115" t="s">
        <v>269</v>
      </c>
    </row>
    <row r="116" spans="3:14" x14ac:dyDescent="0.25">
      <c r="E116" s="1">
        <f t="shared" ca="1" si="15"/>
        <v>47953</v>
      </c>
      <c r="F116" t="e">
        <f ca="1">_xll.BDP(J116,"PX_LAST")+M116</f>
        <v>#VALUE!</v>
      </c>
      <c r="J116" t="s">
        <v>151</v>
      </c>
      <c r="M116" t="e">
        <f ca="1">_xll.BDP(N116,"PX_LAST")/100</f>
        <v>#VALUE!</v>
      </c>
      <c r="N116" t="s">
        <v>270</v>
      </c>
    </row>
    <row r="117" spans="3:14" x14ac:dyDescent="0.25">
      <c r="E117" s="1">
        <f t="shared" ca="1" si="15"/>
        <v>48319</v>
      </c>
      <c r="F117" t="e">
        <f ca="1">_xll.BDP(J117,"PX_LAST")+M117</f>
        <v>#VALUE!</v>
      </c>
      <c r="J117" t="s">
        <v>152</v>
      </c>
      <c r="M117" s="16" t="e">
        <f ca="1">(M119-M116)/3+M116</f>
        <v>#VALUE!</v>
      </c>
      <c r="N117" t="s">
        <v>271</v>
      </c>
    </row>
    <row r="118" spans="3:14" x14ac:dyDescent="0.25">
      <c r="E118" s="1">
        <f t="shared" ca="1" si="15"/>
        <v>48684</v>
      </c>
      <c r="F118" t="e">
        <f ca="1">_xll.BDP(J118,"PX_LAST")+M118</f>
        <v>#VALUE!</v>
      </c>
      <c r="J118" t="s">
        <v>153</v>
      </c>
      <c r="M118" s="16" t="e">
        <f ca="1">(M119-M116)/3*2+M116</f>
        <v>#VALUE!</v>
      </c>
      <c r="N118" t="s">
        <v>272</v>
      </c>
    </row>
    <row r="119" spans="3:14" x14ac:dyDescent="0.25">
      <c r="E119" s="1">
        <f t="shared" ca="1" si="15"/>
        <v>49049</v>
      </c>
      <c r="F119" t="e">
        <f ca="1">_xll.BDP(J119,"PX_LAST")+M119</f>
        <v>#VALUE!</v>
      </c>
      <c r="J119" t="s">
        <v>154</v>
      </c>
      <c r="M119" t="e">
        <f ca="1">_xll.BDP(N119,"PX_LAST")/100</f>
        <v>#VALUE!</v>
      </c>
      <c r="N119" t="s">
        <v>273</v>
      </c>
    </row>
    <row r="120" spans="3:14" x14ac:dyDescent="0.25">
      <c r="E120" s="1">
        <f ca="1">EDATE(E119,60)</f>
        <v>50875</v>
      </c>
      <c r="F120" t="e">
        <f ca="1">_xll.BDP(J120,"PX_LAST")+M120</f>
        <v>#VALUE!</v>
      </c>
      <c r="J120" t="s">
        <v>155</v>
      </c>
      <c r="M120" t="e">
        <f ca="1">_xll.BDP(N120,"PX_LAST")/100</f>
        <v>#VALUE!</v>
      </c>
      <c r="N120" t="s">
        <v>274</v>
      </c>
    </row>
    <row r="121" spans="3:14" x14ac:dyDescent="0.25">
      <c r="E121" s="1">
        <f ca="1">EDATE(E120,60)</f>
        <v>52702</v>
      </c>
      <c r="F121" t="e">
        <f ca="1">_xll.BDP(J121,"PX_LAST")+M121</f>
        <v>#VALUE!</v>
      </c>
      <c r="J121" t="s">
        <v>156</v>
      </c>
      <c r="M121" s="16" t="e">
        <f ca="1">(M120+M122)/2</f>
        <v>#VALUE!</v>
      </c>
      <c r="N121" t="s">
        <v>275</v>
      </c>
    </row>
    <row r="122" spans="3:14" x14ac:dyDescent="0.25">
      <c r="E122" s="1">
        <f ca="1">EDATE(E121,60)</f>
        <v>54528</v>
      </c>
      <c r="F122" t="e">
        <f ca="1">_xll.BDP(J122,"PX_LAST")+M122</f>
        <v>#VALUE!</v>
      </c>
      <c r="J122" t="s">
        <v>157</v>
      </c>
      <c r="M122" t="e">
        <f ca="1">_xll.BDP(N122,"PX_LAST")/100</f>
        <v>#VALUE!</v>
      </c>
      <c r="N122" t="s">
        <v>276</v>
      </c>
    </row>
    <row r="123" spans="3:14" x14ac:dyDescent="0.25">
      <c r="E123" s="1">
        <f ca="1">EDATE(E122,120)</f>
        <v>58180</v>
      </c>
      <c r="F123" t="e">
        <f ca="1">_xll.BDP(J123,"PX_LAST")+M123</f>
        <v>#VALUE!</v>
      </c>
      <c r="J123" t="s">
        <v>158</v>
      </c>
      <c r="M123" s="16" t="e">
        <f ca="1">$M$122</f>
        <v>#VALUE!</v>
      </c>
      <c r="N123" t="s">
        <v>277</v>
      </c>
    </row>
    <row r="124" spans="3:14" x14ac:dyDescent="0.25">
      <c r="E124" s="1">
        <f ca="1">EDATE(E123,12)</f>
        <v>58546</v>
      </c>
      <c r="F124" t="e">
        <f ca="1">$F$123</f>
        <v>#VALUE!</v>
      </c>
    </row>
    <row r="125" spans="3:14" x14ac:dyDescent="0.25">
      <c r="E125" s="1"/>
    </row>
    <row r="129" spans="1:17" x14ac:dyDescent="0.25">
      <c r="A129" s="7" t="s">
        <v>21</v>
      </c>
      <c r="B129" s="8">
        <v>7</v>
      </c>
      <c r="C129" s="8"/>
      <c r="D129" s="8">
        <v>7</v>
      </c>
      <c r="E129" s="8"/>
      <c r="F129" s="8">
        <v>100</v>
      </c>
    </row>
    <row r="130" spans="1:17" x14ac:dyDescent="0.25">
      <c r="A130" t="s">
        <v>28</v>
      </c>
      <c r="B130" t="s">
        <v>29</v>
      </c>
      <c r="C130" t="s">
        <v>30</v>
      </c>
      <c r="D130" t="s">
        <v>31</v>
      </c>
      <c r="E130" t="s">
        <v>32</v>
      </c>
      <c r="F130" t="s">
        <v>33</v>
      </c>
      <c r="I130" t="s">
        <v>655</v>
      </c>
      <c r="M130" s="4" t="s">
        <v>199</v>
      </c>
      <c r="N130" s="4" t="s">
        <v>34</v>
      </c>
    </row>
    <row r="131" spans="1:17" x14ac:dyDescent="0.25">
      <c r="A131" s="1">
        <f ca="1">WORKDAY(Swap_Date,1)</f>
        <v>43571</v>
      </c>
      <c r="B131" t="e">
        <f ca="1">_xll.BDP(H131,"PX_LAST")+$P$131</f>
        <v>#VALUE!</v>
      </c>
      <c r="C131" s="1">
        <f ca="1">nextimm(Swap_Date)</f>
        <v>43635</v>
      </c>
      <c r="D131" t="e">
        <f ca="1">100-IF(ISNUMBER(_xll.BDP(I131,"PX_LAST")),_xll.BDP(I131,"PX_LAST")+$P$131,100-B134)</f>
        <v>#VALUE!</v>
      </c>
      <c r="E131" s="1">
        <f ca="1">EDATE(Swap_Date,24)</f>
        <v>44301</v>
      </c>
      <c r="F131" t="e">
        <f ca="1">_xll.BDP(J131,"PX_LAST")+M131</f>
        <v>#VALUE!</v>
      </c>
      <c r="H131" t="s">
        <v>159</v>
      </c>
      <c r="I131" t="str">
        <f ca="1">$I$130&amp;$L6&amp;" "&amp;$I$4</f>
        <v>BAM9 Comdty</v>
      </c>
      <c r="J131" t="s">
        <v>165</v>
      </c>
      <c r="M131" t="e">
        <f ca="1">_xll.BDP(N131,"PX_LAST")/100</f>
        <v>#VALUE!</v>
      </c>
      <c r="N131" t="s">
        <v>278</v>
      </c>
      <c r="P131" t="e">
        <f ca="1">_xll.BDP(Q131,"PX_LAST")/100</f>
        <v>#VALUE!</v>
      </c>
      <c r="Q131" t="s">
        <v>296</v>
      </c>
    </row>
    <row r="132" spans="1:17" x14ac:dyDescent="0.25">
      <c r="A132" s="1">
        <f ca="1">EDATE(Swap_Date,1)</f>
        <v>43600</v>
      </c>
      <c r="B132" t="e">
        <f ca="1">_xll.BDP(H132,"PX_LAST")+$P$131</f>
        <v>#VALUE!</v>
      </c>
      <c r="C132" s="1">
        <f ca="1">nextimm(C131+1)</f>
        <v>43726</v>
      </c>
      <c r="D132" t="e">
        <f ca="1">IFERROR($P$131+100-_xll.BDP(I132,"PX_LAST"),D131)</f>
        <v>#VALUE!</v>
      </c>
      <c r="E132" s="1">
        <f ca="1">EDATE(E131,12)</f>
        <v>44666</v>
      </c>
      <c r="F132" t="e">
        <f ca="1">_xll.BDP(J132,"PX_LAST")+M132</f>
        <v>#VALUE!</v>
      </c>
      <c r="H132" t="s">
        <v>160</v>
      </c>
      <c r="I132" t="str">
        <f t="shared" ref="I132:I138" ca="1" si="16">$I$130&amp;$L7&amp;" "&amp;$I$4</f>
        <v>BAU9 Comdty</v>
      </c>
      <c r="J132" t="s">
        <v>166</v>
      </c>
      <c r="M132" s="16" t="e">
        <f ca="1">(M131+M133)/2</f>
        <v>#VALUE!</v>
      </c>
      <c r="N132" t="s">
        <v>279</v>
      </c>
    </row>
    <row r="133" spans="1:17" x14ac:dyDescent="0.25">
      <c r="A133" s="1">
        <f ca="1">EDATE(Swap_Date,2)</f>
        <v>43631</v>
      </c>
      <c r="B133" t="e">
        <f ca="1">_xll.BDP(H133,"PX_LAST")+$P$131</f>
        <v>#VALUE!</v>
      </c>
      <c r="C133" s="1">
        <f t="shared" ref="C133:C138" ca="1" si="17">nextimm(C132+1)</f>
        <v>43817</v>
      </c>
      <c r="D133" t="e">
        <f ca="1">$P$131+100-_xll.BDP(I133,"PX_LAST")</f>
        <v>#VALUE!</v>
      </c>
      <c r="E133" s="1">
        <f t="shared" ref="E133:E139" ca="1" si="18">EDATE(E132,12)</f>
        <v>45031</v>
      </c>
      <c r="F133" t="e">
        <f ca="1">_xll.BDP(J133,"PX_LAST")+M133</f>
        <v>#VALUE!</v>
      </c>
      <c r="H133" t="s">
        <v>161</v>
      </c>
      <c r="I133" t="str">
        <f t="shared" ca="1" si="16"/>
        <v>BAZ9 Comdty</v>
      </c>
      <c r="J133" t="s">
        <v>167</v>
      </c>
      <c r="M133" t="e">
        <f ca="1">_xll.BDP(N133,"PX_LAST")/100</f>
        <v>#VALUE!</v>
      </c>
      <c r="N133" t="s">
        <v>280</v>
      </c>
    </row>
    <row r="134" spans="1:17" x14ac:dyDescent="0.25">
      <c r="A134" s="1">
        <f ca="1">EDATE(Swap_Date,3)</f>
        <v>43661</v>
      </c>
      <c r="B134" t="e">
        <f ca="1">_xll.BDP(H134,"PX_LAST")+$P$131</f>
        <v>#VALUE!</v>
      </c>
      <c r="C134" s="1">
        <f t="shared" ca="1" si="17"/>
        <v>43908</v>
      </c>
      <c r="D134" t="e">
        <f ca="1">$P$131+100-_xll.BDP(I134,"PX_LAST")</f>
        <v>#VALUE!</v>
      </c>
      <c r="E134" s="1">
        <f t="shared" ca="1" si="18"/>
        <v>45397</v>
      </c>
      <c r="F134" t="e">
        <f ca="1">_xll.BDP(J134,"PX_LAST")+M134</f>
        <v>#VALUE!</v>
      </c>
      <c r="H134" t="s">
        <v>162</v>
      </c>
      <c r="I134" t="str">
        <f t="shared" ca="1" si="16"/>
        <v>BAH0 Comdty</v>
      </c>
      <c r="J134" t="s">
        <v>168</v>
      </c>
      <c r="M134" t="e">
        <f ca="1">_xll.BDP(N134,"PX_LAST")/100</f>
        <v>#VALUE!</v>
      </c>
      <c r="N134" t="s">
        <v>281</v>
      </c>
    </row>
    <row r="135" spans="1:17" x14ac:dyDescent="0.25">
      <c r="A135" s="1">
        <f ca="1">EDATE(Swap_Date,6)</f>
        <v>43753</v>
      </c>
      <c r="B135" t="e">
        <f ca="1">_xll.BDP(H135,"PX_LAST")+$P$131</f>
        <v>#VALUE!</v>
      </c>
      <c r="C135" s="1">
        <f t="shared" ca="1" si="17"/>
        <v>43999</v>
      </c>
      <c r="D135" t="e">
        <f ca="1">$P$131+100-_xll.BDP(I135,"PX_LAST")</f>
        <v>#VALUE!</v>
      </c>
      <c r="E135" s="1">
        <f t="shared" ca="1" si="18"/>
        <v>45762</v>
      </c>
      <c r="F135" t="e">
        <f ca="1">_xll.BDP(J135,"PX_LAST")+M135</f>
        <v>#VALUE!</v>
      </c>
      <c r="H135" t="s">
        <v>163</v>
      </c>
      <c r="I135" t="str">
        <f t="shared" ca="1" si="16"/>
        <v>BAM0 Comdty</v>
      </c>
      <c r="J135" t="s">
        <v>169</v>
      </c>
      <c r="M135" t="e">
        <f ca="1">_xll.BDP(N135,"PX_LAST")/100</f>
        <v>#VALUE!</v>
      </c>
      <c r="N135" t="s">
        <v>282</v>
      </c>
    </row>
    <row r="136" spans="1:17" x14ac:dyDescent="0.25">
      <c r="A136" s="1">
        <f ca="1">EDATE(Swap_Date,12)</f>
        <v>43936</v>
      </c>
      <c r="B136" t="e">
        <f ca="1">_xll.BDP(H136,"PX_LAST")+$P$131</f>
        <v>#VALUE!</v>
      </c>
      <c r="C136" s="1">
        <f t="shared" ca="1" si="17"/>
        <v>44090</v>
      </c>
      <c r="D136" t="e">
        <f ca="1">$P$131+100-_xll.BDP(I136,"PX_LAST")</f>
        <v>#VALUE!</v>
      </c>
      <c r="E136" s="1">
        <f t="shared" ca="1" si="18"/>
        <v>46127</v>
      </c>
      <c r="F136" t="e">
        <f ca="1">_xll.BDP(J136,"PX_LAST")+M136</f>
        <v>#VALUE!</v>
      </c>
      <c r="H136" t="s">
        <v>164</v>
      </c>
      <c r="I136" t="str">
        <f t="shared" ca="1" si="16"/>
        <v>BAU0 Comdty</v>
      </c>
      <c r="J136" t="s">
        <v>170</v>
      </c>
      <c r="M136" t="e">
        <f ca="1">_xll.BDP(N136,"PX_LAST")/100</f>
        <v>#VALUE!</v>
      </c>
      <c r="N136" t="s">
        <v>283</v>
      </c>
    </row>
    <row r="137" spans="1:17" x14ac:dyDescent="0.25">
      <c r="A137" s="10">
        <f ca="1">EDATE(A136,10)</f>
        <v>44242</v>
      </c>
      <c r="B137" s="11" t="e">
        <f ca="1">$B$136</f>
        <v>#VALUE!</v>
      </c>
      <c r="C137" s="1">
        <f t="shared" ca="1" si="17"/>
        <v>44181</v>
      </c>
      <c r="D137" t="e">
        <f ca="1">$P$131+100-_xll.BDP(I137,"PX_LAST")</f>
        <v>#VALUE!</v>
      </c>
      <c r="E137" s="1">
        <f t="shared" ca="1" si="18"/>
        <v>46492</v>
      </c>
      <c r="F137" t="e">
        <f ca="1">_xll.BDP(J137,"PX_LAST")+M137</f>
        <v>#VALUE!</v>
      </c>
      <c r="I137" t="str">
        <f t="shared" ca="1" si="16"/>
        <v>BAZ0 Comdty</v>
      </c>
      <c r="J137" t="s">
        <v>171</v>
      </c>
      <c r="M137" t="e">
        <f ca="1">_xll.BDP(N137,"PX_LAST")/100</f>
        <v>#VALUE!</v>
      </c>
      <c r="N137" t="s">
        <v>284</v>
      </c>
    </row>
    <row r="138" spans="1:17" x14ac:dyDescent="0.25">
      <c r="C138" s="1">
        <f t="shared" ca="1" si="17"/>
        <v>44272</v>
      </c>
      <c r="D138" t="e">
        <f ca="1">$P$131+100-_xll.BDP(I138,"PX_LAST")</f>
        <v>#VALUE!</v>
      </c>
      <c r="E138" s="1">
        <f t="shared" ca="1" si="18"/>
        <v>46858</v>
      </c>
      <c r="F138" t="e">
        <f ca="1">_xll.BDP(J138,"PX_LAST")+M138</f>
        <v>#VALUE!</v>
      </c>
      <c r="I138" t="str">
        <f t="shared" ca="1" si="16"/>
        <v>BAH1 Comdty</v>
      </c>
      <c r="J138" t="s">
        <v>172</v>
      </c>
      <c r="M138" t="e">
        <f ca="1">_xll.BDP(N138,"PX_LAST")/100</f>
        <v>#VALUE!</v>
      </c>
      <c r="N138" t="s">
        <v>285</v>
      </c>
    </row>
    <row r="139" spans="1:17" x14ac:dyDescent="0.25">
      <c r="E139" s="1">
        <f t="shared" ca="1" si="18"/>
        <v>47223</v>
      </c>
      <c r="F139" t="e">
        <f ca="1">_xll.BDP(J139,"PX_LAST")+M139</f>
        <v>#VALUE!</v>
      </c>
      <c r="J139" t="s">
        <v>173</v>
      </c>
      <c r="M139" t="e">
        <f ca="1">_xll.BDP(N139,"PX_LAST")/100</f>
        <v>#VALUE!</v>
      </c>
      <c r="N139" t="s">
        <v>286</v>
      </c>
    </row>
    <row r="140" spans="1:17" x14ac:dyDescent="0.25">
      <c r="E140" s="1">
        <f ca="1">EDATE(E139,24)</f>
        <v>47953</v>
      </c>
      <c r="F140" t="e">
        <f ca="1">_xll.BDP(J140,"PX_LAST")+M140</f>
        <v>#VALUE!</v>
      </c>
      <c r="J140" t="s">
        <v>174</v>
      </c>
      <c r="M140" t="e">
        <f ca="1">_xll.BDP(N140,"PX_LAST")/100</f>
        <v>#VALUE!</v>
      </c>
      <c r="N140" t="s">
        <v>287</v>
      </c>
    </row>
    <row r="141" spans="1:17" x14ac:dyDescent="0.25">
      <c r="E141" s="1">
        <f ca="1">EDATE(E140,36)</f>
        <v>49049</v>
      </c>
      <c r="F141" t="e">
        <f ca="1">_xll.BDP(J141,"PX_LAST")+M141</f>
        <v>#VALUE!</v>
      </c>
      <c r="J141" t="s">
        <v>175</v>
      </c>
      <c r="M141" t="e">
        <f ca="1">_xll.BDP(N141,"PX_LAST")/100</f>
        <v>#VALUE!</v>
      </c>
      <c r="N141" t="s">
        <v>288</v>
      </c>
    </row>
    <row r="142" spans="1:17" x14ac:dyDescent="0.25">
      <c r="E142" s="1">
        <f ca="1">EDATE(E141,60)</f>
        <v>50875</v>
      </c>
      <c r="F142" t="e">
        <f ca="1">_xll.BDP(J142,"PX_LAST")+M142</f>
        <v>#VALUE!</v>
      </c>
      <c r="J142" t="s">
        <v>176</v>
      </c>
      <c r="M142" t="e">
        <f ca="1">_xll.BDP(N142,"PX_LAST")/100</f>
        <v>#VALUE!</v>
      </c>
      <c r="N142" t="s">
        <v>289</v>
      </c>
    </row>
    <row r="143" spans="1:17" x14ac:dyDescent="0.25">
      <c r="E143" s="1">
        <f ca="1">EDATE(E142,60)</f>
        <v>52702</v>
      </c>
      <c r="F143" t="e">
        <f ca="1">_xll.BDP(J143,"PX_LAST")+M143</f>
        <v>#VALUE!</v>
      </c>
      <c r="J143" t="s">
        <v>177</v>
      </c>
      <c r="M143" s="16" t="e">
        <f ca="1">$M$122</f>
        <v>#VALUE!</v>
      </c>
      <c r="N143" t="s">
        <v>290</v>
      </c>
    </row>
    <row r="144" spans="1:17" x14ac:dyDescent="0.25">
      <c r="E144" s="1">
        <f ca="1">EDATE(E143,60)</f>
        <v>54528</v>
      </c>
      <c r="F144" t="e">
        <f ca="1">_xll.BDP(J144,"PX_LAST")+M144</f>
        <v>#VALUE!</v>
      </c>
      <c r="J144" t="s">
        <v>178</v>
      </c>
      <c r="M144" s="16" t="e">
        <f ca="1">$M$122</f>
        <v>#VALUE!</v>
      </c>
      <c r="N144" t="s">
        <v>291</v>
      </c>
    </row>
    <row r="145" spans="1:22" x14ac:dyDescent="0.25">
      <c r="E145" s="1">
        <f ca="1">EDATE(E144,120)</f>
        <v>58180</v>
      </c>
      <c r="F145" t="e">
        <f ca="1">_xll.BDP(J145,"PX_LAST")+M145</f>
        <v>#VALUE!</v>
      </c>
      <c r="J145" t="s">
        <v>179</v>
      </c>
      <c r="M145" s="16" t="e">
        <f ca="1">$M$122</f>
        <v>#VALUE!</v>
      </c>
      <c r="N145" t="s">
        <v>292</v>
      </c>
    </row>
    <row r="146" spans="1:22" x14ac:dyDescent="0.25">
      <c r="E146" s="1">
        <f ca="1">EDATE(E145,12)</f>
        <v>58546</v>
      </c>
      <c r="F146" t="e">
        <f ca="1">$F$145</f>
        <v>#VALUE!</v>
      </c>
    </row>
    <row r="154" spans="1:22" x14ac:dyDescent="0.25">
      <c r="A154" s="7" t="s">
        <v>181</v>
      </c>
      <c r="B154" s="8">
        <v>7</v>
      </c>
      <c r="C154" s="8"/>
      <c r="D154" s="8">
        <v>0</v>
      </c>
      <c r="E154" s="8"/>
      <c r="F154" s="8">
        <v>100</v>
      </c>
      <c r="H154" t="s">
        <v>298</v>
      </c>
      <c r="K154" t="s">
        <v>299</v>
      </c>
      <c r="L154" t="e">
        <f ca="1">F165-F160</f>
        <v>#VALUE!</v>
      </c>
    </row>
    <row r="155" spans="1:22" x14ac:dyDescent="0.25">
      <c r="A155" t="s">
        <v>28</v>
      </c>
      <c r="B155" t="s">
        <v>29</v>
      </c>
      <c r="C155" t="s">
        <v>30</v>
      </c>
      <c r="D155" t="s">
        <v>31</v>
      </c>
      <c r="E155" t="s">
        <v>32</v>
      </c>
      <c r="F155" t="s">
        <v>33</v>
      </c>
    </row>
    <row r="156" spans="1:22" x14ac:dyDescent="0.25">
      <c r="A156" s="1">
        <f ca="1">WORKDAY(Swap_Date,1)</f>
        <v>43571</v>
      </c>
      <c r="B156" t="str">
        <f ca="1">B157</f>
        <v>#N/A Connection</v>
      </c>
      <c r="C156" s="1">
        <f ca="1">nextimm(Swap_Date)</f>
        <v>43635</v>
      </c>
      <c r="D156" t="s">
        <v>197</v>
      </c>
      <c r="E156" s="1">
        <f ca="1">EDATE(Swap_Date,12)</f>
        <v>43936</v>
      </c>
      <c r="F156" t="str">
        <f t="shared" ref="F156:F165" ca="1" si="19">IF(ISNUMBER(S156),S156,T156)</f>
        <v>#N/A Connection</v>
      </c>
      <c r="J156" t="s">
        <v>579</v>
      </c>
      <c r="L156" s="18"/>
      <c r="N156">
        <v>5.7073999999999998</v>
      </c>
      <c r="O156" t="e">
        <f ca="1">F156-N156</f>
        <v>#VALUE!</v>
      </c>
      <c r="P156" s="23"/>
      <c r="R156" s="23"/>
      <c r="T156" t="str">
        <f ca="1">IF(ISNUMBER(_xll.BDH($J156,"LAST_PRICE",Swap_Date,Swap_Date)),_xll.BDH($J156,"LAST_PRICE",Swap_Date,Swap_Date),U156)</f>
        <v>#N/A Connection</v>
      </c>
      <c r="U156" t="str">
        <f ca="1">_xll.BDP(J156,"PX_LAST")</f>
        <v>#N/A Connection</v>
      </c>
    </row>
    <row r="157" spans="1:22" x14ac:dyDescent="0.25">
      <c r="A157" s="1">
        <f ca="1">EDATE(Swap_Date,1)</f>
        <v>43600</v>
      </c>
      <c r="B157" t="str">
        <f t="shared" ref="B157:B162" ca="1" si="20">U157</f>
        <v>#N/A Connection</v>
      </c>
      <c r="C157" s="1">
        <f ca="1">nextimm(C156+1)</f>
        <v>43726</v>
      </c>
      <c r="D157" t="s">
        <v>197</v>
      </c>
      <c r="E157" s="1">
        <f ca="1">EDATE(E156,12)</f>
        <v>44301</v>
      </c>
      <c r="F157" t="str">
        <f t="shared" ca="1" si="19"/>
        <v>#N/A Connection</v>
      </c>
      <c r="G157" t="e">
        <f t="shared" ref="G157:G164" ca="1" si="21">100*(F157-F156)</f>
        <v>#VALUE!</v>
      </c>
      <c r="H157" t="s">
        <v>182</v>
      </c>
      <c r="J157" t="s">
        <v>580</v>
      </c>
      <c r="N157">
        <v>6.5526</v>
      </c>
      <c r="O157" t="e">
        <f t="shared" ref="O157:O164" ca="1" si="22">F157-N157</f>
        <v>#VALUE!</v>
      </c>
      <c r="P157" s="24" t="str">
        <f ca="1">_xll.BDP(H157,"PX_LAST")</f>
        <v>#N/A Connection</v>
      </c>
      <c r="R157" s="23"/>
      <c r="T157" t="str">
        <f ca="1">IF(ISNUMBER(_xll.BDH($J157,"LAST_PRICE",Swap_Date,Swap_Date)),_xll.BDH($J157,"LAST_PRICE",Swap_Date,Swap_Date),U157)</f>
        <v>#N/A Connection</v>
      </c>
      <c r="U157" t="str">
        <f ca="1">_xll.BDP(J157,"PX_LAST")</f>
        <v>#N/A Connection</v>
      </c>
      <c r="V157" t="str">
        <f ca="1">_xll.BDP(H157,"PX_LAST")</f>
        <v>#N/A Connection</v>
      </c>
    </row>
    <row r="158" spans="1:22" x14ac:dyDescent="0.25">
      <c r="A158" s="1">
        <f ca="1">EDATE(Swap_Date,2)</f>
        <v>43631</v>
      </c>
      <c r="B158" t="str">
        <f t="shared" ca="1" si="20"/>
        <v>#N/A Connection</v>
      </c>
      <c r="C158" s="1">
        <f t="shared" ref="C158:C163" ca="1" si="23">nextimm(C157+1)</f>
        <v>43817</v>
      </c>
      <c r="D158" t="s">
        <v>197</v>
      </c>
      <c r="E158" s="1">
        <f ca="1">EDATE(E157,12)</f>
        <v>44666</v>
      </c>
      <c r="F158" t="str">
        <f t="shared" ca="1" si="19"/>
        <v>#N/A Connection</v>
      </c>
      <c r="G158" t="e">
        <f t="shared" ca="1" si="21"/>
        <v>#VALUE!</v>
      </c>
      <c r="H158" t="s">
        <v>183</v>
      </c>
      <c r="J158" t="s">
        <v>581</v>
      </c>
      <c r="N158">
        <v>7.1788999999999996</v>
      </c>
      <c r="O158" t="e">
        <f t="shared" ca="1" si="22"/>
        <v>#VALUE!</v>
      </c>
      <c r="P158" s="24"/>
      <c r="R158" s="23"/>
      <c r="T158" t="str">
        <f ca="1">IF(ISNUMBER(_xll.BDH($J158,"LAST_PRICE",Swap_Date,Swap_Date)),_xll.BDH($J158,"LAST_PRICE",Swap_Date,Swap_Date),U158)</f>
        <v>#N/A Connection</v>
      </c>
      <c r="U158" t="str">
        <f ca="1">_xll.BDP(J158,"PX_LAST")</f>
        <v>#N/A Connection</v>
      </c>
      <c r="V158" t="str">
        <f ca="1">V157</f>
        <v>#N/A Connection</v>
      </c>
    </row>
    <row r="159" spans="1:22" x14ac:dyDescent="0.25">
      <c r="A159" s="1">
        <f ca="1">EDATE(Swap_Date,3)</f>
        <v>43661</v>
      </c>
      <c r="B159" t="str">
        <f t="shared" ca="1" si="20"/>
        <v>#N/A Connection</v>
      </c>
      <c r="C159" s="1">
        <f t="shared" ca="1" si="23"/>
        <v>43908</v>
      </c>
      <c r="D159" t="s">
        <v>197</v>
      </c>
      <c r="E159" s="1">
        <f t="shared" ref="E159:E165" ca="1" si="24">EDATE(E158,12)</f>
        <v>45031</v>
      </c>
      <c r="F159" t="str">
        <f t="shared" ca="1" si="19"/>
        <v>#N/A Connection</v>
      </c>
      <c r="G159" t="e">
        <f t="shared" ca="1" si="21"/>
        <v>#VALUE!</v>
      </c>
      <c r="H159" t="s">
        <v>184</v>
      </c>
      <c r="J159" t="s">
        <v>582</v>
      </c>
      <c r="N159">
        <v>7.5522999999999998</v>
      </c>
      <c r="O159" t="e">
        <f t="shared" ca="1" si="22"/>
        <v>#VALUE!</v>
      </c>
      <c r="P159" s="24" t="str">
        <f ca="1">_xll.BDP(H159,"PX_LAST")</f>
        <v>#N/A Connection</v>
      </c>
      <c r="R159" s="23"/>
      <c r="T159" t="str">
        <f ca="1">IF(ISNUMBER(_xll.BDH($J159,"LAST_PRICE",Swap_Date,Swap_Date)),_xll.BDH($J159,"LAST_PRICE",Swap_Date,Swap_Date),U159)</f>
        <v>#N/A Connection</v>
      </c>
      <c r="U159" t="str">
        <f ca="1">_xll.BDP(J159,"PX_LAST")</f>
        <v>#N/A Connection</v>
      </c>
      <c r="V159" t="str">
        <f ca="1">_xll.BDP(H159,"PX_LAST")</f>
        <v>#N/A Connection</v>
      </c>
    </row>
    <row r="160" spans="1:22" x14ac:dyDescent="0.25">
      <c r="A160" s="1">
        <f ca="1">EDATE(Swap_Date,6)</f>
        <v>43753</v>
      </c>
      <c r="B160" t="str">
        <f t="shared" ca="1" si="20"/>
        <v>#N/A Connection</v>
      </c>
      <c r="C160" s="1">
        <f t="shared" ca="1" si="23"/>
        <v>43999</v>
      </c>
      <c r="D160" t="s">
        <v>197</v>
      </c>
      <c r="E160" s="1">
        <f t="shared" ca="1" si="24"/>
        <v>45397</v>
      </c>
      <c r="F160" t="str">
        <f t="shared" ca="1" si="19"/>
        <v>#N/A Connection</v>
      </c>
      <c r="G160" t="e">
        <f t="shared" ca="1" si="21"/>
        <v>#VALUE!</v>
      </c>
      <c r="H160" t="s">
        <v>185</v>
      </c>
      <c r="J160" t="s">
        <v>583</v>
      </c>
      <c r="N160">
        <v>7.8151999999999999</v>
      </c>
      <c r="O160" t="e">
        <f t="shared" ca="1" si="22"/>
        <v>#VALUE!</v>
      </c>
      <c r="P160" s="24" t="str">
        <f ca="1">_xll.BDP(H160,"PX_LAST")</f>
        <v>#N/A Connection</v>
      </c>
      <c r="R160" s="23"/>
      <c r="T160" t="str">
        <f ca="1">IF(ISNUMBER(_xll.BDH($J160,"LAST_PRICE",Swap_Date,Swap_Date)),_xll.BDH($J160,"LAST_PRICE",Swap_Date,Swap_Date),U160)</f>
        <v>#N/A Connection</v>
      </c>
      <c r="U160" t="str">
        <f ca="1">_xll.BDP(J160,"PX_LAST")</f>
        <v>#N/A Connection</v>
      </c>
      <c r="V160" t="str">
        <f ca="1">_xll.BDP(H160,"PX_LAST")</f>
        <v>#N/A Connection</v>
      </c>
    </row>
    <row r="161" spans="1:22" x14ac:dyDescent="0.25">
      <c r="A161" s="1">
        <f ca="1">EDATE(Swap_Date,12)</f>
        <v>43936</v>
      </c>
      <c r="B161" t="str">
        <f t="shared" ca="1" si="20"/>
        <v>#N/A Connection</v>
      </c>
      <c r="C161" s="1">
        <f t="shared" ca="1" si="23"/>
        <v>44090</v>
      </c>
      <c r="D161" t="s">
        <v>197</v>
      </c>
      <c r="E161" s="1">
        <f t="shared" ca="1" si="24"/>
        <v>45762</v>
      </c>
      <c r="F161" t="str">
        <f t="shared" ca="1" si="19"/>
        <v>#N/A Connection</v>
      </c>
      <c r="G161" t="e">
        <f t="shared" ca="1" si="21"/>
        <v>#VALUE!</v>
      </c>
      <c r="H161" t="s">
        <v>186</v>
      </c>
      <c r="J161" t="s">
        <v>584</v>
      </c>
      <c r="N161">
        <v>8.0724999999999998</v>
      </c>
      <c r="O161" t="e">
        <f t="shared" ca="1" si="22"/>
        <v>#VALUE!</v>
      </c>
      <c r="P161" s="24" t="str">
        <f ca="1">_xll.BDP(H161,"PX_LAST")</f>
        <v>#N/A Connection</v>
      </c>
      <c r="R161" s="23"/>
      <c r="T161" t="str">
        <f ca="1">IF(ISNUMBER(_xll.BDH($J161,"LAST_PRICE",Swap_Date,Swap_Date)),_xll.BDH($J161,"LAST_PRICE",Swap_Date,Swap_Date),U161)</f>
        <v>#N/A Connection</v>
      </c>
      <c r="U161" t="str">
        <f ca="1">_xll.BDP(J161,"PX_LAST")</f>
        <v>#N/A Connection</v>
      </c>
      <c r="V161" t="str">
        <f ca="1">_xll.BDP(H161,"PX_LAST")</f>
        <v>#N/A Connection</v>
      </c>
    </row>
    <row r="162" spans="1:22" x14ac:dyDescent="0.25">
      <c r="A162" s="10">
        <f ca="1">EDATE(A161,10)</f>
        <v>44242</v>
      </c>
      <c r="B162" s="11" t="str">
        <f t="shared" ca="1" si="20"/>
        <v>#N/A Connection</v>
      </c>
      <c r="C162" s="1">
        <f t="shared" ca="1" si="23"/>
        <v>44181</v>
      </c>
      <c r="D162" t="s">
        <v>197</v>
      </c>
      <c r="E162" s="1">
        <f t="shared" ca="1" si="24"/>
        <v>46127</v>
      </c>
      <c r="F162" t="str">
        <f t="shared" ca="1" si="19"/>
        <v>#N/A Connection</v>
      </c>
      <c r="G162" t="e">
        <f t="shared" ca="1" si="21"/>
        <v>#VALUE!</v>
      </c>
      <c r="J162" t="s">
        <v>585</v>
      </c>
      <c r="N162">
        <v>8.2072000000000003</v>
      </c>
      <c r="O162" t="e">
        <f t="shared" ca="1" si="22"/>
        <v>#VALUE!</v>
      </c>
      <c r="P162" s="24"/>
      <c r="R162" s="23"/>
      <c r="T162" t="str">
        <f ca="1">IF(ISNUMBER(_xll.BDH($J162,"LAST_PRICE",Swap_Date,Swap_Date)),_xll.BDH($J162,"LAST_PRICE",Swap_Date,Swap_Date),U162)</f>
        <v>#N/A Connection</v>
      </c>
      <c r="U162" t="str">
        <f ca="1">_xll.BDP(J162,"PX_LAST")</f>
        <v>#N/A Connection</v>
      </c>
      <c r="V162" t="str">
        <f ca="1">V161</f>
        <v>#N/A Connection</v>
      </c>
    </row>
    <row r="163" spans="1:22" x14ac:dyDescent="0.25">
      <c r="C163" s="1">
        <f t="shared" ca="1" si="23"/>
        <v>44272</v>
      </c>
      <c r="D163" t="s">
        <v>197</v>
      </c>
      <c r="E163" s="1">
        <f t="shared" ca="1" si="24"/>
        <v>46492</v>
      </c>
      <c r="F163" t="str">
        <f t="shared" ca="1" si="19"/>
        <v>#N/A Connection</v>
      </c>
      <c r="G163" t="e">
        <f t="shared" ca="1" si="21"/>
        <v>#VALUE!</v>
      </c>
      <c r="J163" t="s">
        <v>586</v>
      </c>
      <c r="N163">
        <v>8.3289000000000009</v>
      </c>
      <c r="O163" t="e">
        <f t="shared" ca="1" si="22"/>
        <v>#VALUE!</v>
      </c>
      <c r="P163" s="23"/>
      <c r="R163" s="23"/>
      <c r="T163" t="str">
        <f ca="1">IF(ISNUMBER(_xll.BDH($J163,"LAST_PRICE",Swap_Date,Swap_Date)),_xll.BDH($J163,"LAST_PRICE",Swap_Date,Swap_Date),U163)</f>
        <v>#N/A Connection</v>
      </c>
      <c r="U163" t="str">
        <f ca="1">_xll.BDP(J163,"PX_LAST")</f>
        <v>#N/A Connection</v>
      </c>
    </row>
    <row r="164" spans="1:22" x14ac:dyDescent="0.25">
      <c r="E164" s="1">
        <f t="shared" ca="1" si="24"/>
        <v>46858</v>
      </c>
      <c r="F164" t="str">
        <f t="shared" ca="1" si="19"/>
        <v>#N/A Connection</v>
      </c>
      <c r="G164" t="e">
        <f t="shared" ca="1" si="21"/>
        <v>#VALUE!</v>
      </c>
      <c r="J164" t="s">
        <v>587</v>
      </c>
      <c r="N164">
        <v>8.3926999999999996</v>
      </c>
      <c r="O164" t="e">
        <f t="shared" ca="1" si="22"/>
        <v>#VALUE!</v>
      </c>
      <c r="P164" s="23"/>
      <c r="R164" s="23"/>
      <c r="T164" t="str">
        <f ca="1">IF(ISNUMBER(_xll.BDH($J164,"LAST_PRICE",Swap_Date,Swap_Date)),_xll.BDH($J164,"LAST_PRICE",Swap_Date,Swap_Date),U164)</f>
        <v>#N/A Connection</v>
      </c>
      <c r="U164" t="str">
        <f ca="1">_xll.BDP(J164,"PX_LAST")</f>
        <v>#N/A Connection</v>
      </c>
    </row>
    <row r="165" spans="1:22" x14ac:dyDescent="0.25">
      <c r="E165" s="1">
        <f t="shared" ca="1" si="24"/>
        <v>47223</v>
      </c>
      <c r="F165" t="str">
        <f t="shared" ca="1" si="19"/>
        <v>#N/A Connection</v>
      </c>
      <c r="G165" t="e">
        <f ca="1">100*(F165-F164)</f>
        <v>#VALUE!</v>
      </c>
      <c r="J165" t="s">
        <v>588</v>
      </c>
      <c r="O165" t="e">
        <f ca="1">O164</f>
        <v>#VALUE!</v>
      </c>
      <c r="P165" s="23"/>
      <c r="R165" s="23"/>
      <c r="T165" t="str">
        <f ca="1">IF(ISNUMBER(_xll.BDH($J165,"LAST_PRICE",Swap_Date,Swap_Date)),_xll.BDH($J165,"LAST_PRICE",Swap_Date,Swap_Date),U165)</f>
        <v>#N/A Connection</v>
      </c>
      <c r="U165" t="str">
        <f ca="1">_xll.BDP(J165,"PX_LAST")</f>
        <v>#N/A Connection</v>
      </c>
    </row>
    <row r="166" spans="1:22" x14ac:dyDescent="0.25">
      <c r="E166" s="1">
        <f ca="1">EDATE(E165,24)</f>
        <v>47953</v>
      </c>
      <c r="F166" t="e">
        <f ca="1">F165+(E166-$E$165)/($E$165-$E$160)*$L$154</f>
        <v>#VALUE!</v>
      </c>
      <c r="J166" t="s">
        <v>588</v>
      </c>
      <c r="O166" t="e">
        <f t="shared" ref="O166:O172" ca="1" si="25">O165</f>
        <v>#VALUE!</v>
      </c>
      <c r="P166" s="23"/>
      <c r="R166" s="23"/>
      <c r="T166" t="str">
        <f ca="1">IF(ISNUMBER(_xll.BDH($J166,"LAST_PRICE",Swap_Date,Swap_Date)),_xll.BDH($J166,"LAST_PRICE",Swap_Date,Swap_Date),U166)</f>
        <v>#N/A Connection</v>
      </c>
      <c r="U166" t="str">
        <f ca="1">_xll.BDP(J166,"PX_LAST")</f>
        <v>#N/A Connection</v>
      </c>
    </row>
    <row r="167" spans="1:22" x14ac:dyDescent="0.25">
      <c r="E167" s="1">
        <f ca="1">EDATE(E166,36)</f>
        <v>49049</v>
      </c>
      <c r="F167" t="e">
        <f t="shared" ref="F167:F172" ca="1" si="26">F166+(E167-$E$165)/($E$165-$E$160)*$L$154</f>
        <v>#VALUE!</v>
      </c>
      <c r="J167" t="s">
        <v>588</v>
      </c>
      <c r="O167" t="e">
        <f t="shared" ca="1" si="25"/>
        <v>#VALUE!</v>
      </c>
      <c r="P167" s="23"/>
      <c r="R167" s="23"/>
      <c r="T167" t="str">
        <f ca="1">IF(ISNUMBER(_xll.BDH($J167,"LAST_PRICE",Swap_Date,Swap_Date)),_xll.BDH($J167,"LAST_PRICE",Swap_Date,Swap_Date),U167)</f>
        <v>#N/A Connection</v>
      </c>
      <c r="U167" t="str">
        <f ca="1">_xll.BDP(J167,"PX_LAST")</f>
        <v>#N/A Connection</v>
      </c>
    </row>
    <row r="168" spans="1:22" x14ac:dyDescent="0.25">
      <c r="E168" s="1">
        <f ca="1">EDATE(E167,60)</f>
        <v>50875</v>
      </c>
      <c r="F168" t="e">
        <f t="shared" ca="1" si="26"/>
        <v>#VALUE!</v>
      </c>
      <c r="J168" t="s">
        <v>588</v>
      </c>
      <c r="O168" t="e">
        <f t="shared" ca="1" si="25"/>
        <v>#VALUE!</v>
      </c>
      <c r="P168" s="23"/>
      <c r="R168" s="23"/>
      <c r="T168" t="str">
        <f ca="1">IF(ISNUMBER(_xll.BDH($J168,"LAST_PRICE",Swap_Date,Swap_Date)),_xll.BDH($J168,"LAST_PRICE",Swap_Date,Swap_Date),U168)</f>
        <v>#N/A Connection</v>
      </c>
      <c r="U168" t="str">
        <f ca="1">_xll.BDP(J168,"PX_LAST")</f>
        <v>#N/A Connection</v>
      </c>
    </row>
    <row r="169" spans="1:22" x14ac:dyDescent="0.25">
      <c r="E169" s="1">
        <f ca="1">EDATE(E168,60)</f>
        <v>52702</v>
      </c>
      <c r="F169" t="e">
        <f t="shared" ca="1" si="26"/>
        <v>#VALUE!</v>
      </c>
      <c r="J169" t="s">
        <v>588</v>
      </c>
      <c r="O169" t="e">
        <f t="shared" ca="1" si="25"/>
        <v>#VALUE!</v>
      </c>
      <c r="P169" s="23"/>
      <c r="R169" s="23"/>
      <c r="T169" t="str">
        <f ca="1">IF(ISNUMBER(_xll.BDH($J169,"LAST_PRICE",Swap_Date,Swap_Date)),_xll.BDH($J169,"LAST_PRICE",Swap_Date,Swap_Date),U169)</f>
        <v>#N/A Connection</v>
      </c>
      <c r="U169" t="str">
        <f ca="1">_xll.BDP(J169,"PX_LAST")</f>
        <v>#N/A Connection</v>
      </c>
    </row>
    <row r="170" spans="1:22" x14ac:dyDescent="0.25">
      <c r="E170" s="1">
        <f ca="1">EDATE(E169,60)</f>
        <v>54528</v>
      </c>
      <c r="F170" t="e">
        <f t="shared" ca="1" si="26"/>
        <v>#VALUE!</v>
      </c>
      <c r="J170" t="s">
        <v>588</v>
      </c>
      <c r="O170" t="e">
        <f t="shared" ca="1" si="25"/>
        <v>#VALUE!</v>
      </c>
      <c r="P170" s="23"/>
      <c r="R170" s="23"/>
      <c r="T170" t="str">
        <f ca="1">IF(ISNUMBER(_xll.BDH($J170,"LAST_PRICE",Swap_Date,Swap_Date)),_xll.BDH($J170,"LAST_PRICE",Swap_Date,Swap_Date),U170)</f>
        <v>#N/A Connection</v>
      </c>
      <c r="U170" t="str">
        <f ca="1">_xll.BDP(J170,"PX_LAST")</f>
        <v>#N/A Connection</v>
      </c>
    </row>
    <row r="171" spans="1:22" x14ac:dyDescent="0.25">
      <c r="E171" s="1">
        <f ca="1">EDATE(E170,120)</f>
        <v>58180</v>
      </c>
      <c r="F171" t="e">
        <f t="shared" ca="1" si="26"/>
        <v>#VALUE!</v>
      </c>
      <c r="J171" t="s">
        <v>588</v>
      </c>
      <c r="O171" t="e">
        <f t="shared" ca="1" si="25"/>
        <v>#VALUE!</v>
      </c>
      <c r="P171" s="23"/>
      <c r="R171" s="23"/>
      <c r="T171" t="str">
        <f ca="1">IF(ISNUMBER(_xll.BDH($J171,"LAST_PRICE",Swap_Date,Swap_Date)),_xll.BDH($J171,"LAST_PRICE",Swap_Date,Swap_Date),U171)</f>
        <v>#N/A Connection</v>
      </c>
      <c r="U171" t="str">
        <f ca="1">_xll.BDP(J171,"PX_LAST")</f>
        <v>#N/A Connection</v>
      </c>
    </row>
    <row r="172" spans="1:22" x14ac:dyDescent="0.25">
      <c r="E172" s="1">
        <f ca="1">EDATE(E171,12)</f>
        <v>58546</v>
      </c>
      <c r="F172" t="e">
        <f t="shared" ca="1" si="26"/>
        <v>#VALUE!</v>
      </c>
      <c r="J172" t="s">
        <v>588</v>
      </c>
      <c r="O172" t="e">
        <f t="shared" ca="1" si="25"/>
        <v>#VALUE!</v>
      </c>
      <c r="P172" s="23"/>
      <c r="R172" s="23"/>
      <c r="T172" t="str">
        <f ca="1">IF(ISNUMBER(_xll.BDH($J172,"LAST_PRICE",Swap_Date,Swap_Date)),_xll.BDH($J172,"LAST_PRICE",Swap_Date,Swap_Date),U172)</f>
        <v>#N/A Connection</v>
      </c>
      <c r="U172" t="str">
        <f ca="1">_xll.BDP(J172,"PX_LAST")</f>
        <v>#N/A Connection</v>
      </c>
    </row>
    <row r="179" spans="1:10" x14ac:dyDescent="0.25">
      <c r="A179" t="s">
        <v>417</v>
      </c>
      <c r="B179">
        <v>8</v>
      </c>
      <c r="D179">
        <v>0</v>
      </c>
      <c r="F179">
        <v>100</v>
      </c>
    </row>
    <row r="180" spans="1:10" x14ac:dyDescent="0.25">
      <c r="A180" t="s">
        <v>28</v>
      </c>
      <c r="B180" t="s">
        <v>29</v>
      </c>
      <c r="C180" t="s">
        <v>30</v>
      </c>
      <c r="D180" t="s">
        <v>31</v>
      </c>
      <c r="E180" t="s">
        <v>32</v>
      </c>
      <c r="F180" t="s">
        <v>33</v>
      </c>
    </row>
    <row r="181" spans="1:10" x14ac:dyDescent="0.25">
      <c r="A181" s="1">
        <f ca="1">WORKDAY(Swap_Date,1)</f>
        <v>43571</v>
      </c>
      <c r="B181" t="str">
        <f ca="1">_xll.BDP(H181,"PX_LAST")</f>
        <v>#N/A Connection</v>
      </c>
      <c r="C181" s="1">
        <f ca="1">nextimm(Swap_Date)</f>
        <v>43635</v>
      </c>
      <c r="D181" t="s">
        <v>197</v>
      </c>
      <c r="E181" s="1">
        <f ca="1">EDATE(Swap_Date,24)</f>
        <v>44301</v>
      </c>
      <c r="F181" t="str">
        <f ca="1">_xll.BDP(J181,"PX_LAST")</f>
        <v>#N/A Connection</v>
      </c>
      <c r="H181" t="s">
        <v>418</v>
      </c>
      <c r="J181" t="s">
        <v>419</v>
      </c>
    </row>
    <row r="182" spans="1:10" x14ac:dyDescent="0.25">
      <c r="A182" s="1">
        <f ca="1">EDATE(Swap_Date,1)</f>
        <v>43600</v>
      </c>
      <c r="B182" t="str">
        <f ca="1">_xll.BDP(H182,"PX_LAST")</f>
        <v>#N/A Connection</v>
      </c>
      <c r="C182" s="1">
        <f ca="1">nextimm(C181+1)</f>
        <v>43726</v>
      </c>
      <c r="D182" t="s">
        <v>197</v>
      </c>
      <c r="E182" s="1">
        <f ca="1">EDATE(E181,12)</f>
        <v>44666</v>
      </c>
      <c r="F182" t="str">
        <f ca="1">_xll.BDP(J182,"PX_LAST")</f>
        <v>#N/A Connection</v>
      </c>
      <c r="H182" t="s">
        <v>436</v>
      </c>
      <c r="J182" t="s">
        <v>420</v>
      </c>
    </row>
    <row r="183" spans="1:10" x14ac:dyDescent="0.25">
      <c r="A183" s="1">
        <f ca="1">EDATE(Swap_Date,2)</f>
        <v>43631</v>
      </c>
      <c r="B183" t="e">
        <f ca="1">0.5*(B182+B184)</f>
        <v>#VALUE!</v>
      </c>
      <c r="C183" s="1">
        <f t="shared" ref="C183:C188" ca="1" si="27">nextimm(C182+1)</f>
        <v>43817</v>
      </c>
      <c r="D183" t="s">
        <v>197</v>
      </c>
      <c r="E183" s="1">
        <f t="shared" ref="E183:E196" ca="1" si="28">EDATE(E182,12)</f>
        <v>45031</v>
      </c>
      <c r="F183" t="str">
        <f ca="1">_xll.BDP(J183,"PX_LAST")</f>
        <v>#N/A Connection</v>
      </c>
      <c r="J183" t="s">
        <v>421</v>
      </c>
    </row>
    <row r="184" spans="1:10" x14ac:dyDescent="0.25">
      <c r="A184" s="1">
        <f ca="1">EDATE(Swap_Date,3)</f>
        <v>43661</v>
      </c>
      <c r="B184" t="str">
        <f ca="1">_xll.BDP(H184,"PX_LAST")</f>
        <v>#N/A Connection</v>
      </c>
      <c r="C184" s="1">
        <f t="shared" ca="1" si="27"/>
        <v>43908</v>
      </c>
      <c r="D184" t="s">
        <v>197</v>
      </c>
      <c r="E184" s="1">
        <f t="shared" ca="1" si="28"/>
        <v>45397</v>
      </c>
      <c r="F184" t="str">
        <f ca="1">_xll.BDP(J184,"PX_LAST")</f>
        <v>#N/A Connection</v>
      </c>
      <c r="H184" t="s">
        <v>437</v>
      </c>
      <c r="J184" t="s">
        <v>422</v>
      </c>
    </row>
    <row r="185" spans="1:10" x14ac:dyDescent="0.25">
      <c r="A185" s="1">
        <f ca="1">EDATE(Swap_Date,6)</f>
        <v>43753</v>
      </c>
      <c r="B185" t="str">
        <f ca="1">_xll.BDP(H185,"PX_LAST")</f>
        <v>#N/A Connection</v>
      </c>
      <c r="C185" s="1">
        <f t="shared" ca="1" si="27"/>
        <v>43999</v>
      </c>
      <c r="D185" t="s">
        <v>197</v>
      </c>
      <c r="E185" s="1">
        <f t="shared" ca="1" si="28"/>
        <v>45762</v>
      </c>
      <c r="F185" t="str">
        <f ca="1">_xll.BDP(J185,"PX_LAST")</f>
        <v>#N/A Connection</v>
      </c>
      <c r="H185" t="s">
        <v>438</v>
      </c>
      <c r="J185" t="s">
        <v>423</v>
      </c>
    </row>
    <row r="186" spans="1:10" x14ac:dyDescent="0.25">
      <c r="A186" s="1">
        <f ca="1">EDATE(Swap_Date,12)</f>
        <v>43936</v>
      </c>
      <c r="B186" t="str">
        <f ca="1">_xll.BDP(H186,"PX_LAST")</f>
        <v>#N/A Connection</v>
      </c>
      <c r="C186" s="1">
        <f t="shared" ca="1" si="27"/>
        <v>44090</v>
      </c>
      <c r="D186" t="s">
        <v>197</v>
      </c>
      <c r="E186" s="1">
        <f t="shared" ca="1" si="28"/>
        <v>46127</v>
      </c>
      <c r="F186" t="str">
        <f ca="1">_xll.BDP(J186,"PX_LAST")</f>
        <v>#N/A Connection</v>
      </c>
      <c r="H186" t="s">
        <v>439</v>
      </c>
      <c r="J186" t="s">
        <v>424</v>
      </c>
    </row>
    <row r="187" spans="1:10" x14ac:dyDescent="0.25">
      <c r="A187" s="10">
        <f ca="1">EDATE(Swap_Date,18)</f>
        <v>44119</v>
      </c>
      <c r="B187" t="str">
        <f ca="1">_xll.BDP(H187,"PX_LAST")</f>
        <v>#N/A Connection</v>
      </c>
      <c r="C187" s="1">
        <f t="shared" ca="1" si="27"/>
        <v>44181</v>
      </c>
      <c r="D187" t="s">
        <v>197</v>
      </c>
      <c r="E187" s="1">
        <f t="shared" ca="1" si="28"/>
        <v>46492</v>
      </c>
      <c r="F187" t="str">
        <f ca="1">_xll.BDP(J187,"PX_LAST")</f>
        <v>#N/A Connection</v>
      </c>
      <c r="H187" t="s">
        <v>440</v>
      </c>
      <c r="J187" t="s">
        <v>425</v>
      </c>
    </row>
    <row r="188" spans="1:10" x14ac:dyDescent="0.25">
      <c r="A188" s="10">
        <f ca="1">EDATE(Swap_Date,24)</f>
        <v>44301</v>
      </c>
      <c r="B188" s="11" t="e">
        <f ca="1">B187+(B187-B186)</f>
        <v>#VALUE!</v>
      </c>
      <c r="C188" s="1">
        <f t="shared" ca="1" si="27"/>
        <v>44272</v>
      </c>
      <c r="D188" t="s">
        <v>197</v>
      </c>
      <c r="E188" s="1">
        <f t="shared" ca="1" si="28"/>
        <v>46858</v>
      </c>
      <c r="F188" t="str">
        <f ca="1">_xll.BDP(J188,"PX_LAST")</f>
        <v>#N/A Connection</v>
      </c>
      <c r="J188" t="s">
        <v>426</v>
      </c>
    </row>
    <row r="189" spans="1:10" x14ac:dyDescent="0.25">
      <c r="E189" s="1">
        <f t="shared" ca="1" si="28"/>
        <v>47223</v>
      </c>
      <c r="F189" t="str">
        <f ca="1">_xll.BDP(J189,"PX_LAST")</f>
        <v>#N/A Connection</v>
      </c>
      <c r="J189" t="s">
        <v>427</v>
      </c>
    </row>
    <row r="190" spans="1:10" x14ac:dyDescent="0.25">
      <c r="E190" s="1">
        <f t="shared" ca="1" si="28"/>
        <v>47588</v>
      </c>
      <c r="F190" t="e">
        <f ca="1">0.5*(F189+F191)</f>
        <v>#VALUE!</v>
      </c>
      <c r="J190" t="s">
        <v>428</v>
      </c>
    </row>
    <row r="191" spans="1:10" x14ac:dyDescent="0.25">
      <c r="E191" s="1">
        <f t="shared" ca="1" si="28"/>
        <v>47953</v>
      </c>
      <c r="F191" t="str">
        <f ca="1">_xll.BDP(J191,"PX_LAST")</f>
        <v>#N/A Connection</v>
      </c>
      <c r="J191" t="s">
        <v>429</v>
      </c>
    </row>
    <row r="192" spans="1:10" x14ac:dyDescent="0.25">
      <c r="E192" s="1">
        <f t="shared" ca="1" si="28"/>
        <v>48319</v>
      </c>
      <c r="F192" t="e">
        <f ca="1">1/3*(F194-F191)+F191</f>
        <v>#VALUE!</v>
      </c>
      <c r="J192" t="s">
        <v>430</v>
      </c>
    </row>
    <row r="193" spans="5:10" x14ac:dyDescent="0.25">
      <c r="E193" s="1">
        <f t="shared" ca="1" si="28"/>
        <v>48684</v>
      </c>
      <c r="F193" t="e">
        <f ca="1">2/3*(F194-F191)+F191</f>
        <v>#VALUE!</v>
      </c>
      <c r="J193" t="s">
        <v>431</v>
      </c>
    </row>
    <row r="194" spans="5:10" x14ac:dyDescent="0.25">
      <c r="E194" s="1">
        <f t="shared" ca="1" si="28"/>
        <v>49049</v>
      </c>
      <c r="F194" t="str">
        <f ca="1">_xll.BDP(J194,"PX_LAST")</f>
        <v>#N/A Connection</v>
      </c>
      <c r="J194" t="s">
        <v>432</v>
      </c>
    </row>
    <row r="195" spans="5:10" x14ac:dyDescent="0.25">
      <c r="E195" s="1">
        <f t="shared" ca="1" si="28"/>
        <v>49414</v>
      </c>
      <c r="F195" t="e">
        <f ca="1">1/5*(F197-F194)+F194</f>
        <v>#VALUE!</v>
      </c>
      <c r="J195" t="s">
        <v>433</v>
      </c>
    </row>
    <row r="196" spans="5:10" x14ac:dyDescent="0.25">
      <c r="E196" s="1">
        <f t="shared" ca="1" si="28"/>
        <v>49780</v>
      </c>
      <c r="F196" t="e">
        <f ca="1">2/5*(F197-F194)+F194</f>
        <v>#VALUE!</v>
      </c>
      <c r="J196" t="s">
        <v>434</v>
      </c>
    </row>
    <row r="197" spans="5:10" x14ac:dyDescent="0.25">
      <c r="E197" s="1">
        <f ca="1">EDATE(E196,36)</f>
        <v>50875</v>
      </c>
      <c r="F197" t="str">
        <f ca="1">_xll.BDP(J197,"PX_LAST")</f>
        <v>#N/A Connection</v>
      </c>
      <c r="J197" t="s">
        <v>435</v>
      </c>
    </row>
    <row r="198" spans="5:10" x14ac:dyDescent="0.25">
      <c r="E198" s="1">
        <f ca="1">EDATE(E197,60)</f>
        <v>52702</v>
      </c>
      <c r="F198" t="str">
        <f ca="1">F197</f>
        <v>#N/A Connection</v>
      </c>
    </row>
    <row r="199" spans="5:10" x14ac:dyDescent="0.25">
      <c r="E199" s="1">
        <f ca="1">EDATE(E198,60)</f>
        <v>54528</v>
      </c>
      <c r="F199" t="str">
        <f t="shared" ref="F199:F201" ca="1" si="29">F198</f>
        <v>#N/A Connection</v>
      </c>
    </row>
    <row r="200" spans="5:10" x14ac:dyDescent="0.25">
      <c r="E200" s="1">
        <f ca="1">EDATE(E199,120)</f>
        <v>58180</v>
      </c>
      <c r="F200" t="str">
        <f t="shared" ca="1" si="29"/>
        <v>#N/A Connection</v>
      </c>
    </row>
    <row r="201" spans="5:10" x14ac:dyDescent="0.25">
      <c r="E201" s="1">
        <f ca="1">EDATE(E200,12)</f>
        <v>58546</v>
      </c>
      <c r="F201" t="str">
        <f t="shared" ca="1" si="29"/>
        <v>#N/A Connection</v>
      </c>
    </row>
  </sheetData>
  <mergeCells count="3">
    <mergeCell ref="A1:B1"/>
    <mergeCell ref="A2:B2"/>
    <mergeCell ref="A3:B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40611-7EC3-43D4-BB87-11C6CC7656E0}">
  <sheetPr codeName="Sheet36"/>
  <dimension ref="A1:X201"/>
  <sheetViews>
    <sheetView zoomScale="60" zoomScaleNormal="60" workbookViewId="0">
      <selection activeCell="U21" sqref="U21"/>
    </sheetView>
  </sheetViews>
  <sheetFormatPr defaultColWidth="8.85546875" defaultRowHeight="15" x14ac:dyDescent="0.25"/>
  <cols>
    <col min="1" max="1" width="8.85546875" style="18"/>
    <col min="2" max="3" width="10.28515625" style="18" customWidth="1"/>
    <col min="4" max="4" width="12" style="18" bestFit="1" customWidth="1"/>
    <col min="5" max="5" width="9.5703125" style="18" bestFit="1" customWidth="1"/>
    <col min="6" max="6" width="9.85546875" style="18" customWidth="1"/>
    <col min="7" max="8" width="8.85546875" style="18"/>
    <col min="9" max="9" width="11.7109375" customWidth="1"/>
    <col min="10" max="12" width="8.85546875" style="18"/>
    <col min="13" max="13" width="11.7109375" style="18" customWidth="1"/>
    <col min="14" max="15" width="8.85546875" style="18"/>
    <col min="16" max="16" width="10.5703125" style="18" customWidth="1"/>
    <col min="17" max="20" width="8.85546875" style="18"/>
    <col min="21" max="21" width="12.85546875" customWidth="1"/>
    <col min="22" max="22" width="11.7109375" customWidth="1"/>
    <col min="24" max="24" width="12.42578125" customWidth="1"/>
  </cols>
  <sheetData>
    <row r="1" spans="1:12" x14ac:dyDescent="0.25">
      <c r="A1" s="125" t="s">
        <v>60</v>
      </c>
      <c r="B1" s="125"/>
    </row>
    <row r="2" spans="1:12" x14ac:dyDescent="0.25">
      <c r="A2" s="125" t="s">
        <v>61</v>
      </c>
      <c r="B2" s="125"/>
      <c r="E2" s="18" t="str">
        <f ca="1">FX_Curve_Live!E2</f>
        <v>04/15/2019 11:15:00</v>
      </c>
    </row>
    <row r="3" spans="1:12" x14ac:dyDescent="0.25">
      <c r="A3" s="125" t="s">
        <v>62</v>
      </c>
      <c r="B3" s="125"/>
      <c r="C3" s="25"/>
      <c r="E3" s="26" t="str">
        <f ca="1">FX_Curve_Live!E3</f>
        <v>04/15/2019 11:16:00</v>
      </c>
      <c r="I3" s="3"/>
    </row>
    <row r="4" spans="1:12" x14ac:dyDescent="0.25">
      <c r="A4" s="18" t="s">
        <v>12</v>
      </c>
      <c r="B4" s="18">
        <v>7</v>
      </c>
      <c r="D4" s="18">
        <v>7</v>
      </c>
      <c r="F4" s="18">
        <v>100</v>
      </c>
      <c r="H4" s="18" t="s">
        <v>34</v>
      </c>
      <c r="I4" t="s">
        <v>656</v>
      </c>
    </row>
    <row r="5" spans="1:12" x14ac:dyDescent="0.25">
      <c r="A5" s="18" t="s">
        <v>28</v>
      </c>
      <c r="B5" s="18" t="s">
        <v>29</v>
      </c>
      <c r="C5" s="18" t="s">
        <v>30</v>
      </c>
      <c r="D5" s="18" t="s">
        <v>31</v>
      </c>
      <c r="E5" s="18" t="s">
        <v>32</v>
      </c>
      <c r="F5" s="18" t="s">
        <v>33</v>
      </c>
      <c r="I5" t="s">
        <v>650</v>
      </c>
    </row>
    <row r="6" spans="1:12" x14ac:dyDescent="0.25">
      <c r="A6" s="25">
        <f ca="1">WORKDAY(Swap_Date,1)</f>
        <v>43571</v>
      </c>
      <c r="B6" s="18" t="str">
        <f ca="1">_xll.BDH(H6,"PX_LAST",Cash_Date,Cash_Date)</f>
        <v>#N/A Connection</v>
      </c>
      <c r="C6" s="25">
        <f ca="1">nextimm(Swap_Date)</f>
        <v>43635</v>
      </c>
      <c r="D6" s="18" t="e">
        <f ca="1">100-IF(ISNUMBER(_xll.BDH(I6,"PX_LAST",Future_Date,Future_Date)),_xll.BDH(I6,"PX_LAST",Future_Date,Future_Date),100-B9)</f>
        <v>#VALUE!</v>
      </c>
      <c r="E6" s="25">
        <f ca="1">EDATE(Swap_Date,24)</f>
        <v>44301</v>
      </c>
      <c r="F6" s="18" t="str">
        <f ca="1">_xll.BDH(J6,"PX_LAST",Swap_Date,Swap_Date)</f>
        <v>#N/A Connection</v>
      </c>
      <c r="H6" s="18" t="s">
        <v>35</v>
      </c>
      <c r="I6" t="str">
        <f ca="1">$I$5&amp;$L6&amp;" "&amp;$I$4</f>
        <v>EDM9 Comdty</v>
      </c>
      <c r="J6" s="18" t="s">
        <v>41</v>
      </c>
      <c r="L6" t="str">
        <f ca="1">get_fut_code(C6)</f>
        <v>M9</v>
      </c>
    </row>
    <row r="7" spans="1:12" x14ac:dyDescent="0.25">
      <c r="A7" s="25">
        <f ca="1">EDATE(Swap_Date,1)</f>
        <v>43600</v>
      </c>
      <c r="B7" s="18" t="str">
        <f ca="1">_xll.BDH(H7,"PX_LAST",Cash_Date,Cash_Date)</f>
        <v>#N/A Connection</v>
      </c>
      <c r="C7" s="25">
        <f ca="1">nextimm(C6+1)</f>
        <v>43726</v>
      </c>
      <c r="D7" s="18" t="e">
        <f ca="1">100-_xll.BDH(I7,"PX_LAST",Future_Date,Future_Date)</f>
        <v>#VALUE!</v>
      </c>
      <c r="E7" s="25">
        <f ca="1">EDATE(E6,12)</f>
        <v>44666</v>
      </c>
      <c r="F7" s="18" t="str">
        <f ca="1">_xll.BDH(J7,"PX_LAST",Swap_Date,Swap_Date)</f>
        <v>#N/A Connection</v>
      </c>
      <c r="H7" s="18" t="s">
        <v>36</v>
      </c>
      <c r="I7" t="str">
        <f t="shared" ref="I7:I13" ca="1" si="0">$I$5&amp;$L7&amp;" "&amp;$I$4</f>
        <v>EDU9 Comdty</v>
      </c>
      <c r="J7" s="18" t="s">
        <v>42</v>
      </c>
      <c r="L7" t="str">
        <f t="shared" ref="L7:L13" ca="1" si="1">get_fut_code(C7)</f>
        <v>U9</v>
      </c>
    </row>
    <row r="8" spans="1:12" x14ac:dyDescent="0.25">
      <c r="A8" s="25">
        <f ca="1">EDATE(Swap_Date,2)</f>
        <v>43631</v>
      </c>
      <c r="B8" s="18" t="str">
        <f ca="1">_xll.BDH(H8,"PX_LAST",Cash_Date,Cash_Date)</f>
        <v>#N/A Connection</v>
      </c>
      <c r="C8" s="25">
        <f t="shared" ref="C8:C13" ca="1" si="2">nextimm(C7+1)</f>
        <v>43817</v>
      </c>
      <c r="D8" s="18" t="e">
        <f ca="1">100-_xll.BDH(I8,"PX_LAST",Future_Date,Future_Date)</f>
        <v>#VALUE!</v>
      </c>
      <c r="E8" s="25">
        <f t="shared" ref="E8:E21" ca="1" si="3">EDATE(E7,12)</f>
        <v>45031</v>
      </c>
      <c r="F8" s="18" t="str">
        <f ca="1">_xll.BDH(J8,"PX_LAST",Swap_Date,Swap_Date)</f>
        <v>#N/A Connection</v>
      </c>
      <c r="H8" s="18" t="s">
        <v>37</v>
      </c>
      <c r="I8" t="str">
        <f t="shared" ca="1" si="0"/>
        <v>EDZ9 Comdty</v>
      </c>
      <c r="J8" s="18" t="s">
        <v>43</v>
      </c>
      <c r="L8" t="str">
        <f t="shared" ca="1" si="1"/>
        <v>Z9</v>
      </c>
    </row>
    <row r="9" spans="1:12" x14ac:dyDescent="0.25">
      <c r="A9" s="25">
        <f ca="1">EDATE(Swap_Date,3)</f>
        <v>43661</v>
      </c>
      <c r="B9" s="18" t="str">
        <f ca="1">_xll.BDH(H9,"PX_LAST",Cash_Date,Cash_Date)</f>
        <v>#N/A Connection</v>
      </c>
      <c r="C9" s="25">
        <f t="shared" ca="1" si="2"/>
        <v>43908</v>
      </c>
      <c r="D9" s="18" t="e">
        <f ca="1">100-_xll.BDH(I9,"PX_LAST",Future_Date,Future_Date)</f>
        <v>#VALUE!</v>
      </c>
      <c r="E9" s="25">
        <f t="shared" ca="1" si="3"/>
        <v>45397</v>
      </c>
      <c r="F9" s="18" t="str">
        <f ca="1">_xll.BDH(J9,"PX_LAST",Swap_Date,Swap_Date)</f>
        <v>#N/A Connection</v>
      </c>
      <c r="H9" s="18" t="s">
        <v>38</v>
      </c>
      <c r="I9" t="str">
        <f t="shared" ca="1" si="0"/>
        <v>EDH0 Comdty</v>
      </c>
      <c r="J9" s="18" t="s">
        <v>44</v>
      </c>
      <c r="L9" t="str">
        <f t="shared" ca="1" si="1"/>
        <v>H0</v>
      </c>
    </row>
    <row r="10" spans="1:12" x14ac:dyDescent="0.25">
      <c r="A10" s="25">
        <f ca="1">EDATE(Swap_Date,6)</f>
        <v>43753</v>
      </c>
      <c r="B10" s="18" t="str">
        <f ca="1">_xll.BDH(H10,"PX_LAST",Cash_Date,Cash_Date)</f>
        <v>#N/A Connection</v>
      </c>
      <c r="C10" s="25">
        <f t="shared" ca="1" si="2"/>
        <v>43999</v>
      </c>
      <c r="D10" s="18" t="e">
        <f ca="1">100-_xll.BDH(I10,"PX_LAST",Future_Date,Future_Date)</f>
        <v>#VALUE!</v>
      </c>
      <c r="E10" s="25">
        <f t="shared" ca="1" si="3"/>
        <v>45762</v>
      </c>
      <c r="F10" s="18" t="str">
        <f ca="1">_xll.BDH(J10,"PX_LAST",Swap_Date,Swap_Date)</f>
        <v>#N/A Connection</v>
      </c>
      <c r="H10" s="18" t="s">
        <v>39</v>
      </c>
      <c r="I10" t="str">
        <f t="shared" ca="1" si="0"/>
        <v>EDM0 Comdty</v>
      </c>
      <c r="J10" s="18" t="s">
        <v>45</v>
      </c>
      <c r="L10" t="str">
        <f t="shared" ca="1" si="1"/>
        <v>M0</v>
      </c>
    </row>
    <row r="11" spans="1:12" x14ac:dyDescent="0.25">
      <c r="A11" s="25">
        <f ca="1">EDATE(Swap_Date,12)</f>
        <v>43936</v>
      </c>
      <c r="B11" s="18" t="str">
        <f ca="1">_xll.BDH(H11,"PX_LAST",Cash_Date,Cash_Date)</f>
        <v>#N/A Connection</v>
      </c>
      <c r="C11" s="25">
        <f t="shared" ca="1" si="2"/>
        <v>44090</v>
      </c>
      <c r="D11" s="18" t="e">
        <f ca="1">100-_xll.BDH(I11,"PX_LAST",Future_Date,Future_Date)</f>
        <v>#VALUE!</v>
      </c>
      <c r="E11" s="25">
        <f t="shared" ca="1" si="3"/>
        <v>46127</v>
      </c>
      <c r="F11" s="18" t="str">
        <f ca="1">_xll.BDH(J11,"PX_LAST",Swap_Date,Swap_Date)</f>
        <v>#N/A Connection</v>
      </c>
      <c r="H11" s="18" t="s">
        <v>40</v>
      </c>
      <c r="I11" t="str">
        <f t="shared" ca="1" si="0"/>
        <v>EDU0 Comdty</v>
      </c>
      <c r="J11" s="18" t="s">
        <v>46</v>
      </c>
      <c r="L11" t="str">
        <f t="shared" ca="1" si="1"/>
        <v>U0</v>
      </c>
    </row>
    <row r="12" spans="1:12" x14ac:dyDescent="0.25">
      <c r="A12" s="27">
        <f ca="1">EDATE(A11,10)</f>
        <v>44242</v>
      </c>
      <c r="B12" s="28" t="str">
        <f ca="1">B11</f>
        <v>#N/A Connection</v>
      </c>
      <c r="C12" s="25">
        <f t="shared" ca="1" si="2"/>
        <v>44181</v>
      </c>
      <c r="D12" s="18" t="e">
        <f ca="1">100-_xll.BDH(I12,"PX_LAST",Future_Date,Future_Date)</f>
        <v>#VALUE!</v>
      </c>
      <c r="E12" s="25">
        <f t="shared" ca="1" si="3"/>
        <v>46492</v>
      </c>
      <c r="F12" s="18" t="str">
        <f ca="1">_xll.BDH(J12,"PX_LAST",Swap_Date,Swap_Date)</f>
        <v>#N/A Connection</v>
      </c>
      <c r="I12" t="str">
        <f t="shared" ca="1" si="0"/>
        <v>EDZ0 Comdty</v>
      </c>
      <c r="J12" s="18" t="s">
        <v>47</v>
      </c>
      <c r="L12" t="str">
        <f t="shared" ca="1" si="1"/>
        <v>Z0</v>
      </c>
    </row>
    <row r="13" spans="1:12" x14ac:dyDescent="0.25">
      <c r="C13" s="25">
        <f t="shared" ca="1" si="2"/>
        <v>44272</v>
      </c>
      <c r="D13" s="18" t="e">
        <f ca="1">100-_xll.BDH(I13,"PX_LAST",Future_Date,Future_Date)</f>
        <v>#VALUE!</v>
      </c>
      <c r="E13" s="25">
        <f t="shared" ca="1" si="3"/>
        <v>46858</v>
      </c>
      <c r="F13" s="18" t="str">
        <f ca="1">_xll.BDH(J13,"PX_LAST",Swap_Date,Swap_Date)</f>
        <v>#N/A Connection</v>
      </c>
      <c r="I13" t="str">
        <f t="shared" ca="1" si="0"/>
        <v>EDH1 Comdty</v>
      </c>
      <c r="J13" s="18" t="s">
        <v>48</v>
      </c>
      <c r="L13" t="str">
        <f t="shared" ca="1" si="1"/>
        <v>H1</v>
      </c>
    </row>
    <row r="14" spans="1:12" x14ac:dyDescent="0.25">
      <c r="E14" s="25">
        <f t="shared" ca="1" si="3"/>
        <v>47223</v>
      </c>
      <c r="F14" s="18" t="str">
        <f ca="1">_xll.BDH(J14,"PX_LAST",Swap_Date,Swap_Date)</f>
        <v>#N/A Connection</v>
      </c>
      <c r="J14" s="18" t="s">
        <v>25</v>
      </c>
    </row>
    <row r="15" spans="1:12" x14ac:dyDescent="0.25">
      <c r="E15" s="25">
        <f t="shared" ca="1" si="3"/>
        <v>47588</v>
      </c>
      <c r="F15" s="18" t="str">
        <f ca="1">_xll.BDH(J15,"PX_LAST",Swap_Date,Swap_Date)</f>
        <v>#N/A Connection</v>
      </c>
      <c r="J15" s="18" t="s">
        <v>49</v>
      </c>
    </row>
    <row r="16" spans="1:12" x14ac:dyDescent="0.25">
      <c r="E16" s="25">
        <f t="shared" ca="1" si="3"/>
        <v>47953</v>
      </c>
      <c r="F16" s="18" t="str">
        <f ca="1">_xll.BDH(J16,"PX_LAST",Swap_Date,Swap_Date)</f>
        <v>#N/A Connection</v>
      </c>
      <c r="J16" s="18" t="s">
        <v>50</v>
      </c>
    </row>
    <row r="17" spans="1:17" x14ac:dyDescent="0.25">
      <c r="E17" s="25">
        <f t="shared" ca="1" si="3"/>
        <v>48319</v>
      </c>
      <c r="F17" s="18" t="str">
        <f ca="1">_xll.BDH(J17,"PX_LAST",Swap_Date,Swap_Date)</f>
        <v>#N/A Connection</v>
      </c>
      <c r="J17" s="18" t="s">
        <v>51</v>
      </c>
    </row>
    <row r="18" spans="1:17" x14ac:dyDescent="0.25">
      <c r="E18" s="25">
        <f t="shared" ca="1" si="3"/>
        <v>48684</v>
      </c>
      <c r="F18" s="18" t="str">
        <f ca="1">_xll.BDH(J18,"PX_LAST",Swap_Date,Swap_Date)</f>
        <v>#N/A Connection</v>
      </c>
      <c r="J18" s="18" t="s">
        <v>52</v>
      </c>
    </row>
    <row r="19" spans="1:17" x14ac:dyDescent="0.25">
      <c r="E19" s="25">
        <f t="shared" ca="1" si="3"/>
        <v>49049</v>
      </c>
      <c r="F19" s="18" t="str">
        <f ca="1">_xll.BDH(J19,"PX_LAST",Swap_Date,Swap_Date)</f>
        <v>#N/A Connection</v>
      </c>
      <c r="J19" s="18" t="s">
        <v>53</v>
      </c>
    </row>
    <row r="20" spans="1:17" x14ac:dyDescent="0.25">
      <c r="E20" s="25">
        <f t="shared" ca="1" si="3"/>
        <v>49414</v>
      </c>
      <c r="F20" s="18" t="e">
        <f ca="1">IF(ISNUMBER(_xll.BDH(J20,"PX_LAST",Swap_Date,Swap_Date)),_xll.BDH(J20,"PX_LAST",Swap_Date,Swap_Date),0.2*(F22-F19)+F19)</f>
        <v>#VALUE!</v>
      </c>
      <c r="J20" s="18" t="s">
        <v>54</v>
      </c>
    </row>
    <row r="21" spans="1:17" x14ac:dyDescent="0.25">
      <c r="E21" s="25">
        <f t="shared" ca="1" si="3"/>
        <v>49780</v>
      </c>
      <c r="F21" s="18" t="e">
        <f ca="1">IF(ISNUMBER(_xll.BDH(J21,"PX_LAST",Swap_Date,Swap_Date)),_xll.BDH(J21,"PX_LAST",Swap_Date,Swap_Date),0.4*(F22-F19)+F19)</f>
        <v>#VALUE!</v>
      </c>
      <c r="J21" s="18" t="s">
        <v>55</v>
      </c>
    </row>
    <row r="22" spans="1:17" x14ac:dyDescent="0.25">
      <c r="E22" s="25">
        <f ca="1">EDATE(E21,36)</f>
        <v>50875</v>
      </c>
      <c r="F22" s="18" t="str">
        <f ca="1">_xll.BDH(J22,"PX_LAST",Swap_Date,Swap_Date)</f>
        <v>#N/A Connection</v>
      </c>
      <c r="J22" s="18" t="s">
        <v>56</v>
      </c>
    </row>
    <row r="23" spans="1:17" x14ac:dyDescent="0.25">
      <c r="E23" s="25">
        <f ca="1">EDATE(E22,60)</f>
        <v>52702</v>
      </c>
      <c r="F23" s="18" t="str">
        <f ca="1">_xll.BDH(J23,"PX_LAST",Swap_Date,Swap_Date)</f>
        <v>#N/A Connection</v>
      </c>
      <c r="J23" s="18" t="s">
        <v>57</v>
      </c>
    </row>
    <row r="24" spans="1:17" x14ac:dyDescent="0.25">
      <c r="E24" s="25">
        <f ca="1">EDATE(E23,60)</f>
        <v>54528</v>
      </c>
      <c r="F24" s="18" t="str">
        <f ca="1">_xll.BDH(J24,"PX_LAST",Swap_Date,Swap_Date)</f>
        <v>#N/A Connection</v>
      </c>
      <c r="J24" s="18" t="s">
        <v>58</v>
      </c>
    </row>
    <row r="25" spans="1:17" x14ac:dyDescent="0.25">
      <c r="E25" s="25">
        <f ca="1">EDATE(E24,120)</f>
        <v>58180</v>
      </c>
      <c r="F25" s="18" t="str">
        <f ca="1">_xll.BDH(J25,"PX_LAST",Swap_Date,Swap_Date)</f>
        <v>#N/A Connection</v>
      </c>
      <c r="J25" s="18" t="s">
        <v>59</v>
      </c>
    </row>
    <row r="26" spans="1:17" x14ac:dyDescent="0.25">
      <c r="E26" s="25">
        <f ca="1">EDATE(E25,12)</f>
        <v>58546</v>
      </c>
      <c r="F26" s="18" t="str">
        <f ca="1">F25</f>
        <v>#N/A Connection</v>
      </c>
    </row>
    <row r="29" spans="1:17" x14ac:dyDescent="0.25">
      <c r="A29" s="18" t="s">
        <v>13</v>
      </c>
      <c r="B29" s="18">
        <v>7</v>
      </c>
      <c r="D29" s="18">
        <v>7</v>
      </c>
      <c r="F29" s="18">
        <v>100</v>
      </c>
    </row>
    <row r="30" spans="1:17" x14ac:dyDescent="0.25">
      <c r="A30" s="18" t="s">
        <v>28</v>
      </c>
      <c r="B30" s="18" t="s">
        <v>29</v>
      </c>
      <c r="C30" s="18" t="s">
        <v>30</v>
      </c>
      <c r="D30" s="18" t="s">
        <v>31</v>
      </c>
      <c r="E30" s="18" t="s">
        <v>32</v>
      </c>
      <c r="F30" s="18" t="s">
        <v>33</v>
      </c>
      <c r="I30" t="s">
        <v>651</v>
      </c>
      <c r="M30" s="29" t="s">
        <v>199</v>
      </c>
      <c r="N30" s="29" t="s">
        <v>34</v>
      </c>
    </row>
    <row r="31" spans="1:17" x14ac:dyDescent="0.25">
      <c r="A31" s="25">
        <f ca="1">WORKDAY(Swap_Date,1)</f>
        <v>43571</v>
      </c>
      <c r="B31" s="18" t="e">
        <f ca="1">_xll.BDH(H31,"PX_LAST",Cash_Date,Cash_Date)+$P$31</f>
        <v>#VALUE!</v>
      </c>
      <c r="C31" s="25">
        <f ca="1">nextimm(Swap_Date)</f>
        <v>43635</v>
      </c>
      <c r="D31" s="18" t="e">
        <f ca="1">100-IF(ISNUMBER(_xll.BDH(I31,"PX_LAST",Future_Date,Future_Date)),_xll.BDH(I31,"PX_LAST",Future_Date,Future_Date)+$P$31,100-B34)</f>
        <v>#VALUE!</v>
      </c>
      <c r="E31" s="25">
        <f ca="1">EDATE(Swap_Date,24)</f>
        <v>44301</v>
      </c>
      <c r="F31" s="18" t="e">
        <f ca="1">_xll.BDH(J31,"PX_LAST",Swap_Date,Swap_Date)+M31</f>
        <v>#VALUE!</v>
      </c>
      <c r="H31" s="18" t="s">
        <v>6</v>
      </c>
      <c r="I31" t="str">
        <f ca="1">$I$30&amp;$L6&amp;" "&amp;$I$4</f>
        <v>ERM9 Comdty</v>
      </c>
      <c r="J31" s="18" t="s">
        <v>68</v>
      </c>
      <c r="M31" s="18" t="e">
        <f ca="1">_xll.BDP(N31,"PX_LAST")/100</f>
        <v>#VALUE!</v>
      </c>
      <c r="N31" s="18" t="s">
        <v>200</v>
      </c>
      <c r="P31" s="18" t="e">
        <f ca="1">_xll.BDP(Q31,"PX_LAST")/100</f>
        <v>#VALUE!</v>
      </c>
      <c r="Q31" s="18" t="s">
        <v>293</v>
      </c>
    </row>
    <row r="32" spans="1:17" x14ac:dyDescent="0.25">
      <c r="A32" s="25">
        <f ca="1">EDATE(Swap_Date,1)</f>
        <v>43600</v>
      </c>
      <c r="B32" s="18" t="e">
        <f ca="1">_xll.BDH(H32,"PX_LAST",Cash_Date,Cash_Date)+$P$31</f>
        <v>#VALUE!</v>
      </c>
      <c r="C32" s="25">
        <f ca="1">nextimm(C31+1)</f>
        <v>43726</v>
      </c>
      <c r="D32" s="18" t="e">
        <f ca="1">IFERROR($P$31+100-_xll.BDH(I32,"PX_LAST",Future_Date,Future_Date),0.5*(D31+D33))</f>
        <v>#VALUE!</v>
      </c>
      <c r="E32" s="25">
        <f ca="1">EDATE(E31,12)</f>
        <v>44666</v>
      </c>
      <c r="F32" s="18" t="e">
        <f ca="1">_xll.BDH(J32,"PX_LAST",Swap_Date,Swap_Date)+M32</f>
        <v>#VALUE!</v>
      </c>
      <c r="H32" s="18" t="s">
        <v>63</v>
      </c>
      <c r="I32" t="str">
        <f t="shared" ref="I32:I38" ca="1" si="4">$I$30&amp;$L7&amp;" "&amp;$I$4</f>
        <v>ERU9 Comdty</v>
      </c>
      <c r="J32" s="18" t="s">
        <v>69</v>
      </c>
      <c r="M32" s="18" t="e">
        <f ca="1">_xll.BDP(N32,"PX_LAST")/100</f>
        <v>#VALUE!</v>
      </c>
      <c r="N32" s="18" t="s">
        <v>201</v>
      </c>
    </row>
    <row r="33" spans="1:14" x14ac:dyDescent="0.25">
      <c r="A33" s="25">
        <f ca="1">EDATE(Swap_Date,2)</f>
        <v>43631</v>
      </c>
      <c r="B33" s="18" t="e">
        <f ca="1">IF(ISNUMBER(_xll.BDH(H33,"PX_LAST",Cash_Date,Cash_Date)),_xll.BDH(H33,"PX_LAST",Cash_Date,Cash_Date),0.5*(B32+B34))+$P$31</f>
        <v>#VALUE!</v>
      </c>
      <c r="C33" s="25">
        <f t="shared" ref="C33:C38" ca="1" si="5">nextimm(C32+1)</f>
        <v>43817</v>
      </c>
      <c r="D33" s="18" t="e">
        <f ca="1">$P$31+100-_xll.BDH(I33,"PX_LAST",Future_Date,Future_Date)</f>
        <v>#VALUE!</v>
      </c>
      <c r="E33" s="25">
        <f t="shared" ref="E33:E46" ca="1" si="6">EDATE(E32,12)</f>
        <v>45031</v>
      </c>
      <c r="F33" s="18" t="e">
        <f ca="1">_xll.BDH(J33,"PX_LAST",Swap_Date,Swap_Date)+M33</f>
        <v>#VALUE!</v>
      </c>
      <c r="H33" s="18" t="s">
        <v>64</v>
      </c>
      <c r="I33" t="str">
        <f t="shared" ca="1" si="4"/>
        <v>ERZ9 Comdty</v>
      </c>
      <c r="J33" s="18" t="s">
        <v>72</v>
      </c>
      <c r="M33" s="18" t="e">
        <f ca="1">_xll.BDP(N33,"PX_LAST")/100</f>
        <v>#VALUE!</v>
      </c>
      <c r="N33" s="18" t="s">
        <v>202</v>
      </c>
    </row>
    <row r="34" spans="1:14" x14ac:dyDescent="0.25">
      <c r="A34" s="25">
        <f ca="1">EDATE(Swap_Date,3)</f>
        <v>43661</v>
      </c>
      <c r="B34" s="18" t="e">
        <f ca="1">_xll.BDH(H34,"PX_LAST",Cash_Date,Cash_Date)+$P$31</f>
        <v>#VALUE!</v>
      </c>
      <c r="C34" s="25">
        <f t="shared" ca="1" si="5"/>
        <v>43908</v>
      </c>
      <c r="D34" s="18" t="e">
        <f ca="1">$P$31+100-_xll.BDH(I34,"PX_LAST",Future_Date,Future_Date)</f>
        <v>#VALUE!</v>
      </c>
      <c r="E34" s="25">
        <f t="shared" ca="1" si="6"/>
        <v>45397</v>
      </c>
      <c r="F34" s="18" t="e">
        <f ca="1">_xll.BDH(J34,"PX_LAST",Swap_Date,Swap_Date)+M34</f>
        <v>#VALUE!</v>
      </c>
      <c r="H34" s="18" t="s">
        <v>65</v>
      </c>
      <c r="I34" t="str">
        <f t="shared" ca="1" si="4"/>
        <v>ERH0 Comdty</v>
      </c>
      <c r="J34" s="18" t="s">
        <v>70</v>
      </c>
      <c r="M34" s="18" t="e">
        <f ca="1">_xll.BDP(N34,"PX_LAST")/100</f>
        <v>#VALUE!</v>
      </c>
      <c r="N34" s="18" t="s">
        <v>203</v>
      </c>
    </row>
    <row r="35" spans="1:14" x14ac:dyDescent="0.25">
      <c r="A35" s="25">
        <f ca="1">EDATE(Swap_Date,6)</f>
        <v>43753</v>
      </c>
      <c r="B35" s="18" t="e">
        <f ca="1">_xll.BDH(H35,"PX_LAST",Cash_Date,Cash_Date)+$P$31</f>
        <v>#VALUE!</v>
      </c>
      <c r="C35" s="25">
        <f t="shared" ca="1" si="5"/>
        <v>43999</v>
      </c>
      <c r="D35" s="18" t="e">
        <f ca="1">$P$31+100-_xll.BDH(I35,"PX_LAST",Future_Date,Future_Date)</f>
        <v>#VALUE!</v>
      </c>
      <c r="E35" s="25">
        <f t="shared" ca="1" si="6"/>
        <v>45762</v>
      </c>
      <c r="F35" s="18" t="e">
        <f ca="1">_xll.BDH(J35,"PX_LAST",Swap_Date,Swap_Date)+M35</f>
        <v>#VALUE!</v>
      </c>
      <c r="H35" s="18" t="s">
        <v>66</v>
      </c>
      <c r="I35" t="str">
        <f t="shared" ca="1" si="4"/>
        <v>ERM0 Comdty</v>
      </c>
      <c r="J35" s="18" t="s">
        <v>73</v>
      </c>
      <c r="M35" s="18" t="e">
        <f ca="1">_xll.BDP(N35,"PX_LAST")/100</f>
        <v>#VALUE!</v>
      </c>
      <c r="N35" s="18" t="s">
        <v>204</v>
      </c>
    </row>
    <row r="36" spans="1:14" x14ac:dyDescent="0.25">
      <c r="A36" s="25">
        <f ca="1">EDATE(Swap_Date,12)</f>
        <v>43936</v>
      </c>
      <c r="B36" s="18" t="e">
        <f ca="1">_xll.BDH(H36,"PX_LAST",Cash_Date,Cash_Date)+$P$31</f>
        <v>#VALUE!</v>
      </c>
      <c r="C36" s="25">
        <f t="shared" ca="1" si="5"/>
        <v>44090</v>
      </c>
      <c r="D36" s="18" t="e">
        <f ca="1">$P$31+100-_xll.BDH(I36,"PX_LAST",Future_Date,Future_Date)</f>
        <v>#VALUE!</v>
      </c>
      <c r="E36" s="25">
        <f t="shared" ca="1" si="6"/>
        <v>46127</v>
      </c>
      <c r="F36" s="18" t="e">
        <f ca="1">_xll.BDH(J36,"PX_LAST",Swap_Date,Swap_Date)+M36</f>
        <v>#VALUE!</v>
      </c>
      <c r="H36" s="18" t="s">
        <v>67</v>
      </c>
      <c r="I36" t="str">
        <f t="shared" ca="1" si="4"/>
        <v>ERU0 Comdty</v>
      </c>
      <c r="J36" s="18" t="s">
        <v>71</v>
      </c>
      <c r="M36" s="18" t="e">
        <f ca="1">_xll.BDP(N36,"PX_LAST")/100</f>
        <v>#VALUE!</v>
      </c>
      <c r="N36" s="18" t="s">
        <v>205</v>
      </c>
    </row>
    <row r="37" spans="1:14" x14ac:dyDescent="0.25">
      <c r="A37" s="27">
        <f ca="1">EDATE(A36,10)</f>
        <v>44242</v>
      </c>
      <c r="B37" s="18" t="e">
        <f ca="1">B36</f>
        <v>#VALUE!</v>
      </c>
      <c r="C37" s="25">
        <f t="shared" ca="1" si="5"/>
        <v>44181</v>
      </c>
      <c r="D37" s="18" t="e">
        <f ca="1">$P$31+100-_xll.BDH(I37,"PX_LAST",Future_Date,Future_Date)</f>
        <v>#VALUE!</v>
      </c>
      <c r="E37" s="25">
        <f t="shared" ca="1" si="6"/>
        <v>46492</v>
      </c>
      <c r="F37" s="18" t="e">
        <f ca="1">_xll.BDH(J37,"PX_LAST",Swap_Date,Swap_Date)+M37</f>
        <v>#VALUE!</v>
      </c>
      <c r="I37" t="str">
        <f t="shared" ca="1" si="4"/>
        <v>ERZ0 Comdty</v>
      </c>
      <c r="J37" s="18" t="s">
        <v>74</v>
      </c>
      <c r="M37" s="18" t="e">
        <f ca="1">_xll.BDP(N37,"PX_LAST")/100</f>
        <v>#VALUE!</v>
      </c>
      <c r="N37" s="18" t="s">
        <v>206</v>
      </c>
    </row>
    <row r="38" spans="1:14" x14ac:dyDescent="0.25">
      <c r="C38" s="25">
        <f t="shared" ca="1" si="5"/>
        <v>44272</v>
      </c>
      <c r="D38" s="18" t="e">
        <f ca="1">$P$31+100-_xll.BDH(I38,"PX_LAST",Future_Date,Future_Date)</f>
        <v>#VALUE!</v>
      </c>
      <c r="E38" s="25">
        <f t="shared" ca="1" si="6"/>
        <v>46858</v>
      </c>
      <c r="F38" s="18" t="e">
        <f ca="1">_xll.BDH(J38,"PX_LAST",Swap_Date,Swap_Date)+M38</f>
        <v>#VALUE!</v>
      </c>
      <c r="I38" t="str">
        <f t="shared" ca="1" si="4"/>
        <v>ERH1 Comdty</v>
      </c>
      <c r="J38" s="18" t="s">
        <v>75</v>
      </c>
      <c r="M38" s="18" t="e">
        <f ca="1">_xll.BDP(N38,"PX_LAST")/100</f>
        <v>#VALUE!</v>
      </c>
      <c r="N38" s="18" t="s">
        <v>207</v>
      </c>
    </row>
    <row r="39" spans="1:14" x14ac:dyDescent="0.25">
      <c r="E39" s="25">
        <f t="shared" ca="1" si="6"/>
        <v>47223</v>
      </c>
      <c r="F39" s="18" t="e">
        <f ca="1">_xll.BDH(J39,"PX_LAST",Swap_Date,Swap_Date)+M39</f>
        <v>#VALUE!</v>
      </c>
      <c r="J39" s="18" t="s">
        <v>26</v>
      </c>
      <c r="M39" s="18" t="e">
        <f ca="1">_xll.BDP(N39,"PX_LAST")/100</f>
        <v>#VALUE!</v>
      </c>
      <c r="N39" s="18" t="s">
        <v>208</v>
      </c>
    </row>
    <row r="40" spans="1:14" x14ac:dyDescent="0.25">
      <c r="E40" s="25">
        <f t="shared" ca="1" si="6"/>
        <v>47588</v>
      </c>
      <c r="F40" s="18" t="e">
        <f ca="1">_xll.BDH(J40,"PX_LAST",Swap_Date,Swap_Date)+M40</f>
        <v>#VALUE!</v>
      </c>
      <c r="J40" s="18" t="s">
        <v>76</v>
      </c>
      <c r="M40" s="18" t="e">
        <f ca="1">_xll.BDP(N40,"PX_LAST")/100</f>
        <v>#VALUE!</v>
      </c>
      <c r="N40" s="18" t="s">
        <v>209</v>
      </c>
    </row>
    <row r="41" spans="1:14" x14ac:dyDescent="0.25">
      <c r="E41" s="25">
        <f t="shared" ca="1" si="6"/>
        <v>47953</v>
      </c>
      <c r="F41" s="18" t="e">
        <f ca="1">_xll.BDH(J41,"PX_LAST",Swap_Date,Swap_Date)+M41</f>
        <v>#VALUE!</v>
      </c>
      <c r="J41" s="18" t="s">
        <v>77</v>
      </c>
      <c r="M41" s="18" t="e">
        <f ca="1">_xll.BDP(N41,"PX_LAST")/100</f>
        <v>#VALUE!</v>
      </c>
      <c r="N41" s="18" t="s">
        <v>210</v>
      </c>
    </row>
    <row r="42" spans="1:14" x14ac:dyDescent="0.25">
      <c r="E42" s="25">
        <f t="shared" ca="1" si="6"/>
        <v>48319</v>
      </c>
      <c r="F42" s="18" t="e">
        <f ca="1">_xll.BDH(J42,"PX_LAST",Swap_Date,Swap_Date)+M42</f>
        <v>#VALUE!</v>
      </c>
      <c r="J42" s="18" t="s">
        <v>78</v>
      </c>
      <c r="M42" s="30" t="e">
        <f ca="1">(M44-M41)/3+M41</f>
        <v>#VALUE!</v>
      </c>
      <c r="N42" s="18" t="s">
        <v>211</v>
      </c>
    </row>
    <row r="43" spans="1:14" x14ac:dyDescent="0.25">
      <c r="E43" s="25">
        <f t="shared" ca="1" si="6"/>
        <v>48684</v>
      </c>
      <c r="F43" s="18" t="e">
        <f ca="1">_xll.BDH(J43,"PX_LAST",Swap_Date,Swap_Date)+M43</f>
        <v>#VALUE!</v>
      </c>
      <c r="J43" s="18" t="s">
        <v>79</v>
      </c>
      <c r="M43" s="30" t="e">
        <f ca="1">(M44-M41)/3*2+M41</f>
        <v>#VALUE!</v>
      </c>
      <c r="N43" s="18" t="s">
        <v>212</v>
      </c>
    </row>
    <row r="44" spans="1:14" x14ac:dyDescent="0.25">
      <c r="E44" s="25">
        <f t="shared" ca="1" si="6"/>
        <v>49049</v>
      </c>
      <c r="F44" s="18" t="e">
        <f ca="1">_xll.BDH(J44,"PX_LAST",Swap_Date,Swap_Date)+M44</f>
        <v>#VALUE!</v>
      </c>
      <c r="J44" s="18" t="s">
        <v>80</v>
      </c>
      <c r="M44" s="18" t="e">
        <f ca="1">_xll.BDP(N44,"PX_LAST")/100</f>
        <v>#VALUE!</v>
      </c>
      <c r="N44" s="18" t="s">
        <v>213</v>
      </c>
    </row>
    <row r="45" spans="1:14" x14ac:dyDescent="0.25">
      <c r="E45" s="25">
        <f t="shared" ca="1" si="6"/>
        <v>49414</v>
      </c>
      <c r="F45" s="18" t="e">
        <f ca="1">_xll.BDH(J45,"PX_LAST",Swap_Date,Swap_Date)+M45</f>
        <v>#VALUE!</v>
      </c>
      <c r="J45" s="18" t="s">
        <v>81</v>
      </c>
      <c r="M45" s="30" t="e">
        <f ca="1">(M47-M44)/5+M44</f>
        <v>#VALUE!</v>
      </c>
      <c r="N45" s="18" t="s">
        <v>214</v>
      </c>
    </row>
    <row r="46" spans="1:14" x14ac:dyDescent="0.25">
      <c r="E46" s="25">
        <f t="shared" ca="1" si="6"/>
        <v>49780</v>
      </c>
      <c r="F46" s="18" t="e">
        <f ca="1">_xll.BDH(J46,"PX_LAST",Swap_Date,Swap_Date)+M46</f>
        <v>#VALUE!</v>
      </c>
      <c r="J46" s="18" t="s">
        <v>82</v>
      </c>
      <c r="M46" s="30" t="e">
        <f ca="1">(M47-M44)/5*2+M44</f>
        <v>#VALUE!</v>
      </c>
      <c r="N46" s="18" t="s">
        <v>215</v>
      </c>
    </row>
    <row r="47" spans="1:14" x14ac:dyDescent="0.25">
      <c r="E47" s="25">
        <f ca="1">EDATE(E46,36)</f>
        <v>50875</v>
      </c>
      <c r="F47" s="18" t="e">
        <f ca="1">_xll.BDH(J47,"PX_LAST",Swap_Date,Swap_Date)+M47</f>
        <v>#VALUE!</v>
      </c>
      <c r="J47" s="18" t="s">
        <v>83</v>
      </c>
      <c r="M47" s="18" t="e">
        <f ca="1">_xll.BDP(N47,"PX_LAST")/100</f>
        <v>#VALUE!</v>
      </c>
      <c r="N47" s="18" t="s">
        <v>216</v>
      </c>
    </row>
    <row r="48" spans="1:14" x14ac:dyDescent="0.25">
      <c r="E48" s="25">
        <f ca="1">EDATE(E47,60)</f>
        <v>52702</v>
      </c>
      <c r="F48" s="18" t="e">
        <f ca="1">_xll.BDH(J48,"PX_LAST",Swap_Date,Swap_Date)+M48</f>
        <v>#VALUE!</v>
      </c>
      <c r="J48" s="18" t="s">
        <v>84</v>
      </c>
      <c r="M48" s="18" t="e">
        <f ca="1">_xll.BDP(N48,"PX_LAST")/100</f>
        <v>#VALUE!</v>
      </c>
      <c r="N48" s="18" t="s">
        <v>217</v>
      </c>
    </row>
    <row r="49" spans="1:17" x14ac:dyDescent="0.25">
      <c r="E49" s="25">
        <f ca="1">EDATE(E48,60)</f>
        <v>54528</v>
      </c>
      <c r="F49" s="18" t="e">
        <f ca="1">_xll.BDH(J49,"PX_LAST",Swap_Date,Swap_Date)+M49</f>
        <v>#VALUE!</v>
      </c>
      <c r="J49" s="18" t="s">
        <v>85</v>
      </c>
      <c r="M49" s="18" t="e">
        <f ca="1">_xll.BDP(N49,"PX_LAST")/100</f>
        <v>#VALUE!</v>
      </c>
      <c r="N49" s="18" t="s">
        <v>218</v>
      </c>
    </row>
    <row r="50" spans="1:17" x14ac:dyDescent="0.25">
      <c r="E50" s="25">
        <f ca="1">EDATE(E49,120)</f>
        <v>58180</v>
      </c>
      <c r="F50" s="18" t="e">
        <f ca="1">_xll.BDH(J50,"PX_LAST",Swap_Date,Swap_Date)+M50</f>
        <v>#VALUE!</v>
      </c>
      <c r="J50" s="18" t="s">
        <v>86</v>
      </c>
      <c r="M50" s="18" t="e">
        <f ca="1">_xll.BDP(N50,"PX_LAST")/100</f>
        <v>#VALUE!</v>
      </c>
      <c r="N50" s="18" t="s">
        <v>219</v>
      </c>
    </row>
    <row r="51" spans="1:17" x14ac:dyDescent="0.25">
      <c r="E51" s="25">
        <f ca="1">EDATE(E50,12)</f>
        <v>58546</v>
      </c>
      <c r="F51" s="18" t="e">
        <f ca="1">F50</f>
        <v>#VALUE!</v>
      </c>
    </row>
    <row r="54" spans="1:17" x14ac:dyDescent="0.25">
      <c r="A54" s="18" t="s">
        <v>19</v>
      </c>
      <c r="B54" s="18">
        <v>7</v>
      </c>
      <c r="D54" s="18">
        <v>7</v>
      </c>
      <c r="F54" s="18">
        <v>100</v>
      </c>
    </row>
    <row r="55" spans="1:17" x14ac:dyDescent="0.25">
      <c r="A55" s="18" t="s">
        <v>28</v>
      </c>
      <c r="B55" s="18" t="s">
        <v>29</v>
      </c>
      <c r="C55" s="18" t="s">
        <v>30</v>
      </c>
      <c r="D55" s="18" t="s">
        <v>31</v>
      </c>
      <c r="E55" s="18" t="s">
        <v>32</v>
      </c>
      <c r="F55" s="18" t="s">
        <v>33</v>
      </c>
      <c r="I55" t="s">
        <v>652</v>
      </c>
      <c r="M55" s="29" t="s">
        <v>199</v>
      </c>
      <c r="N55" s="29" t="s">
        <v>34</v>
      </c>
    </row>
    <row r="56" spans="1:17" ht="15.6" customHeight="1" x14ac:dyDescent="0.25">
      <c r="A56" s="25">
        <f ca="1">WORKDAY(Swap_Date,1)</f>
        <v>43571</v>
      </c>
      <c r="B56" s="18" t="e">
        <f ca="1">_xll.BDH(H56,"PX_LAST",Cash_Date,Cash_Date)+$P$56</f>
        <v>#VALUE!</v>
      </c>
      <c r="C56" s="25">
        <f ca="1">nextimm(Swap_Date)</f>
        <v>43635</v>
      </c>
      <c r="D56" s="18" t="e">
        <f ca="1">100-IF(ISNUMBER(_xll.BDH(I56,"PX_LAST",Future_Date,Future_Date)),_xll.BDH(I56,"PX_LAST",Future_Date,Future_Date)+$P$56,100-B59)</f>
        <v>#VALUE!</v>
      </c>
      <c r="E56" s="25">
        <f ca="1">EDATE(Swap_Date,24)</f>
        <v>44301</v>
      </c>
      <c r="F56" s="18" t="e">
        <f ca="1">_xll.BDH(J56,"PX_LAST",Swap_Date,Swap_Date)+M56</f>
        <v>#VALUE!</v>
      </c>
      <c r="H56" s="18" t="s">
        <v>0</v>
      </c>
      <c r="I56" t="str">
        <f ca="1">$I$55&amp;$L6&amp;" "&amp;$I$4</f>
        <v>YEM9 Comdty</v>
      </c>
      <c r="J56" s="18" t="s">
        <v>87</v>
      </c>
      <c r="M56" s="18" t="e">
        <f ca="1">_xll.BDP(N56,"PX_LAST")/100</f>
        <v>#VALUE!</v>
      </c>
      <c r="N56" s="18" t="s">
        <v>220</v>
      </c>
      <c r="P56" s="18" t="e">
        <f ca="1">_xll.BDP(Q56,"PX_LAST")/100</f>
        <v>#VALUE!</v>
      </c>
      <c r="Q56" s="18" t="s">
        <v>294</v>
      </c>
    </row>
    <row r="57" spans="1:17" ht="15.6" customHeight="1" x14ac:dyDescent="0.25">
      <c r="A57" s="25">
        <f ca="1">EDATE(Swap_Date,1)</f>
        <v>43600</v>
      </c>
      <c r="B57" s="18" t="e">
        <f ca="1">_xll.BDH(H57,"PX_LAST",Cash_Date,Cash_Date)+$P$56</f>
        <v>#VALUE!</v>
      </c>
      <c r="C57" s="25">
        <f ca="1">nextimm(C56+1)</f>
        <v>43726</v>
      </c>
      <c r="D57" s="18" t="e">
        <f ca="1">IFERROR(100-_xll.BDH(I57,"PX_LAST",Future_Date,Future_Date)+$M$56,0.5*(D56+D58))</f>
        <v>#VALUE!</v>
      </c>
      <c r="E57" s="25">
        <f ca="1">EDATE(E56,12)</f>
        <v>44666</v>
      </c>
      <c r="F57" s="18" t="e">
        <f ca="1">_xll.BDH(J57,"PX_LAST",Swap_Date,Swap_Date)+M57</f>
        <v>#VALUE!</v>
      </c>
      <c r="H57" s="18" t="s">
        <v>1</v>
      </c>
      <c r="I57" t="str">
        <f t="shared" ref="I57:I63" ca="1" si="7">$I$55&amp;$L7&amp;" "&amp;$I$4</f>
        <v>YEU9 Comdty</v>
      </c>
      <c r="J57" s="18" t="s">
        <v>88</v>
      </c>
      <c r="M57" s="18" t="e">
        <f ca="1">_xll.BDP(N57,"PX_LAST")/100</f>
        <v>#VALUE!</v>
      </c>
      <c r="N57" s="18" t="s">
        <v>221</v>
      </c>
    </row>
    <row r="58" spans="1:17" ht="15.6" customHeight="1" x14ac:dyDescent="0.25">
      <c r="A58" s="25">
        <f ca="1">EDATE(Swap_Date,2)</f>
        <v>43631</v>
      </c>
      <c r="B58" s="18" t="e">
        <f ca="1">_xll.BDH(H58,"PX_LAST",Cash_Date,Cash_Date)+$P$56</f>
        <v>#VALUE!</v>
      </c>
      <c r="C58" s="25">
        <f t="shared" ref="C58:C63" ca="1" si="8">nextimm(C57+1)</f>
        <v>43817</v>
      </c>
      <c r="D58" s="18" t="e">
        <f ca="1">100-_xll.BDH(I58,"PX_LAST",Future_Date,Future_Date)+$M$56</f>
        <v>#VALUE!</v>
      </c>
      <c r="E58" s="25">
        <f t="shared" ref="E58:E71" ca="1" si="9">EDATE(E57,12)</f>
        <v>45031</v>
      </c>
      <c r="F58" s="18" t="e">
        <f ca="1">_xll.BDH(J58,"PX_LAST",Swap_Date,Swap_Date)+M58</f>
        <v>#VALUE!</v>
      </c>
      <c r="H58" s="18" t="s">
        <v>2</v>
      </c>
      <c r="I58" t="str">
        <f t="shared" ca="1" si="7"/>
        <v>YEZ9 Comdty</v>
      </c>
      <c r="J58" s="18" t="s">
        <v>89</v>
      </c>
      <c r="M58" s="18" t="e">
        <f ca="1">_xll.BDP(N58,"PX_LAST")/100</f>
        <v>#VALUE!</v>
      </c>
      <c r="N58" s="18" t="s">
        <v>222</v>
      </c>
    </row>
    <row r="59" spans="1:17" x14ac:dyDescent="0.25">
      <c r="A59" s="25">
        <f ca="1">EDATE(Swap_Date,3)</f>
        <v>43661</v>
      </c>
      <c r="B59" s="18" t="e">
        <f ca="1">_xll.BDH(H59,"PX_LAST",Cash_Date,Cash_Date)+$P$56</f>
        <v>#VALUE!</v>
      </c>
      <c r="C59" s="25">
        <f t="shared" ca="1" si="8"/>
        <v>43908</v>
      </c>
      <c r="D59" s="18" t="e">
        <f ca="1">100-_xll.BDH(I59,"PX_LAST",Future_Date,Future_Date)+$M$56</f>
        <v>#VALUE!</v>
      </c>
      <c r="E59" s="25">
        <f t="shared" ca="1" si="9"/>
        <v>45397</v>
      </c>
      <c r="F59" s="18" t="e">
        <f ca="1">_xll.BDH(J59,"PX_LAST",Swap_Date,Swap_Date)+M59</f>
        <v>#VALUE!</v>
      </c>
      <c r="H59" s="18" t="s">
        <v>3</v>
      </c>
      <c r="I59" t="str">
        <f t="shared" ca="1" si="7"/>
        <v>YEH0 Comdty</v>
      </c>
      <c r="J59" s="18" t="s">
        <v>90</v>
      </c>
      <c r="M59" s="18" t="e">
        <f ca="1">_xll.BDP(N59,"PX_LAST")/100</f>
        <v>#VALUE!</v>
      </c>
      <c r="N59" s="18" t="s">
        <v>223</v>
      </c>
    </row>
    <row r="60" spans="1:17" x14ac:dyDescent="0.25">
      <c r="A60" s="25">
        <f ca="1">EDATE(Swap_Date,6)</f>
        <v>43753</v>
      </c>
      <c r="B60" s="18" t="e">
        <f ca="1">_xll.BDH(H60,"PX_LAST",Cash_Date,Cash_Date)+$P$56</f>
        <v>#VALUE!</v>
      </c>
      <c r="C60" s="25">
        <f t="shared" ca="1" si="8"/>
        <v>43999</v>
      </c>
      <c r="D60" s="18" t="e">
        <f ca="1">100-_xll.BDH(I60,"PX_LAST",Future_Date,Future_Date)+$M$56</f>
        <v>#VALUE!</v>
      </c>
      <c r="E60" s="25">
        <f t="shared" ca="1" si="9"/>
        <v>45762</v>
      </c>
      <c r="F60" s="18" t="e">
        <f ca="1">_xll.BDH(J60,"PX_LAST",Swap_Date,Swap_Date)+M60</f>
        <v>#VALUE!</v>
      </c>
      <c r="H60" s="18" t="s">
        <v>4</v>
      </c>
      <c r="I60" t="str">
        <f t="shared" ca="1" si="7"/>
        <v>YEM0 Comdty</v>
      </c>
      <c r="J60" s="18" t="s">
        <v>91</v>
      </c>
      <c r="M60" s="18" t="e">
        <f ca="1">_xll.BDP(N60,"PX_LAST")/100</f>
        <v>#VALUE!</v>
      </c>
      <c r="N60" s="18" t="s">
        <v>224</v>
      </c>
    </row>
    <row r="61" spans="1:17" x14ac:dyDescent="0.25">
      <c r="A61" s="25">
        <f ca="1">EDATE(Swap_Date,12)</f>
        <v>43936</v>
      </c>
      <c r="B61" s="18" t="e">
        <f ca="1">_xll.BDH(H61,"PX_LAST",Cash_Date,Cash_Date)+$P$56</f>
        <v>#VALUE!</v>
      </c>
      <c r="C61" s="25">
        <f t="shared" ca="1" si="8"/>
        <v>44090</v>
      </c>
      <c r="D61" s="18" t="e">
        <f ca="1">100-_xll.BDH(I61,"PX_LAST",Future_Date,Future_Date)+$M$56</f>
        <v>#VALUE!</v>
      </c>
      <c r="E61" s="25">
        <f t="shared" ca="1" si="9"/>
        <v>46127</v>
      </c>
      <c r="F61" s="18" t="e">
        <f ca="1">_xll.BDH(J61,"PX_LAST",Swap_Date,Swap_Date)+M61</f>
        <v>#VALUE!</v>
      </c>
      <c r="H61" s="18" t="s">
        <v>5</v>
      </c>
      <c r="I61" t="str">
        <f t="shared" ca="1" si="7"/>
        <v>YEU0 Comdty</v>
      </c>
      <c r="J61" s="18" t="s">
        <v>92</v>
      </c>
      <c r="M61" s="18" t="e">
        <f ca="1">_xll.BDP(N61,"PX_LAST")/100</f>
        <v>#VALUE!</v>
      </c>
      <c r="N61" s="18" t="s">
        <v>225</v>
      </c>
    </row>
    <row r="62" spans="1:17" x14ac:dyDescent="0.25">
      <c r="A62" s="27">
        <f ca="1">EDATE(A61,10)</f>
        <v>44242</v>
      </c>
      <c r="B62" s="18" t="e">
        <f ca="1">B61</f>
        <v>#VALUE!</v>
      </c>
      <c r="C62" s="25">
        <f t="shared" ca="1" si="8"/>
        <v>44181</v>
      </c>
      <c r="D62" s="18" t="e">
        <f ca="1">100-_xll.BDH(I62,"PX_LAST",Future_Date,Future_Date)+$M$56</f>
        <v>#VALUE!</v>
      </c>
      <c r="E62" s="25">
        <f t="shared" ca="1" si="9"/>
        <v>46492</v>
      </c>
      <c r="F62" s="18" t="e">
        <f ca="1">_xll.BDH(J62,"PX_LAST",Swap_Date,Swap_Date)+M62</f>
        <v>#VALUE!</v>
      </c>
      <c r="I62" t="str">
        <f t="shared" ca="1" si="7"/>
        <v>YEZ0 Comdty</v>
      </c>
      <c r="J62" s="18" t="s">
        <v>93</v>
      </c>
      <c r="M62" s="18" t="e">
        <f ca="1">_xll.BDP(N62,"PX_LAST")/100</f>
        <v>#VALUE!</v>
      </c>
      <c r="N62" s="18" t="s">
        <v>226</v>
      </c>
    </row>
    <row r="63" spans="1:17" x14ac:dyDescent="0.25">
      <c r="C63" s="25">
        <f t="shared" ca="1" si="8"/>
        <v>44272</v>
      </c>
      <c r="D63" s="18" t="e">
        <f ca="1">100-_xll.BDH(I63,"PX_LAST",Future_Date,Future_Date)+$M$56</f>
        <v>#VALUE!</v>
      </c>
      <c r="E63" s="25">
        <f t="shared" ca="1" si="9"/>
        <v>46858</v>
      </c>
      <c r="F63" s="18" t="e">
        <f ca="1">_xll.BDH(J63,"PX_LAST",Swap_Date,Swap_Date)+M63</f>
        <v>#VALUE!</v>
      </c>
      <c r="I63" t="str">
        <f t="shared" ca="1" si="7"/>
        <v>YEH1 Comdty</v>
      </c>
      <c r="J63" s="18" t="s">
        <v>94</v>
      </c>
      <c r="M63" s="18" t="e">
        <f ca="1">_xll.BDP(N63,"PX_LAST")/100</f>
        <v>#VALUE!</v>
      </c>
      <c r="N63" s="18" t="s">
        <v>227</v>
      </c>
    </row>
    <row r="64" spans="1:17" x14ac:dyDescent="0.25">
      <c r="E64" s="25">
        <f t="shared" ca="1" si="9"/>
        <v>47223</v>
      </c>
      <c r="F64" s="18" t="e">
        <f ca="1">_xll.BDH(J64,"PX_LAST",Swap_Date,Swap_Date)+M64</f>
        <v>#VALUE!</v>
      </c>
      <c r="J64" s="18" t="s">
        <v>95</v>
      </c>
      <c r="M64" s="18" t="e">
        <f ca="1">_xll.BDP(N64,"PX_LAST")/100</f>
        <v>#VALUE!</v>
      </c>
      <c r="N64" s="18" t="s">
        <v>228</v>
      </c>
    </row>
    <row r="65" spans="1:14" x14ac:dyDescent="0.25">
      <c r="E65" s="25">
        <f t="shared" ca="1" si="9"/>
        <v>47588</v>
      </c>
      <c r="F65" s="18" t="e">
        <f ca="1">_xll.BDH(J65,"PX_LAST",Swap_Date,Swap_Date)+M65</f>
        <v>#VALUE!</v>
      </c>
      <c r="J65" s="18" t="s">
        <v>96</v>
      </c>
      <c r="M65" s="18" t="e">
        <f ca="1">_xll.BDP(N65,"PX_LAST")/100</f>
        <v>#VALUE!</v>
      </c>
      <c r="N65" s="18" t="s">
        <v>229</v>
      </c>
    </row>
    <row r="66" spans="1:14" x14ac:dyDescent="0.25">
      <c r="E66" s="25">
        <f t="shared" ca="1" si="9"/>
        <v>47953</v>
      </c>
      <c r="F66" s="18" t="e">
        <f ca="1">_xll.BDH(J66,"PX_LAST",Swap_Date,Swap_Date)+M66</f>
        <v>#VALUE!</v>
      </c>
      <c r="J66" s="18" t="s">
        <v>97</v>
      </c>
      <c r="M66" s="18" t="e">
        <f ca="1">_xll.BDP(N66,"PX_LAST")/100</f>
        <v>#VALUE!</v>
      </c>
      <c r="N66" s="18" t="s">
        <v>230</v>
      </c>
    </row>
    <row r="67" spans="1:14" x14ac:dyDescent="0.25">
      <c r="E67" s="25">
        <f t="shared" ca="1" si="9"/>
        <v>48319</v>
      </c>
      <c r="F67" s="18" t="e">
        <f ca="1">_xll.BDH(J67,"PX_LAST",Swap_Date,Swap_Date)+M67</f>
        <v>#VALUE!</v>
      </c>
      <c r="J67" s="18" t="s">
        <v>98</v>
      </c>
      <c r="M67" s="30" t="e">
        <f ca="1">(M69-M66)/3+M66</f>
        <v>#VALUE!</v>
      </c>
      <c r="N67" s="18" t="s">
        <v>231</v>
      </c>
    </row>
    <row r="68" spans="1:14" x14ac:dyDescent="0.25">
      <c r="E68" s="25">
        <f t="shared" ca="1" si="9"/>
        <v>48684</v>
      </c>
      <c r="F68" s="18" t="e">
        <f ca="1">_xll.BDH(J68,"PX_LAST",Swap_Date,Swap_Date)+M68</f>
        <v>#VALUE!</v>
      </c>
      <c r="J68" s="18" t="s">
        <v>99</v>
      </c>
      <c r="M68" s="30" t="e">
        <f ca="1">(M69-M66)/3*2+M66</f>
        <v>#VALUE!</v>
      </c>
      <c r="N68" s="18" t="s">
        <v>232</v>
      </c>
    </row>
    <row r="69" spans="1:14" x14ac:dyDescent="0.25">
      <c r="E69" s="25">
        <f t="shared" ca="1" si="9"/>
        <v>49049</v>
      </c>
      <c r="F69" s="18" t="e">
        <f ca="1">_xll.BDH(J69,"PX_LAST",Swap_Date,Swap_Date)+M69</f>
        <v>#VALUE!</v>
      </c>
      <c r="J69" s="18" t="s">
        <v>100</v>
      </c>
      <c r="M69" s="18" t="e">
        <f ca="1">_xll.BDP(N69,"PX_LAST")/100</f>
        <v>#VALUE!</v>
      </c>
      <c r="N69" s="18" t="s">
        <v>233</v>
      </c>
    </row>
    <row r="70" spans="1:14" x14ac:dyDescent="0.25">
      <c r="E70" s="25">
        <f t="shared" ca="1" si="9"/>
        <v>49414</v>
      </c>
      <c r="F70" s="18" t="e">
        <f ca="1">_xll.BDH(J70,"PX_LAST",Swap_Date,Swap_Date)+M70</f>
        <v>#VALUE!</v>
      </c>
      <c r="J70" s="18" t="s">
        <v>101</v>
      </c>
      <c r="M70" s="30" t="e">
        <f ca="1">(M72-M69)/5+M69</f>
        <v>#VALUE!</v>
      </c>
      <c r="N70" s="18" t="s">
        <v>234</v>
      </c>
    </row>
    <row r="71" spans="1:14" x14ac:dyDescent="0.25">
      <c r="E71" s="25">
        <f t="shared" ca="1" si="9"/>
        <v>49780</v>
      </c>
      <c r="F71" s="18" t="e">
        <f ca="1">_xll.BDH(J71,"PX_LAST",Swap_Date,Swap_Date)+M71</f>
        <v>#VALUE!</v>
      </c>
      <c r="J71" s="18" t="s">
        <v>102</v>
      </c>
      <c r="M71" s="30" t="e">
        <f ca="1">(M72-M69)/5*2+M69</f>
        <v>#VALUE!</v>
      </c>
      <c r="N71" s="18" t="s">
        <v>235</v>
      </c>
    </row>
    <row r="72" spans="1:14" x14ac:dyDescent="0.25">
      <c r="E72" s="25">
        <f ca="1">EDATE(E71,36)</f>
        <v>50875</v>
      </c>
      <c r="F72" s="18" t="e">
        <f ca="1">_xll.BDH(J72,"PX_LAST",Swap_Date,Swap_Date)+M72</f>
        <v>#VALUE!</v>
      </c>
      <c r="J72" s="18" t="s">
        <v>103</v>
      </c>
      <c r="M72" s="18" t="e">
        <f ca="1">_xll.BDP(N72,"PX_LAST")/100</f>
        <v>#VALUE!</v>
      </c>
      <c r="N72" s="18" t="s">
        <v>236</v>
      </c>
    </row>
    <row r="73" spans="1:14" x14ac:dyDescent="0.25">
      <c r="E73" s="25">
        <f ca="1">EDATE(E72,60)</f>
        <v>52702</v>
      </c>
      <c r="F73" s="18" t="e">
        <f ca="1">_xll.BDH(J73,"PX_LAST",Swap_Date,Swap_Date)+M73</f>
        <v>#VALUE!</v>
      </c>
      <c r="J73" s="18" t="s">
        <v>104</v>
      </c>
      <c r="M73" s="18" t="e">
        <f ca="1">_xll.BDP(N73,"PX_LAST")/100</f>
        <v>#VALUE!</v>
      </c>
      <c r="N73" s="18" t="s">
        <v>237</v>
      </c>
    </row>
    <row r="74" spans="1:14" x14ac:dyDescent="0.25">
      <c r="E74" s="25">
        <f ca="1">EDATE(E73,60)</f>
        <v>54528</v>
      </c>
      <c r="F74" s="18" t="e">
        <f ca="1">_xll.BDH(J74,"PX_LAST",Swap_Date,Swap_Date)+M74</f>
        <v>#VALUE!</v>
      </c>
      <c r="J74" s="18" t="s">
        <v>105</v>
      </c>
      <c r="M74" s="18" t="e">
        <f ca="1">_xll.BDP(N74,"PX_LAST")/100</f>
        <v>#VALUE!</v>
      </c>
      <c r="N74" s="18" t="s">
        <v>238</v>
      </c>
    </row>
    <row r="75" spans="1:14" x14ac:dyDescent="0.25">
      <c r="E75" s="25">
        <f ca="1">EDATE(E74,120)</f>
        <v>58180</v>
      </c>
      <c r="F75" s="18" t="e">
        <f ca="1">_xll.BDH(J75,"PX_LAST",Swap_Date,Swap_Date)+M75</f>
        <v>#VALUE!</v>
      </c>
      <c r="J75" s="18" t="s">
        <v>106</v>
      </c>
      <c r="M75" s="18" t="e">
        <f ca="1">_xll.BDP(N75,"PX_LAST")/100</f>
        <v>#VALUE!</v>
      </c>
      <c r="N75" s="18" t="s">
        <v>239</v>
      </c>
    </row>
    <row r="76" spans="1:14" x14ac:dyDescent="0.25">
      <c r="E76" s="25">
        <f ca="1">EDATE(E75,12)</f>
        <v>58546</v>
      </c>
      <c r="F76" s="18" t="e">
        <f ca="1">F75</f>
        <v>#VALUE!</v>
      </c>
    </row>
    <row r="79" spans="1:14" x14ac:dyDescent="0.25">
      <c r="A79" s="18" t="s">
        <v>14</v>
      </c>
      <c r="B79" s="18">
        <v>7</v>
      </c>
      <c r="D79" s="18">
        <v>7</v>
      </c>
      <c r="F79" s="18">
        <v>100</v>
      </c>
    </row>
    <row r="80" spans="1:14" x14ac:dyDescent="0.25">
      <c r="A80" s="18" t="s">
        <v>28</v>
      </c>
      <c r="B80" s="18" t="s">
        <v>29</v>
      </c>
      <c r="C80" s="18" t="s">
        <v>30</v>
      </c>
      <c r="D80" s="18" t="s">
        <v>31</v>
      </c>
      <c r="E80" s="18" t="s">
        <v>32</v>
      </c>
      <c r="F80" s="18" t="s">
        <v>33</v>
      </c>
      <c r="I80" t="s">
        <v>653</v>
      </c>
      <c r="M80" s="29" t="s">
        <v>199</v>
      </c>
      <c r="N80" s="29" t="s">
        <v>34</v>
      </c>
    </row>
    <row r="81" spans="1:17" x14ac:dyDescent="0.25">
      <c r="A81" s="25">
        <f ca="1">WORKDAY(Swap_Date,1)</f>
        <v>43571</v>
      </c>
      <c r="B81" s="18" t="e">
        <f ca="1">_xll.BDH(H81,"PX_LAST",Cash_Date,Cash_Date)+$P$81</f>
        <v>#VALUE!</v>
      </c>
      <c r="C81" s="25">
        <f ca="1">nextimm(Swap_Date)</f>
        <v>43635</v>
      </c>
      <c r="D81" s="18" t="e">
        <f ca="1">100-IF(ISNUMBER(_xll.BDH(I81,"PX_LAST",Future_Date,Future_Date)),_xll.BDH(I81,"PX_LAST",Future_Date,Future_Date)+$P$81,100-B84)</f>
        <v>#VALUE!</v>
      </c>
      <c r="E81" s="25">
        <f ca="1">EDATE(Swap_Date,24)</f>
        <v>44301</v>
      </c>
      <c r="F81" s="18" t="e">
        <f ca="1">_xll.BDH(J81,"PX_LAST",Swap_Date,Swap_Date)+M81</f>
        <v>#VALUE!</v>
      </c>
      <c r="H81" s="18" t="s">
        <v>110</v>
      </c>
      <c r="I81" t="str">
        <f ca="1">$I$80&amp;$L$6&amp;" "&amp;$I$4</f>
        <v>L M9 Comdty</v>
      </c>
      <c r="J81" s="18" t="s">
        <v>116</v>
      </c>
      <c r="M81" s="18" t="e">
        <f ca="1">_xll.BDP(N81,"PX_LAST")/100</f>
        <v>#VALUE!</v>
      </c>
      <c r="N81" s="18" t="s">
        <v>259</v>
      </c>
      <c r="P81" s="18" t="e">
        <f ca="1">_xll.BDP(Q81,"PX_LAST")/100</f>
        <v>#VALUE!</v>
      </c>
      <c r="Q81" s="18" t="s">
        <v>297</v>
      </c>
    </row>
    <row r="82" spans="1:17" x14ac:dyDescent="0.25">
      <c r="A82" s="25">
        <f ca="1">EDATE(Swap_Date,1)</f>
        <v>43600</v>
      </c>
      <c r="B82" s="18" t="e">
        <f ca="1">_xll.BDH(H82,"PX_LAST",Cash_Date,Cash_Date)+$P$81</f>
        <v>#VALUE!</v>
      </c>
      <c r="C82" s="25">
        <f ca="1">nextimm(C81+1)</f>
        <v>43726</v>
      </c>
      <c r="D82" s="18" t="e">
        <f ca="1">IFERROR($P$81+100-_xll.BDH(I82,"PX_LAST",Future_Date,Future_Date),0.5*(D81+D83))</f>
        <v>#VALUE!</v>
      </c>
      <c r="E82" s="25">
        <f ca="1">EDATE(E81,12)</f>
        <v>44666</v>
      </c>
      <c r="F82" s="18" t="e">
        <f ca="1">_xll.BDH(J82,"PX_LAST",Swap_Date,Swap_Date)+M82</f>
        <v>#VALUE!</v>
      </c>
      <c r="H82" s="18" t="s">
        <v>111</v>
      </c>
      <c r="I82" t="str">
        <f t="shared" ref="I82:I88" ca="1" si="10">$I$80&amp;$L7&amp;" "&amp;$I$4</f>
        <v>L U9 Comdty</v>
      </c>
      <c r="J82" s="18" t="s">
        <v>117</v>
      </c>
      <c r="M82" s="30" t="e">
        <f ca="1">(M81+M83)/2</f>
        <v>#VALUE!</v>
      </c>
      <c r="N82" s="18" t="s">
        <v>240</v>
      </c>
    </row>
    <row r="83" spans="1:17" x14ac:dyDescent="0.25">
      <c r="A83" s="25">
        <f ca="1">EDATE(Swap_Date,2)</f>
        <v>43631</v>
      </c>
      <c r="B83" s="18" t="e">
        <f ca="1">_xll.BDH(H83,"PX_LAST",Cash_Date,Cash_Date)+$P$81</f>
        <v>#VALUE!</v>
      </c>
      <c r="C83" s="25">
        <f t="shared" ref="C83:C88" ca="1" si="11">nextimm(C82+1)</f>
        <v>43817</v>
      </c>
      <c r="D83" s="18" t="e">
        <f ca="1">$P$81+100-_xll.BDH(I83,"PX_LAST",Future_Date,Future_Date)</f>
        <v>#VALUE!</v>
      </c>
      <c r="E83" s="25">
        <f t="shared" ref="E83:E96" ca="1" si="12">EDATE(E82,12)</f>
        <v>45031</v>
      </c>
      <c r="F83" s="18" t="e">
        <f ca="1">_xll.BDH(J83,"PX_LAST",Swap_Date,Swap_Date)+M83</f>
        <v>#VALUE!</v>
      </c>
      <c r="H83" s="18" t="s">
        <v>112</v>
      </c>
      <c r="I83" t="str">
        <f t="shared" ca="1" si="10"/>
        <v>L Z9 Comdty</v>
      </c>
      <c r="J83" s="18" t="s">
        <v>118</v>
      </c>
      <c r="M83" s="18" t="e">
        <f ca="1">_xll.BDP(N83,"PX_LAST")/100</f>
        <v>#VALUE!</v>
      </c>
      <c r="N83" s="18" t="s">
        <v>241</v>
      </c>
    </row>
    <row r="84" spans="1:17" x14ac:dyDescent="0.25">
      <c r="A84" s="25">
        <f ca="1">EDATE(Swap_Date,3)</f>
        <v>43661</v>
      </c>
      <c r="B84" s="18" t="e">
        <f ca="1">_xll.BDH(H84,"PX_LAST",Cash_Date,Cash_Date)+$P$81</f>
        <v>#VALUE!</v>
      </c>
      <c r="C84" s="25">
        <f t="shared" ca="1" si="11"/>
        <v>43908</v>
      </c>
      <c r="D84" s="18" t="e">
        <f ca="1">$P$81+100-_xll.BDH(I84,"PX_LAST",Future_Date,Future_Date)</f>
        <v>#VALUE!</v>
      </c>
      <c r="E84" s="25">
        <f t="shared" ca="1" si="12"/>
        <v>45397</v>
      </c>
      <c r="F84" s="18" t="e">
        <f ca="1">_xll.BDH(J84,"PX_LAST",Swap_Date,Swap_Date)+M84</f>
        <v>#VALUE!</v>
      </c>
      <c r="H84" s="18" t="s">
        <v>113</v>
      </c>
      <c r="I84" t="str">
        <f t="shared" ca="1" si="10"/>
        <v>L H0 Comdty</v>
      </c>
      <c r="J84" s="18" t="s">
        <v>119</v>
      </c>
      <c r="M84" s="18" t="e">
        <f ca="1">_xll.BDP(N84,"PX_LAST")/100</f>
        <v>#VALUE!</v>
      </c>
      <c r="N84" s="18" t="s">
        <v>242</v>
      </c>
    </row>
    <row r="85" spans="1:17" x14ac:dyDescent="0.25">
      <c r="A85" s="25">
        <f ca="1">EDATE(Swap_Date,6)</f>
        <v>43753</v>
      </c>
      <c r="B85" s="18" t="e">
        <f ca="1">_xll.BDH(H85,"PX_LAST",Cash_Date,Cash_Date)+$P$81</f>
        <v>#VALUE!</v>
      </c>
      <c r="C85" s="25">
        <f t="shared" ca="1" si="11"/>
        <v>43999</v>
      </c>
      <c r="D85" s="18" t="e">
        <f ca="1">$P$81+100-_xll.BDH(I85,"PX_LAST",Future_Date,Future_Date)</f>
        <v>#VALUE!</v>
      </c>
      <c r="E85" s="25">
        <f t="shared" ca="1" si="12"/>
        <v>45762</v>
      </c>
      <c r="F85" s="18" t="e">
        <f ca="1">_xll.BDH(J85,"PX_LAST",Swap_Date,Swap_Date)+M85</f>
        <v>#VALUE!</v>
      </c>
      <c r="H85" s="18" t="s">
        <v>114</v>
      </c>
      <c r="I85" t="str">
        <f t="shared" ca="1" si="10"/>
        <v>L M0 Comdty</v>
      </c>
      <c r="J85" s="18" t="s">
        <v>120</v>
      </c>
      <c r="M85" s="18" t="e">
        <f ca="1">_xll.BDP(N85,"PX_LAST")/100</f>
        <v>#VALUE!</v>
      </c>
      <c r="N85" s="18" t="s">
        <v>243</v>
      </c>
    </row>
    <row r="86" spans="1:17" x14ac:dyDescent="0.25">
      <c r="A86" s="25">
        <f ca="1">EDATE(Swap_Date,12)</f>
        <v>43936</v>
      </c>
      <c r="B86" s="18" t="e">
        <f ca="1">_xll.BDH(H86,"PX_LAST",Cash_Date,Cash_Date)+$P$81</f>
        <v>#VALUE!</v>
      </c>
      <c r="C86" s="25">
        <f t="shared" ca="1" si="11"/>
        <v>44090</v>
      </c>
      <c r="D86" s="18" t="e">
        <f ca="1">$P$81+100-_xll.BDH(I86,"PX_LAST",Future_Date,Future_Date)</f>
        <v>#VALUE!</v>
      </c>
      <c r="E86" s="25">
        <f t="shared" ca="1" si="12"/>
        <v>46127</v>
      </c>
      <c r="F86" s="18" t="e">
        <f ca="1">_xll.BDH(J86,"PX_LAST",Swap_Date,Swap_Date)+M86</f>
        <v>#VALUE!</v>
      </c>
      <c r="H86" s="18" t="s">
        <v>115</v>
      </c>
      <c r="I86" t="str">
        <f t="shared" ca="1" si="10"/>
        <v>L U0 Comdty</v>
      </c>
      <c r="J86" s="18" t="s">
        <v>121</v>
      </c>
      <c r="M86" s="18" t="e">
        <f ca="1">_xll.BDP(N86,"PX_LAST")/100</f>
        <v>#VALUE!</v>
      </c>
      <c r="N86" s="18" t="s">
        <v>244</v>
      </c>
    </row>
    <row r="87" spans="1:17" x14ac:dyDescent="0.25">
      <c r="A87" s="27">
        <f ca="1">EDATE(A86,10)</f>
        <v>44242</v>
      </c>
      <c r="B87" s="18" t="e">
        <f ca="1">B86</f>
        <v>#VALUE!</v>
      </c>
      <c r="C87" s="25">
        <f t="shared" ca="1" si="11"/>
        <v>44181</v>
      </c>
      <c r="D87" s="18" t="e">
        <f ca="1">$P$81+100-_xll.BDH(I87,"PX_LAST",Future_Date,Future_Date)</f>
        <v>#VALUE!</v>
      </c>
      <c r="E87" s="25">
        <f t="shared" ca="1" si="12"/>
        <v>46492</v>
      </c>
      <c r="F87" s="18" t="e">
        <f ca="1">_xll.BDH(J87,"PX_LAST",Swap_Date,Swap_Date)+M87</f>
        <v>#VALUE!</v>
      </c>
      <c r="I87" t="str">
        <f t="shared" ca="1" si="10"/>
        <v>L Z0 Comdty</v>
      </c>
      <c r="J87" s="18" t="s">
        <v>122</v>
      </c>
      <c r="M87" s="18" t="e">
        <f ca="1">_xll.BDP(N87,"PX_LAST")/100</f>
        <v>#VALUE!</v>
      </c>
      <c r="N87" s="18" t="s">
        <v>245</v>
      </c>
    </row>
    <row r="88" spans="1:17" x14ac:dyDescent="0.25">
      <c r="C88" s="25">
        <f t="shared" ca="1" si="11"/>
        <v>44272</v>
      </c>
      <c r="D88" s="18" t="e">
        <f ca="1">$P$81+100-_xll.BDH(I88,"PX_LAST",Future_Date,Future_Date)</f>
        <v>#VALUE!</v>
      </c>
      <c r="E88" s="25">
        <f t="shared" ca="1" si="12"/>
        <v>46858</v>
      </c>
      <c r="F88" s="18" t="e">
        <f ca="1">_xll.BDH(J88,"PX_LAST",Swap_Date,Swap_Date)+M88</f>
        <v>#VALUE!</v>
      </c>
      <c r="I88" t="str">
        <f t="shared" ca="1" si="10"/>
        <v>L H1 Comdty</v>
      </c>
      <c r="J88" s="18" t="s">
        <v>123</v>
      </c>
      <c r="M88" s="18" t="e">
        <f ca="1">_xll.BDP(N88,"PX_LAST")/100</f>
        <v>#VALUE!</v>
      </c>
      <c r="N88" s="18" t="s">
        <v>246</v>
      </c>
    </row>
    <row r="89" spans="1:17" x14ac:dyDescent="0.25">
      <c r="E89" s="25">
        <f t="shared" ca="1" si="12"/>
        <v>47223</v>
      </c>
      <c r="F89" s="18" t="e">
        <f ca="1">_xll.BDH(J89,"PX_LAST",Swap_Date,Swap_Date)+M89</f>
        <v>#VALUE!</v>
      </c>
      <c r="J89" s="18" t="s">
        <v>27</v>
      </c>
      <c r="M89" s="18" t="e">
        <f ca="1">_xll.BDP(N89,"PX_LAST")/100</f>
        <v>#VALUE!</v>
      </c>
      <c r="N89" s="18" t="s">
        <v>247</v>
      </c>
    </row>
    <row r="90" spans="1:17" x14ac:dyDescent="0.25">
      <c r="E90" s="25">
        <f t="shared" ca="1" si="12"/>
        <v>47588</v>
      </c>
      <c r="F90" s="18" t="e">
        <f ca="1">_xll.BDH(J90,"PX_LAST",Swap_Date,Swap_Date)+M90</f>
        <v>#VALUE!</v>
      </c>
      <c r="J90" s="18" t="s">
        <v>124</v>
      </c>
      <c r="M90" s="18" t="e">
        <f ca="1">_xll.BDP(N90,"PX_LAST")/100</f>
        <v>#VALUE!</v>
      </c>
      <c r="N90" s="18" t="s">
        <v>248</v>
      </c>
    </row>
    <row r="91" spans="1:17" x14ac:dyDescent="0.25">
      <c r="E91" s="25">
        <f t="shared" ca="1" si="12"/>
        <v>47953</v>
      </c>
      <c r="F91" s="18" t="e">
        <f ca="1">_xll.BDH(J91,"PX_LAST",Swap_Date,Swap_Date)+M91</f>
        <v>#VALUE!</v>
      </c>
      <c r="J91" s="18" t="s">
        <v>125</v>
      </c>
      <c r="M91" s="18" t="e">
        <f ca="1">_xll.BDP(N91,"PX_LAST")/100</f>
        <v>#VALUE!</v>
      </c>
      <c r="N91" s="18" t="s">
        <v>249</v>
      </c>
    </row>
    <row r="92" spans="1:17" x14ac:dyDescent="0.25">
      <c r="E92" s="25">
        <f t="shared" ca="1" si="12"/>
        <v>48319</v>
      </c>
      <c r="F92" s="18" t="e">
        <f ca="1">_xll.BDH(J92,"PX_LAST",Swap_Date,Swap_Date)+M92</f>
        <v>#VALUE!</v>
      </c>
      <c r="J92" s="18" t="s">
        <v>126</v>
      </c>
      <c r="M92" s="30" t="e">
        <f ca="1">(M94-M91)/3+M91</f>
        <v>#VALUE!</v>
      </c>
      <c r="N92" s="18" t="s">
        <v>250</v>
      </c>
    </row>
    <row r="93" spans="1:17" x14ac:dyDescent="0.25">
      <c r="E93" s="25">
        <f t="shared" ca="1" si="12"/>
        <v>48684</v>
      </c>
      <c r="F93" s="18" t="e">
        <f ca="1">_xll.BDH(J93,"PX_LAST",Swap_Date,Swap_Date)+M93</f>
        <v>#VALUE!</v>
      </c>
      <c r="J93" s="18" t="s">
        <v>127</v>
      </c>
      <c r="M93" s="30" t="e">
        <f ca="1">(M94-M91)/3*2+M91</f>
        <v>#VALUE!</v>
      </c>
      <c r="N93" s="18" t="s">
        <v>251</v>
      </c>
    </row>
    <row r="94" spans="1:17" x14ac:dyDescent="0.25">
      <c r="E94" s="25">
        <f t="shared" ca="1" si="12"/>
        <v>49049</v>
      </c>
      <c r="F94" s="18" t="e">
        <f ca="1">_xll.BDH(J94,"PX_LAST",Swap_Date,Swap_Date)+M94</f>
        <v>#VALUE!</v>
      </c>
      <c r="J94" s="18" t="s">
        <v>128</v>
      </c>
      <c r="M94" s="18" t="e">
        <f ca="1">_xll.BDP(N94,"PX_LAST")/100</f>
        <v>#VALUE!</v>
      </c>
      <c r="N94" s="18" t="s">
        <v>252</v>
      </c>
    </row>
    <row r="95" spans="1:17" x14ac:dyDescent="0.25">
      <c r="E95" s="25">
        <f t="shared" ca="1" si="12"/>
        <v>49414</v>
      </c>
      <c r="F95" s="18" t="e">
        <f ca="1">_xll.BDH(J95,"PX_LAST",Swap_Date,Swap_Date)+M95</f>
        <v>#VALUE!</v>
      </c>
      <c r="J95" s="18" t="s">
        <v>129</v>
      </c>
      <c r="M95" s="30" t="e">
        <f ca="1">(M97-M94)/5+M94</f>
        <v>#VALUE!</v>
      </c>
      <c r="N95" s="18" t="s">
        <v>253</v>
      </c>
    </row>
    <row r="96" spans="1:17" x14ac:dyDescent="0.25">
      <c r="E96" s="25">
        <f t="shared" ca="1" si="12"/>
        <v>49780</v>
      </c>
      <c r="F96" s="18" t="e">
        <f ca="1">_xll.BDH(J96,"PX_LAST",Swap_Date,Swap_Date)+M96</f>
        <v>#VALUE!</v>
      </c>
      <c r="J96" s="18" t="s">
        <v>130</v>
      </c>
      <c r="M96" s="30" t="e">
        <f ca="1">(M97-M94)/5*2+M94</f>
        <v>#VALUE!</v>
      </c>
      <c r="N96" s="18" t="s">
        <v>254</v>
      </c>
    </row>
    <row r="97" spans="1:17" x14ac:dyDescent="0.25">
      <c r="E97" s="25">
        <f ca="1">EDATE(E96,36)</f>
        <v>50875</v>
      </c>
      <c r="F97" s="18" t="e">
        <f ca="1">_xll.BDH(J97,"PX_LAST",Swap_Date,Swap_Date)+M97</f>
        <v>#VALUE!</v>
      </c>
      <c r="J97" s="18" t="s">
        <v>131</v>
      </c>
      <c r="M97" s="18" t="e">
        <f ca="1">_xll.BDP(N97,"PX_LAST")/100</f>
        <v>#VALUE!</v>
      </c>
      <c r="N97" s="18" t="s">
        <v>255</v>
      </c>
    </row>
    <row r="98" spans="1:17" x14ac:dyDescent="0.25">
      <c r="E98" s="25">
        <f ca="1">EDATE(E97,60)</f>
        <v>52702</v>
      </c>
      <c r="F98" s="18" t="e">
        <f ca="1">_xll.BDH(J98,"PX_LAST",Swap_Date,Swap_Date)+M98</f>
        <v>#VALUE!</v>
      </c>
      <c r="J98" s="18" t="s">
        <v>132</v>
      </c>
      <c r="M98" s="18" t="e">
        <f ca="1">_xll.BDP(N98,"PX_LAST")/100</f>
        <v>#VALUE!</v>
      </c>
      <c r="N98" s="18" t="s">
        <v>256</v>
      </c>
    </row>
    <row r="99" spans="1:17" x14ac:dyDescent="0.25">
      <c r="E99" s="25">
        <f ca="1">EDATE(E98,60)</f>
        <v>54528</v>
      </c>
      <c r="F99" s="18" t="e">
        <f ca="1">_xll.BDH(J99,"PX_LAST",Swap_Date,Swap_Date)+M99</f>
        <v>#VALUE!</v>
      </c>
      <c r="J99" s="18" t="s">
        <v>133</v>
      </c>
      <c r="M99" s="30" t="e">
        <f ca="1">(M100-M98)/3+M98</f>
        <v>#VALUE!</v>
      </c>
      <c r="N99" s="18" t="s">
        <v>257</v>
      </c>
    </row>
    <row r="100" spans="1:17" x14ac:dyDescent="0.25">
      <c r="E100" s="25">
        <f ca="1">EDATE(E99,120)</f>
        <v>58180</v>
      </c>
      <c r="F100" s="18" t="e">
        <f ca="1">_xll.BDH(J100,"PX_LAST",Swap_Date,Swap_Date)+M100</f>
        <v>#VALUE!</v>
      </c>
      <c r="J100" s="18" t="s">
        <v>134</v>
      </c>
      <c r="M100" s="18" t="e">
        <f ca="1">_xll.BDP(N100,"PX_LAST")/100</f>
        <v>#VALUE!</v>
      </c>
      <c r="N100" s="18" t="s">
        <v>258</v>
      </c>
    </row>
    <row r="101" spans="1:17" x14ac:dyDescent="0.25">
      <c r="E101" s="25">
        <f ca="1">EDATE(E100,12)</f>
        <v>58546</v>
      </c>
      <c r="F101" s="18" t="e">
        <f ca="1">F100</f>
        <v>#VALUE!</v>
      </c>
    </row>
    <row r="104" spans="1:17" x14ac:dyDescent="0.25">
      <c r="A104" s="18" t="s">
        <v>198</v>
      </c>
      <c r="B104" s="18">
        <v>7</v>
      </c>
      <c r="D104" s="18">
        <v>7</v>
      </c>
      <c r="F104" s="18">
        <v>100</v>
      </c>
    </row>
    <row r="105" spans="1:17" x14ac:dyDescent="0.25">
      <c r="A105" s="18" t="s">
        <v>28</v>
      </c>
      <c r="B105" s="18" t="s">
        <v>29</v>
      </c>
      <c r="C105" s="18" t="s">
        <v>30</v>
      </c>
      <c r="D105" s="18" t="s">
        <v>31</v>
      </c>
      <c r="E105" s="18" t="s">
        <v>32</v>
      </c>
      <c r="F105" s="18" t="s">
        <v>33</v>
      </c>
      <c r="I105" t="s">
        <v>654</v>
      </c>
      <c r="M105" s="29" t="s">
        <v>199</v>
      </c>
      <c r="N105" s="29" t="s">
        <v>34</v>
      </c>
    </row>
    <row r="106" spans="1:17" x14ac:dyDescent="0.25">
      <c r="A106" s="25">
        <f ca="1">WORKDAY(Swap_Date,1)</f>
        <v>43571</v>
      </c>
      <c r="B106" s="18" t="e">
        <f ca="1">_xll.BDH(H106,"PX_LAST",Cash_Date,Cash_Date)+$P$106</f>
        <v>#VALUE!</v>
      </c>
      <c r="C106" s="25">
        <f ca="1">nextimm(Swap_Date)</f>
        <v>43635</v>
      </c>
      <c r="D106" s="18" t="e">
        <f ca="1">100-IF(ISNUMBER(_xll.BDH(I106,"PX_LAST",Future_Date,Future_Date)),_xll.BDH(I106,"PX_LAST",Future_Date,Future_Date)+$P$106,100-B109)</f>
        <v>#VALUE!</v>
      </c>
      <c r="E106" s="25">
        <f ca="1">EDATE(Swap_Date,24)</f>
        <v>44301</v>
      </c>
      <c r="F106" s="18" t="e">
        <f ca="1">_xll.BDH(J106,"PX_LAST",Swap_Date,Swap_Date)+M106</f>
        <v>#VALUE!</v>
      </c>
      <c r="H106" s="18" t="s">
        <v>135</v>
      </c>
      <c r="I106" t="str">
        <f ca="1">$I$105&amp;$L6&amp;" "&amp;$I$4</f>
        <v>ESM9 Comdty</v>
      </c>
      <c r="J106" s="18" t="s">
        <v>141</v>
      </c>
      <c r="M106" s="18" t="e">
        <f ca="1">_xll.BDP(N106,"PX_LAST")/100</f>
        <v>#VALUE!</v>
      </c>
      <c r="N106" s="18" t="s">
        <v>260</v>
      </c>
      <c r="P106" s="18" t="e">
        <f ca="1">_xll.BDP(Q106,"PX_LAST")/100</f>
        <v>#VALUE!</v>
      </c>
      <c r="Q106" s="18" t="s">
        <v>295</v>
      </c>
    </row>
    <row r="107" spans="1:17" x14ac:dyDescent="0.25">
      <c r="A107" s="25">
        <f ca="1">EDATE(Swap_Date,1)</f>
        <v>43600</v>
      </c>
      <c r="B107" s="18" t="e">
        <f ca="1">_xll.BDH(H107,"PX_LAST",Cash_Date,Cash_Date)+$P$106</f>
        <v>#VALUE!</v>
      </c>
      <c r="C107" s="25">
        <f ca="1">nextimm(C106+1)</f>
        <v>43726</v>
      </c>
      <c r="D107" s="18" t="e">
        <f ca="1">IFERROR($P$106+100-_xll.BDH(I107,"PX_LAST",Future_Date,Future_Date),0.5*(D106+D108))</f>
        <v>#VALUE!</v>
      </c>
      <c r="E107" s="25">
        <f ca="1">EDATE(E106,12)</f>
        <v>44666</v>
      </c>
      <c r="F107" s="18" t="e">
        <f ca="1">_xll.BDH(J107,"PX_LAST",Swap_Date,Swap_Date)+M107</f>
        <v>#VALUE!</v>
      </c>
      <c r="H107" s="18" t="s">
        <v>136</v>
      </c>
      <c r="I107" t="str">
        <f t="shared" ref="I107:I113" ca="1" si="13">$I$105&amp;$L7&amp;" "&amp;$I$4</f>
        <v>ESU9 Comdty</v>
      </c>
      <c r="J107" s="18" t="s">
        <v>142</v>
      </c>
      <c r="M107" s="30" t="e">
        <f ca="1">(M106+M108)/2</f>
        <v>#VALUE!</v>
      </c>
      <c r="N107" s="18" t="s">
        <v>261</v>
      </c>
    </row>
    <row r="108" spans="1:17" x14ac:dyDescent="0.25">
      <c r="A108" s="25">
        <f ca="1">EDATE(Swap_Date,2)</f>
        <v>43631</v>
      </c>
      <c r="B108" s="18" t="e">
        <f ca="1">_xll.BDH(H108,"PX_LAST",Cash_Date,Cash_Date)+$P$106</f>
        <v>#VALUE!</v>
      </c>
      <c r="C108" s="25">
        <f t="shared" ref="C108:C113" ca="1" si="14">nextimm(C107+1)</f>
        <v>43817</v>
      </c>
      <c r="D108" s="18" t="e">
        <f ca="1">$P$106+100-_xll.BDH(I108,"PX_LAST",Future_Date,Future_Date)</f>
        <v>#VALUE!</v>
      </c>
      <c r="E108" s="25">
        <f t="shared" ref="E108:E119" ca="1" si="15">EDATE(E107,12)</f>
        <v>45031</v>
      </c>
      <c r="F108" s="18" t="e">
        <f ca="1">_xll.BDH(J108,"PX_LAST",Swap_Date,Swap_Date)+M108</f>
        <v>#VALUE!</v>
      </c>
      <c r="H108" s="18" t="s">
        <v>137</v>
      </c>
      <c r="I108" t="str">
        <f t="shared" ca="1" si="13"/>
        <v>ESZ9 Comdty</v>
      </c>
      <c r="J108" s="18" t="s">
        <v>143</v>
      </c>
      <c r="M108" s="18" t="e">
        <f ca="1">_xll.BDP(N108,"PX_LAST")/100</f>
        <v>#VALUE!</v>
      </c>
      <c r="N108" s="18" t="s">
        <v>262</v>
      </c>
    </row>
    <row r="109" spans="1:17" x14ac:dyDescent="0.25">
      <c r="A109" s="25">
        <f ca="1">EDATE(Swap_Date,3)</f>
        <v>43661</v>
      </c>
      <c r="B109" s="18" t="e">
        <f ca="1">_xll.BDH(H109,"PX_LAST",Cash_Date,Cash_Date)+$P$106</f>
        <v>#VALUE!</v>
      </c>
      <c r="C109" s="25">
        <f t="shared" ca="1" si="14"/>
        <v>43908</v>
      </c>
      <c r="D109" s="18" t="e">
        <f ca="1">$P$106+100-_xll.BDH(I109,"PX_LAST",Future_Date,Future_Date)</f>
        <v>#VALUE!</v>
      </c>
      <c r="E109" s="25">
        <f t="shared" ca="1" si="15"/>
        <v>45397</v>
      </c>
      <c r="F109" s="18" t="e">
        <f ca="1">_xll.BDH(J109,"PX_LAST",Swap_Date,Swap_Date)+M109</f>
        <v>#VALUE!</v>
      </c>
      <c r="H109" s="18" t="s">
        <v>138</v>
      </c>
      <c r="I109" t="str">
        <f t="shared" ca="1" si="13"/>
        <v>ESH0 Comdty</v>
      </c>
      <c r="J109" s="18" t="s">
        <v>144</v>
      </c>
      <c r="M109" s="18" t="e">
        <f ca="1">_xll.BDP(N109,"PX_LAST")/100</f>
        <v>#VALUE!</v>
      </c>
      <c r="N109" s="18" t="s">
        <v>263</v>
      </c>
    </row>
    <row r="110" spans="1:17" x14ac:dyDescent="0.25">
      <c r="A110" s="25">
        <f ca="1">EDATE(Swap_Date,6)</f>
        <v>43753</v>
      </c>
      <c r="B110" s="18" t="e">
        <f ca="1">_xll.BDH(H110,"PX_LAST",Cash_Date,Cash_Date)+$P$106</f>
        <v>#VALUE!</v>
      </c>
      <c r="C110" s="25">
        <f t="shared" ca="1" si="14"/>
        <v>43999</v>
      </c>
      <c r="D110" s="18" t="e">
        <f ca="1">$P$106+100-_xll.BDH(I110,"PX_LAST",Future_Date,Future_Date)</f>
        <v>#VALUE!</v>
      </c>
      <c r="E110" s="25">
        <f t="shared" ca="1" si="15"/>
        <v>45762</v>
      </c>
      <c r="F110" s="18" t="e">
        <f ca="1">_xll.BDH(J110,"PX_LAST",Swap_Date,Swap_Date)+M110</f>
        <v>#VALUE!</v>
      </c>
      <c r="H110" s="18" t="s">
        <v>139</v>
      </c>
      <c r="I110" t="str">
        <f t="shared" ca="1" si="13"/>
        <v>ESM0 Comdty</v>
      </c>
      <c r="J110" s="18" t="s">
        <v>145</v>
      </c>
      <c r="M110" s="18" t="e">
        <f ca="1">_xll.BDP(N110,"PX_LAST")/100</f>
        <v>#VALUE!</v>
      </c>
      <c r="N110" s="18" t="s">
        <v>264</v>
      </c>
    </row>
    <row r="111" spans="1:17" x14ac:dyDescent="0.25">
      <c r="A111" s="25">
        <f ca="1">EDATE(Swap_Date,12)</f>
        <v>43936</v>
      </c>
      <c r="B111" s="18" t="e">
        <f ca="1">_xll.BDH(H111,"PX_LAST",Cash_Date,Cash_Date)+$P$106</f>
        <v>#VALUE!</v>
      </c>
      <c r="C111" s="25">
        <f t="shared" ca="1" si="14"/>
        <v>44090</v>
      </c>
      <c r="D111" s="18" t="e">
        <f ca="1">$P$106+100-_xll.BDH(I111,"PX_LAST",Future_Date,Future_Date)</f>
        <v>#VALUE!</v>
      </c>
      <c r="E111" s="25">
        <f t="shared" ca="1" si="15"/>
        <v>46127</v>
      </c>
      <c r="F111" s="18" t="e">
        <f ca="1">_xll.BDH(J111,"PX_LAST",Swap_Date,Swap_Date)+M111</f>
        <v>#VALUE!</v>
      </c>
      <c r="H111" s="18" t="s">
        <v>140</v>
      </c>
      <c r="I111" t="str">
        <f t="shared" ca="1" si="13"/>
        <v>ESU0 Comdty</v>
      </c>
      <c r="J111" s="18" t="s">
        <v>146</v>
      </c>
      <c r="M111" s="18" t="e">
        <f ca="1">_xll.BDP(N111,"PX_LAST")/100</f>
        <v>#VALUE!</v>
      </c>
      <c r="N111" s="18" t="s">
        <v>265</v>
      </c>
    </row>
    <row r="112" spans="1:17" x14ac:dyDescent="0.25">
      <c r="A112" s="27">
        <f ca="1">EDATE(A111,10)</f>
        <v>44242</v>
      </c>
      <c r="B112" s="28" t="e">
        <f ca="1">B111</f>
        <v>#VALUE!</v>
      </c>
      <c r="C112" s="25">
        <f t="shared" ca="1" si="14"/>
        <v>44181</v>
      </c>
      <c r="D112" s="18" t="e">
        <f ca="1">$P$106+100-_xll.BDH(I112,"PX_LAST",Future_Date,Future_Date)</f>
        <v>#VALUE!</v>
      </c>
      <c r="E112" s="25">
        <f t="shared" ca="1" si="15"/>
        <v>46492</v>
      </c>
      <c r="F112" s="18" t="e">
        <f ca="1">_xll.BDH(J112,"PX_LAST",Swap_Date,Swap_Date)+M112</f>
        <v>#VALUE!</v>
      </c>
      <c r="I112" t="str">
        <f t="shared" ca="1" si="13"/>
        <v>ESZ0 Comdty</v>
      </c>
      <c r="J112" s="18" t="s">
        <v>147</v>
      </c>
      <c r="M112" s="18" t="e">
        <f ca="1">_xll.BDP(N112,"PX_LAST")/100</f>
        <v>#VALUE!</v>
      </c>
      <c r="N112" s="18" t="s">
        <v>266</v>
      </c>
    </row>
    <row r="113" spans="3:14" x14ac:dyDescent="0.25">
      <c r="C113" s="25">
        <f t="shared" ca="1" si="14"/>
        <v>44272</v>
      </c>
      <c r="D113" s="18" t="e">
        <f ca="1">$P$106+100-_xll.BDH(I113,"PX_LAST",Future_Date,Future_Date)</f>
        <v>#VALUE!</v>
      </c>
      <c r="E113" s="25">
        <f t="shared" ca="1" si="15"/>
        <v>46858</v>
      </c>
      <c r="F113" s="18" t="e">
        <f ca="1">_xll.BDH(J113,"PX_LAST",Swap_Date,Swap_Date)+M113</f>
        <v>#VALUE!</v>
      </c>
      <c r="I113" t="str">
        <f t="shared" ca="1" si="13"/>
        <v>ESH1 Comdty</v>
      </c>
      <c r="J113" s="18" t="s">
        <v>148</v>
      </c>
      <c r="M113" s="18" t="e">
        <f ca="1">_xll.BDP(N113,"PX_LAST")/100</f>
        <v>#VALUE!</v>
      </c>
      <c r="N113" s="18" t="s">
        <v>267</v>
      </c>
    </row>
    <row r="114" spans="3:14" x14ac:dyDescent="0.25">
      <c r="E114" s="25">
        <f t="shared" ca="1" si="15"/>
        <v>47223</v>
      </c>
      <c r="F114" s="18" t="e">
        <f ca="1">_xll.BDH(J114,"PX_LAST",Swap_Date,Swap_Date)+M114</f>
        <v>#VALUE!</v>
      </c>
      <c r="J114" s="18" t="s">
        <v>149</v>
      </c>
      <c r="M114" s="18" t="e">
        <f ca="1">_xll.BDP(N114,"PX_LAST")/100</f>
        <v>#VALUE!</v>
      </c>
      <c r="N114" s="18" t="s">
        <v>268</v>
      </c>
    </row>
    <row r="115" spans="3:14" x14ac:dyDescent="0.25">
      <c r="E115" s="25">
        <f t="shared" ca="1" si="15"/>
        <v>47588</v>
      </c>
      <c r="F115" s="18" t="e">
        <f ca="1">_xll.BDH(J115,"PX_LAST",Swap_Date,Swap_Date)+M115</f>
        <v>#VALUE!</v>
      </c>
      <c r="J115" s="18" t="s">
        <v>150</v>
      </c>
      <c r="M115" s="30" t="e">
        <f ca="1">(M114+M116)/2</f>
        <v>#VALUE!</v>
      </c>
      <c r="N115" s="18" t="s">
        <v>269</v>
      </c>
    </row>
    <row r="116" spans="3:14" x14ac:dyDescent="0.25">
      <c r="E116" s="25">
        <f t="shared" ca="1" si="15"/>
        <v>47953</v>
      </c>
      <c r="F116" s="18" t="e">
        <f ca="1">_xll.BDH(J116,"PX_LAST",Swap_Date,Swap_Date)+M116</f>
        <v>#VALUE!</v>
      </c>
      <c r="J116" s="18" t="s">
        <v>151</v>
      </c>
      <c r="M116" s="18" t="e">
        <f ca="1">_xll.BDP(N116,"PX_LAST")/100</f>
        <v>#VALUE!</v>
      </c>
      <c r="N116" s="18" t="s">
        <v>270</v>
      </c>
    </row>
    <row r="117" spans="3:14" x14ac:dyDescent="0.25">
      <c r="E117" s="25">
        <f t="shared" ca="1" si="15"/>
        <v>48319</v>
      </c>
      <c r="F117" s="18" t="e">
        <f ca="1">_xll.BDH(J117,"PX_LAST",Swap_Date,Swap_Date)+M117</f>
        <v>#VALUE!</v>
      </c>
      <c r="J117" s="18" t="s">
        <v>152</v>
      </c>
      <c r="M117" s="30" t="e">
        <f ca="1">(M119-M116)/3+M116</f>
        <v>#VALUE!</v>
      </c>
      <c r="N117" s="18" t="s">
        <v>271</v>
      </c>
    </row>
    <row r="118" spans="3:14" x14ac:dyDescent="0.25">
      <c r="E118" s="25">
        <f t="shared" ca="1" si="15"/>
        <v>48684</v>
      </c>
      <c r="F118" s="18" t="e">
        <f ca="1">_xll.BDH(J118,"PX_LAST",Swap_Date,Swap_Date)+M118</f>
        <v>#VALUE!</v>
      </c>
      <c r="J118" s="18" t="s">
        <v>153</v>
      </c>
      <c r="M118" s="30" t="e">
        <f ca="1">(M119-M116)/3*2+M116</f>
        <v>#VALUE!</v>
      </c>
      <c r="N118" s="18" t="s">
        <v>272</v>
      </c>
    </row>
    <row r="119" spans="3:14" x14ac:dyDescent="0.25">
      <c r="E119" s="25">
        <f t="shared" ca="1" si="15"/>
        <v>49049</v>
      </c>
      <c r="F119" s="18" t="e">
        <f ca="1">_xll.BDH(J119,"PX_LAST",Swap_Date,Swap_Date)+M119</f>
        <v>#VALUE!</v>
      </c>
      <c r="J119" s="18" t="s">
        <v>154</v>
      </c>
      <c r="M119" s="18" t="e">
        <f ca="1">_xll.BDP(N119,"PX_LAST")/100</f>
        <v>#VALUE!</v>
      </c>
      <c r="N119" s="18" t="s">
        <v>273</v>
      </c>
    </row>
    <row r="120" spans="3:14" x14ac:dyDescent="0.25">
      <c r="E120" s="25">
        <f ca="1">EDATE(E119,60)</f>
        <v>50875</v>
      </c>
      <c r="F120" s="18" t="e">
        <f ca="1">_xll.BDH(J120,"PX_LAST",Swap_Date,Swap_Date)+M120</f>
        <v>#VALUE!</v>
      </c>
      <c r="J120" s="18" t="s">
        <v>155</v>
      </c>
      <c r="M120" s="18" t="e">
        <f ca="1">_xll.BDP(N120,"PX_LAST")/100</f>
        <v>#VALUE!</v>
      </c>
      <c r="N120" s="18" t="s">
        <v>274</v>
      </c>
    </row>
    <row r="121" spans="3:14" x14ac:dyDescent="0.25">
      <c r="E121" s="25">
        <f ca="1">EDATE(E120,60)</f>
        <v>52702</v>
      </c>
      <c r="F121" s="18" t="e">
        <f ca="1">_xll.BDH(J121,"PX_LAST",Swap_Date,Swap_Date)+M121</f>
        <v>#VALUE!</v>
      </c>
      <c r="J121" s="18" t="s">
        <v>156</v>
      </c>
      <c r="M121" s="30" t="e">
        <f ca="1">(M120+M122)/2</f>
        <v>#VALUE!</v>
      </c>
      <c r="N121" s="18" t="s">
        <v>275</v>
      </c>
    </row>
    <row r="122" spans="3:14" x14ac:dyDescent="0.25">
      <c r="E122" s="25">
        <f ca="1">EDATE(E121,60)</f>
        <v>54528</v>
      </c>
      <c r="F122" s="18" t="e">
        <f ca="1">_xll.BDH(J122,"PX_LAST",Swap_Date,Swap_Date)+M122</f>
        <v>#VALUE!</v>
      </c>
      <c r="J122" s="18" t="s">
        <v>157</v>
      </c>
      <c r="M122" s="18" t="e">
        <f ca="1">_xll.BDP(N122,"PX_LAST")/100</f>
        <v>#VALUE!</v>
      </c>
      <c r="N122" s="18" t="s">
        <v>276</v>
      </c>
    </row>
    <row r="123" spans="3:14" x14ac:dyDescent="0.25">
      <c r="E123" s="25">
        <f ca="1">EDATE(E122,120)</f>
        <v>58180</v>
      </c>
      <c r="F123" s="18" t="e">
        <f ca="1">_xll.BDH(J123,"PX_LAST",Swap_Date,Swap_Date)+M123</f>
        <v>#VALUE!</v>
      </c>
      <c r="J123" s="18" t="s">
        <v>158</v>
      </c>
      <c r="M123" s="30" t="e">
        <f ca="1">$M$122</f>
        <v>#VALUE!</v>
      </c>
      <c r="N123" s="18" t="s">
        <v>277</v>
      </c>
    </row>
    <row r="124" spans="3:14" x14ac:dyDescent="0.25">
      <c r="E124" s="25">
        <f ca="1">EDATE(E123,12)</f>
        <v>58546</v>
      </c>
      <c r="F124" s="18" t="e">
        <f ca="1">F123</f>
        <v>#VALUE!</v>
      </c>
    </row>
    <row r="125" spans="3:14" x14ac:dyDescent="0.25">
      <c r="E125" s="25"/>
    </row>
    <row r="129" spans="1:17" x14ac:dyDescent="0.25">
      <c r="A129" s="31" t="s">
        <v>21</v>
      </c>
      <c r="B129" s="32">
        <v>7</v>
      </c>
      <c r="C129" s="32"/>
      <c r="D129" s="32">
        <v>7</v>
      </c>
      <c r="E129" s="32"/>
      <c r="F129" s="32">
        <v>100</v>
      </c>
    </row>
    <row r="130" spans="1:17" x14ac:dyDescent="0.25">
      <c r="A130" s="18" t="s">
        <v>28</v>
      </c>
      <c r="B130" s="18" t="s">
        <v>29</v>
      </c>
      <c r="C130" s="18" t="s">
        <v>30</v>
      </c>
      <c r="D130" s="18" t="s">
        <v>31</v>
      </c>
      <c r="E130" s="18" t="s">
        <v>32</v>
      </c>
      <c r="F130" s="18" t="s">
        <v>33</v>
      </c>
      <c r="I130" t="s">
        <v>655</v>
      </c>
      <c r="M130" s="29" t="s">
        <v>199</v>
      </c>
      <c r="N130" s="29" t="s">
        <v>34</v>
      </c>
    </row>
    <row r="131" spans="1:17" x14ac:dyDescent="0.25">
      <c r="A131" s="25">
        <f ca="1">WORKDAY(Swap_Date,1)</f>
        <v>43571</v>
      </c>
      <c r="B131" s="18" t="e">
        <f ca="1">_xll.BDH(H131,"PX_LAST",Cash_Date,Cash_Date)+$P$131</f>
        <v>#VALUE!</v>
      </c>
      <c r="C131" s="25">
        <f ca="1">nextimm(Swap_Date)</f>
        <v>43635</v>
      </c>
      <c r="D131" s="18" t="e">
        <f ca="1">100-IF(ISNUMBER(_xll.BDH(I131,"PX_LAST",Future_Date,Future_Date)),_xll.BDH(I131,"PX_LAST",Future_Date,Future_Date)+$P$131,100-B134)</f>
        <v>#VALUE!</v>
      </c>
      <c r="E131" s="25">
        <f ca="1">EDATE(Swap_Date,24)</f>
        <v>44301</v>
      </c>
      <c r="F131" s="18" t="e">
        <f ca="1">_xll.BDH(J131,"PX_LAST",Swap_Date,Swap_Date)+M131</f>
        <v>#VALUE!</v>
      </c>
      <c r="H131" s="18" t="s">
        <v>159</v>
      </c>
      <c r="I131" t="str">
        <f ca="1">$I$130&amp;$L6&amp;" "&amp;$I$4</f>
        <v>BAM9 Comdty</v>
      </c>
      <c r="J131" s="18" t="s">
        <v>165</v>
      </c>
      <c r="M131" s="18" t="e">
        <f ca="1">_xll.BDP(N131,"PX_LAST")/100</f>
        <v>#VALUE!</v>
      </c>
      <c r="N131" s="18" t="s">
        <v>278</v>
      </c>
      <c r="P131" s="18" t="e">
        <f ca="1">_xll.BDP(Q131,"PX_LAST")/100</f>
        <v>#VALUE!</v>
      </c>
      <c r="Q131" s="18" t="s">
        <v>296</v>
      </c>
    </row>
    <row r="132" spans="1:17" x14ac:dyDescent="0.25">
      <c r="A132" s="25">
        <f ca="1">EDATE(Swap_Date,1)</f>
        <v>43600</v>
      </c>
      <c r="B132" s="18" t="e">
        <f ca="1">_xll.BDH(H132,"PX_LAST",Cash_Date,Cash_Date)+$P$131</f>
        <v>#VALUE!</v>
      </c>
      <c r="C132" s="25">
        <f ca="1">nextimm(C131+1)</f>
        <v>43726</v>
      </c>
      <c r="D132" s="18" t="e">
        <f ca="1">IFERROR($P$131+100-_xll.BDH(I132,"PX_LAST",Future_Date,Future_Date),0.5*(D131+D133))</f>
        <v>#VALUE!</v>
      </c>
      <c r="E132" s="25">
        <f ca="1">EDATE(E131,12)</f>
        <v>44666</v>
      </c>
      <c r="F132" s="18" t="e">
        <f ca="1">_xll.BDH(J132,"PX_LAST",Swap_Date,Swap_Date)+M132</f>
        <v>#VALUE!</v>
      </c>
      <c r="H132" s="18" t="s">
        <v>160</v>
      </c>
      <c r="I132" t="str">
        <f t="shared" ref="I132:I138" ca="1" si="16">$I$130&amp;$L7&amp;" "&amp;$I$4</f>
        <v>BAU9 Comdty</v>
      </c>
      <c r="J132" s="18" t="s">
        <v>166</v>
      </c>
      <c r="M132" s="30" t="e">
        <f ca="1">(M131+M133)/2</f>
        <v>#VALUE!</v>
      </c>
      <c r="N132" s="18" t="s">
        <v>279</v>
      </c>
    </row>
    <row r="133" spans="1:17" x14ac:dyDescent="0.25">
      <c r="A133" s="25">
        <f ca="1">EDATE(Swap_Date,2)</f>
        <v>43631</v>
      </c>
      <c r="B133" s="18" t="e">
        <f ca="1">_xll.BDH(H133,"PX_LAST",Cash_Date,Cash_Date)+$P$131</f>
        <v>#VALUE!</v>
      </c>
      <c r="C133" s="25">
        <f t="shared" ref="C133:C138" ca="1" si="17">nextimm(C132+1)</f>
        <v>43817</v>
      </c>
      <c r="D133" s="18" t="e">
        <f ca="1">$P$131+100-_xll.BDH(I133,"PX_LAST",Future_Date,Future_Date)</f>
        <v>#VALUE!</v>
      </c>
      <c r="E133" s="25">
        <f t="shared" ref="E133:E139" ca="1" si="18">EDATE(E132,12)</f>
        <v>45031</v>
      </c>
      <c r="F133" s="18" t="e">
        <f ca="1">_xll.BDH(J133,"PX_LAST",Swap_Date,Swap_Date)+M133</f>
        <v>#VALUE!</v>
      </c>
      <c r="H133" s="18" t="s">
        <v>161</v>
      </c>
      <c r="I133" t="str">
        <f t="shared" ca="1" si="16"/>
        <v>BAZ9 Comdty</v>
      </c>
      <c r="J133" s="18" t="s">
        <v>167</v>
      </c>
      <c r="M133" s="18" t="e">
        <f ca="1">_xll.BDP(N133,"PX_LAST")/100</f>
        <v>#VALUE!</v>
      </c>
      <c r="N133" s="18" t="s">
        <v>280</v>
      </c>
    </row>
    <row r="134" spans="1:17" x14ac:dyDescent="0.25">
      <c r="A134" s="25">
        <f ca="1">EDATE(Swap_Date,3)</f>
        <v>43661</v>
      </c>
      <c r="B134" s="18" t="e">
        <f ca="1">_xll.BDH(H134,"PX_LAST",Cash_Date,Cash_Date)+$P$131</f>
        <v>#VALUE!</v>
      </c>
      <c r="C134" s="25">
        <f t="shared" ca="1" si="17"/>
        <v>43908</v>
      </c>
      <c r="D134" s="18" t="e">
        <f ca="1">$P$131+100-_xll.BDH(I134,"PX_LAST",Future_Date,Future_Date)</f>
        <v>#VALUE!</v>
      </c>
      <c r="E134" s="25">
        <f t="shared" ca="1" si="18"/>
        <v>45397</v>
      </c>
      <c r="F134" s="18" t="e">
        <f ca="1">_xll.BDH(J134,"PX_LAST",Swap_Date,Swap_Date)+M134</f>
        <v>#VALUE!</v>
      </c>
      <c r="H134" s="18" t="s">
        <v>162</v>
      </c>
      <c r="I134" t="str">
        <f t="shared" ca="1" si="16"/>
        <v>BAH0 Comdty</v>
      </c>
      <c r="J134" s="18" t="s">
        <v>168</v>
      </c>
      <c r="M134" s="18" t="e">
        <f ca="1">_xll.BDP(N134,"PX_LAST")/100</f>
        <v>#VALUE!</v>
      </c>
      <c r="N134" s="18" t="s">
        <v>281</v>
      </c>
    </row>
    <row r="135" spans="1:17" x14ac:dyDescent="0.25">
      <c r="A135" s="25">
        <f ca="1">EDATE(Swap_Date,6)</f>
        <v>43753</v>
      </c>
      <c r="B135" s="18" t="e">
        <f ca="1">_xll.BDH(H135,"PX_LAST",Cash_Date,Cash_Date)+$P$131</f>
        <v>#VALUE!</v>
      </c>
      <c r="C135" s="25">
        <f t="shared" ca="1" si="17"/>
        <v>43999</v>
      </c>
      <c r="D135" s="18" t="e">
        <f ca="1">$P$131+100-_xll.BDH(I135,"PX_LAST",Future_Date,Future_Date)</f>
        <v>#VALUE!</v>
      </c>
      <c r="E135" s="25">
        <f t="shared" ca="1" si="18"/>
        <v>45762</v>
      </c>
      <c r="F135" s="18" t="e">
        <f ca="1">_xll.BDH(J135,"PX_LAST",Swap_Date,Swap_Date)+M135</f>
        <v>#VALUE!</v>
      </c>
      <c r="H135" s="18" t="s">
        <v>163</v>
      </c>
      <c r="I135" t="str">
        <f t="shared" ca="1" si="16"/>
        <v>BAM0 Comdty</v>
      </c>
      <c r="J135" s="18" t="s">
        <v>169</v>
      </c>
      <c r="M135" s="18" t="e">
        <f ca="1">_xll.BDP(N135,"PX_LAST")/100</f>
        <v>#VALUE!</v>
      </c>
      <c r="N135" s="18" t="s">
        <v>282</v>
      </c>
    </row>
    <row r="136" spans="1:17" x14ac:dyDescent="0.25">
      <c r="A136" s="25">
        <f ca="1">EDATE(Swap_Date,12)</f>
        <v>43936</v>
      </c>
      <c r="B136" s="18" t="e">
        <f ca="1">_xll.BDH(H136,"PX_LAST",Cash_Date,Cash_Date)+$P$131</f>
        <v>#VALUE!</v>
      </c>
      <c r="C136" s="25">
        <f t="shared" ca="1" si="17"/>
        <v>44090</v>
      </c>
      <c r="D136" s="18" t="e">
        <f ca="1">$P$131+100-_xll.BDH(I136,"PX_LAST",Future_Date,Future_Date)</f>
        <v>#VALUE!</v>
      </c>
      <c r="E136" s="25">
        <f t="shared" ca="1" si="18"/>
        <v>46127</v>
      </c>
      <c r="F136" s="18" t="e">
        <f ca="1">_xll.BDH(J136,"PX_LAST",Swap_Date,Swap_Date)+M136</f>
        <v>#VALUE!</v>
      </c>
      <c r="H136" s="18" t="s">
        <v>164</v>
      </c>
      <c r="I136" t="str">
        <f t="shared" ca="1" si="16"/>
        <v>BAU0 Comdty</v>
      </c>
      <c r="J136" s="18" t="s">
        <v>170</v>
      </c>
      <c r="M136" s="18" t="e">
        <f ca="1">_xll.BDP(N136,"PX_LAST")/100</f>
        <v>#VALUE!</v>
      </c>
      <c r="N136" s="18" t="s">
        <v>283</v>
      </c>
    </row>
    <row r="137" spans="1:17" x14ac:dyDescent="0.25">
      <c r="A137" s="27">
        <f ca="1">EDATE(A136,10)</f>
        <v>44242</v>
      </c>
      <c r="B137" s="28" t="e">
        <f ca="1">B136</f>
        <v>#VALUE!</v>
      </c>
      <c r="C137" s="25">
        <f t="shared" ca="1" si="17"/>
        <v>44181</v>
      </c>
      <c r="D137" s="18" t="e">
        <f ca="1">$P$131+100-_xll.BDH(I137,"PX_LAST",Future_Date,Future_Date)</f>
        <v>#VALUE!</v>
      </c>
      <c r="E137" s="25">
        <f t="shared" ca="1" si="18"/>
        <v>46492</v>
      </c>
      <c r="F137" s="18" t="e">
        <f ca="1">_xll.BDH(J137,"PX_LAST",Swap_Date,Swap_Date)+M137</f>
        <v>#VALUE!</v>
      </c>
      <c r="I137" t="str">
        <f t="shared" ca="1" si="16"/>
        <v>BAZ0 Comdty</v>
      </c>
      <c r="J137" s="18" t="s">
        <v>171</v>
      </c>
      <c r="M137" s="18" t="e">
        <f ca="1">_xll.BDP(N137,"PX_LAST")/100</f>
        <v>#VALUE!</v>
      </c>
      <c r="N137" s="18" t="s">
        <v>284</v>
      </c>
    </row>
    <row r="138" spans="1:17" x14ac:dyDescent="0.25">
      <c r="C138" s="25">
        <f t="shared" ca="1" si="17"/>
        <v>44272</v>
      </c>
      <c r="D138" s="18" t="e">
        <f ca="1">$P$131+100-_xll.BDH(I138,"PX_LAST",Future_Date,Future_Date)</f>
        <v>#VALUE!</v>
      </c>
      <c r="E138" s="25">
        <f t="shared" ca="1" si="18"/>
        <v>46858</v>
      </c>
      <c r="F138" s="18" t="e">
        <f ca="1">_xll.BDH(J138,"PX_LAST",Swap_Date,Swap_Date)+M138</f>
        <v>#VALUE!</v>
      </c>
      <c r="I138" t="str">
        <f t="shared" ca="1" si="16"/>
        <v>BAH1 Comdty</v>
      </c>
      <c r="J138" s="18" t="s">
        <v>172</v>
      </c>
      <c r="M138" s="18" t="e">
        <f ca="1">_xll.BDP(N138,"PX_LAST")/100</f>
        <v>#VALUE!</v>
      </c>
      <c r="N138" s="18" t="s">
        <v>285</v>
      </c>
    </row>
    <row r="139" spans="1:17" x14ac:dyDescent="0.25">
      <c r="E139" s="25">
        <f t="shared" ca="1" si="18"/>
        <v>47223</v>
      </c>
      <c r="F139" s="18" t="e">
        <f ca="1">_xll.BDH(J139,"PX_LAST",Swap_Date,Swap_Date)+M139</f>
        <v>#VALUE!</v>
      </c>
      <c r="J139" s="18" t="s">
        <v>173</v>
      </c>
      <c r="M139" s="18" t="e">
        <f ca="1">_xll.BDP(N139,"PX_LAST")/100</f>
        <v>#VALUE!</v>
      </c>
      <c r="N139" s="18" t="s">
        <v>286</v>
      </c>
    </row>
    <row r="140" spans="1:17" x14ac:dyDescent="0.25">
      <c r="E140" s="25">
        <f ca="1">EDATE(E139,24)</f>
        <v>47953</v>
      </c>
      <c r="F140" s="18" t="e">
        <f ca="1">_xll.BDH(J140,"PX_LAST",Swap_Date,Swap_Date)+M140</f>
        <v>#VALUE!</v>
      </c>
      <c r="J140" s="18" t="s">
        <v>174</v>
      </c>
      <c r="M140" s="18" t="e">
        <f ca="1">_xll.BDP(N140,"PX_LAST")/100</f>
        <v>#VALUE!</v>
      </c>
      <c r="N140" s="18" t="s">
        <v>287</v>
      </c>
    </row>
    <row r="141" spans="1:17" x14ac:dyDescent="0.25">
      <c r="E141" s="25">
        <f ca="1">EDATE(E140,36)</f>
        <v>49049</v>
      </c>
      <c r="F141" s="18" t="e">
        <f ca="1">_xll.BDH(J141,"PX_LAST",Swap_Date,Swap_Date)+M141</f>
        <v>#VALUE!</v>
      </c>
      <c r="J141" s="18" t="s">
        <v>175</v>
      </c>
      <c r="M141" s="18" t="e">
        <f ca="1">_xll.BDP(N141,"PX_LAST")/100</f>
        <v>#VALUE!</v>
      </c>
      <c r="N141" s="18" t="s">
        <v>288</v>
      </c>
    </row>
    <row r="142" spans="1:17" x14ac:dyDescent="0.25">
      <c r="E142" s="25">
        <f ca="1">EDATE(E141,60)</f>
        <v>50875</v>
      </c>
      <c r="F142" s="18" t="e">
        <f ca="1">_xll.BDH(J142,"PX_LAST",Swap_Date,Swap_Date)+M142</f>
        <v>#VALUE!</v>
      </c>
      <c r="J142" s="18" t="s">
        <v>176</v>
      </c>
      <c r="M142" s="18" t="e">
        <f ca="1">_xll.BDP(N142,"PX_LAST")/100</f>
        <v>#VALUE!</v>
      </c>
      <c r="N142" s="18" t="s">
        <v>289</v>
      </c>
    </row>
    <row r="143" spans="1:17" x14ac:dyDescent="0.25">
      <c r="E143" s="25">
        <f ca="1">EDATE(E142,60)</f>
        <v>52702</v>
      </c>
      <c r="F143" s="18" t="e">
        <f ca="1">_xll.BDH(J143,"PX_LAST",Swap_Date,Swap_Date)+M143</f>
        <v>#VALUE!</v>
      </c>
      <c r="J143" s="18" t="s">
        <v>177</v>
      </c>
      <c r="M143" s="30" t="e">
        <f ca="1">$M$122</f>
        <v>#VALUE!</v>
      </c>
      <c r="N143" s="18" t="s">
        <v>290</v>
      </c>
    </row>
    <row r="144" spans="1:17" x14ac:dyDescent="0.25">
      <c r="E144" s="25">
        <f ca="1">EDATE(E143,60)</f>
        <v>54528</v>
      </c>
      <c r="F144" s="18" t="e">
        <f ca="1">_xll.BDH(J144,"PX_LAST",Swap_Date,Swap_Date)+M144</f>
        <v>#VALUE!</v>
      </c>
      <c r="J144" s="18" t="s">
        <v>178</v>
      </c>
      <c r="M144" s="30" t="e">
        <f ca="1">$M$122</f>
        <v>#VALUE!</v>
      </c>
      <c r="N144" s="18" t="s">
        <v>291</v>
      </c>
    </row>
    <row r="145" spans="1:24" x14ac:dyDescent="0.25">
      <c r="E145" s="25">
        <f ca="1">EDATE(E144,120)</f>
        <v>58180</v>
      </c>
      <c r="F145" s="18" t="e">
        <f ca="1">_xll.BDH(J145,"PX_LAST",Swap_Date,Swap_Date)+M145</f>
        <v>#VALUE!</v>
      </c>
      <c r="J145" s="18" t="s">
        <v>179</v>
      </c>
      <c r="M145" s="30" t="e">
        <f ca="1">$M$122</f>
        <v>#VALUE!</v>
      </c>
      <c r="N145" s="18" t="s">
        <v>292</v>
      </c>
    </row>
    <row r="146" spans="1:24" x14ac:dyDescent="0.25">
      <c r="E146" s="25">
        <f ca="1">EDATE(E145,12)</f>
        <v>58546</v>
      </c>
      <c r="F146" s="18" t="e">
        <f ca="1">F145</f>
        <v>#VALUE!</v>
      </c>
    </row>
    <row r="154" spans="1:24" x14ac:dyDescent="0.25">
      <c r="A154" s="31" t="s">
        <v>181</v>
      </c>
      <c r="B154" s="32">
        <v>7</v>
      </c>
      <c r="C154" s="32"/>
      <c r="D154" s="32">
        <v>0</v>
      </c>
      <c r="E154" s="32"/>
      <c r="F154" s="32">
        <v>100</v>
      </c>
      <c r="G154"/>
      <c r="H154" t="s">
        <v>298</v>
      </c>
      <c r="J154"/>
      <c r="K154" t="s">
        <v>299</v>
      </c>
      <c r="L154" t="e">
        <f ca="1">F165-F160</f>
        <v>#VALUE!</v>
      </c>
      <c r="M154"/>
      <c r="N154"/>
      <c r="O154"/>
      <c r="P154"/>
      <c r="Q154"/>
      <c r="R154"/>
      <c r="S154"/>
      <c r="T154"/>
    </row>
    <row r="155" spans="1:24" x14ac:dyDescent="0.25">
      <c r="A155" s="18" t="s">
        <v>28</v>
      </c>
      <c r="B155" s="18" t="s">
        <v>29</v>
      </c>
      <c r="C155" s="18" t="s">
        <v>30</v>
      </c>
      <c r="D155" s="18" t="s">
        <v>31</v>
      </c>
      <c r="E155" s="18" t="s">
        <v>32</v>
      </c>
      <c r="F155" s="18" t="s">
        <v>33</v>
      </c>
      <c r="G155"/>
      <c r="H155"/>
      <c r="J155"/>
      <c r="K155"/>
      <c r="L155"/>
      <c r="M155"/>
      <c r="N155"/>
      <c r="O155"/>
      <c r="P155"/>
      <c r="Q155"/>
      <c r="R155"/>
      <c r="S155"/>
      <c r="T155"/>
    </row>
    <row r="156" spans="1:24" x14ac:dyDescent="0.25">
      <c r="A156" s="25">
        <f ca="1">WORKDAY(Swap_Date,1)</f>
        <v>43571</v>
      </c>
      <c r="B156" s="18" t="str">
        <f ca="1">B157</f>
        <v>#N/A Connection</v>
      </c>
      <c r="C156" s="25">
        <f ca="1">nextimm(Swap_Date)</f>
        <v>43635</v>
      </c>
      <c r="D156" s="18" t="s">
        <v>197</v>
      </c>
      <c r="E156" s="25">
        <f ca="1">EDATE(Swap_Date,12)</f>
        <v>43936</v>
      </c>
      <c r="F156" t="str">
        <f t="shared" ref="F156:F165" ca="1" si="19">IF(ISNUMBER(S156),S156,T156)</f>
        <v>#N/A Connection</v>
      </c>
      <c r="G156"/>
      <c r="H156"/>
      <c r="J156" t="s">
        <v>579</v>
      </c>
      <c r="K156"/>
      <c r="M156"/>
      <c r="N156">
        <v>5.7073999999999998</v>
      </c>
      <c r="O156" t="e">
        <f ca="1">F156-N156</f>
        <v>#VALUE!</v>
      </c>
      <c r="P156" s="23"/>
      <c r="Q156"/>
      <c r="R156" s="23" t="str">
        <f ca="1">_xll.BDH($J156,"Close",$E$2,$E$3,"BarType","T","Dir=V")</f>
        <v>#N/A Connection</v>
      </c>
      <c r="S156"/>
      <c r="T156" t="str">
        <f ca="1">IF(ISNUMBER(_xll.BDH($J156,"LAST_PRICE",Swap_Date,Swap_Date)),_xll.BDH($J156,"LAST_PRICE",Swap_Date,Swap_Date),U156)</f>
        <v>#N/A Connection</v>
      </c>
      <c r="U156" t="str">
        <f ca="1">_xll.BDP(J156,"PX_LAST")</f>
        <v>#N/A Connection</v>
      </c>
      <c r="X156" t="str">
        <f ca="1">_xll.BDP(J156,"PX_LAST")</f>
        <v>#N/A Connection</v>
      </c>
    </row>
    <row r="157" spans="1:24" x14ac:dyDescent="0.25">
      <c r="A157" s="25">
        <f ca="1">EDATE(Swap_Date,1)</f>
        <v>43600</v>
      </c>
      <c r="B157" s="18" t="str">
        <f t="shared" ref="B157:B162" ca="1" si="20">U157</f>
        <v>#N/A Connection</v>
      </c>
      <c r="C157" s="25">
        <f ca="1">nextimm(C156+1)</f>
        <v>43726</v>
      </c>
      <c r="D157" s="18" t="s">
        <v>197</v>
      </c>
      <c r="E157" s="25">
        <f ca="1">EDATE(E156,12)</f>
        <v>44301</v>
      </c>
      <c r="F157" t="str">
        <f t="shared" ca="1" si="19"/>
        <v>#N/A Connection</v>
      </c>
      <c r="G157" t="e">
        <f t="shared" ref="G157:G164" ca="1" si="21">100*(F157-F156)</f>
        <v>#VALUE!</v>
      </c>
      <c r="H157" t="s">
        <v>182</v>
      </c>
      <c r="J157" t="s">
        <v>580</v>
      </c>
      <c r="K157"/>
      <c r="L157"/>
      <c r="M157"/>
      <c r="N157">
        <v>6.5526</v>
      </c>
      <c r="O157" t="e">
        <f t="shared" ref="O157:O164" ca="1" si="22">F157-N157</f>
        <v>#VALUE!</v>
      </c>
      <c r="P157" s="24" t="str">
        <f ca="1">_xll.BDP(H157,"PX_LAST")</f>
        <v>#N/A Connection</v>
      </c>
      <c r="Q157"/>
      <c r="R157" s="23" t="str">
        <f ca="1">_xll.BDH($J157,"Close",$E$2,$E$3,"BarType","T","Dir=V")</f>
        <v>#N/A Connection</v>
      </c>
      <c r="S157"/>
      <c r="T157" t="str">
        <f ca="1">IF(ISNUMBER(_xll.BDH($J157,"LAST_PRICE",Swap_Date,Swap_Date)),_xll.BDH($J157,"LAST_PRICE",Swap_Date,Swap_Date),U157)</f>
        <v>#N/A Connection</v>
      </c>
      <c r="U157" t="str">
        <f ca="1">_xll.BDP(J157,"PX_LAST")</f>
        <v>#N/A Connection</v>
      </c>
      <c r="V157" t="str">
        <f ca="1">_xll.BDP(H157,"PX_LAST")</f>
        <v>#N/A Connection</v>
      </c>
      <c r="W157" t="str">
        <f ca="1">_xll.BDP(H157,"PX_LAST")</f>
        <v>#N/A Connection</v>
      </c>
      <c r="X157" t="str">
        <f ca="1">_xll.BDP(J157,"PX_LAST")</f>
        <v>#N/A Connection</v>
      </c>
    </row>
    <row r="158" spans="1:24" x14ac:dyDescent="0.25">
      <c r="A158" s="25">
        <f ca="1">EDATE(Swap_Date,2)</f>
        <v>43631</v>
      </c>
      <c r="B158" s="18" t="str">
        <f t="shared" ca="1" si="20"/>
        <v>#N/A Connection</v>
      </c>
      <c r="C158" s="25">
        <f t="shared" ref="C158:C163" ca="1" si="23">nextimm(C157+1)</f>
        <v>43817</v>
      </c>
      <c r="D158" s="18" t="s">
        <v>197</v>
      </c>
      <c r="E158" s="25">
        <f ca="1">EDATE(E157,12)</f>
        <v>44666</v>
      </c>
      <c r="F158" t="str">
        <f t="shared" ca="1" si="19"/>
        <v>#N/A Connection</v>
      </c>
      <c r="G158" t="e">
        <f t="shared" ca="1" si="21"/>
        <v>#VALUE!</v>
      </c>
      <c r="H158" t="s">
        <v>183</v>
      </c>
      <c r="J158" t="s">
        <v>581</v>
      </c>
      <c r="K158"/>
      <c r="L158"/>
      <c r="M158"/>
      <c r="N158">
        <v>7.1788999999999996</v>
      </c>
      <c r="O158" t="e">
        <f t="shared" ca="1" si="22"/>
        <v>#VALUE!</v>
      </c>
      <c r="P158" s="24"/>
      <c r="Q158"/>
      <c r="R158" s="23" t="str">
        <f ca="1">_xll.BDH($J158,"Close",$E$2,$E$3,"BarType","T","Dir=V")</f>
        <v>#N/A Connection</v>
      </c>
      <c r="S158"/>
      <c r="T158" t="str">
        <f ca="1">IF(ISNUMBER(_xll.BDH($J158,"LAST_PRICE",Swap_Date,Swap_Date)),_xll.BDH($J158,"LAST_PRICE",Swap_Date,Swap_Date),U158)</f>
        <v>#N/A Connection</v>
      </c>
      <c r="U158" t="str">
        <f ca="1">_xll.BDP(J158,"PX_LAST")</f>
        <v>#N/A Connection</v>
      </c>
      <c r="V158" t="str">
        <f ca="1">V157</f>
        <v>#N/A Connection</v>
      </c>
      <c r="X158" t="str">
        <f ca="1">_xll.BDP(J158,"PX_LAST")</f>
        <v>#N/A Connection</v>
      </c>
    </row>
    <row r="159" spans="1:24" x14ac:dyDescent="0.25">
      <c r="A159" s="25">
        <f ca="1">EDATE(Swap_Date,3)</f>
        <v>43661</v>
      </c>
      <c r="B159" s="18" t="str">
        <f t="shared" ca="1" si="20"/>
        <v>#N/A Connection</v>
      </c>
      <c r="C159" s="25">
        <f t="shared" ca="1" si="23"/>
        <v>43908</v>
      </c>
      <c r="D159" s="18" t="s">
        <v>197</v>
      </c>
      <c r="E159" s="25">
        <f t="shared" ref="E159:E165" ca="1" si="24">EDATE(E158,12)</f>
        <v>45031</v>
      </c>
      <c r="F159" t="str">
        <f t="shared" ca="1" si="19"/>
        <v>#N/A Connection</v>
      </c>
      <c r="G159" t="e">
        <f t="shared" ca="1" si="21"/>
        <v>#VALUE!</v>
      </c>
      <c r="H159" t="s">
        <v>184</v>
      </c>
      <c r="J159" t="s">
        <v>582</v>
      </c>
      <c r="K159"/>
      <c r="L159"/>
      <c r="M159"/>
      <c r="N159">
        <v>7.5522999999999998</v>
      </c>
      <c r="O159" t="e">
        <f t="shared" ca="1" si="22"/>
        <v>#VALUE!</v>
      </c>
      <c r="P159" s="24" t="str">
        <f ca="1">_xll.BDP(H159,"PX_LAST")</f>
        <v>#N/A Connection</v>
      </c>
      <c r="Q159"/>
      <c r="R159" s="23" t="str">
        <f ca="1">_xll.BDH($J159,"Close",$E$2,$E$3,"BarType","T","Dir=V")</f>
        <v>#N/A Connection</v>
      </c>
      <c r="S159"/>
      <c r="T159" t="str">
        <f ca="1">IF(ISNUMBER(_xll.BDH($J159,"LAST_PRICE",Swap_Date,Swap_Date)),_xll.BDH($J159,"LAST_PRICE",Swap_Date,Swap_Date),U159)</f>
        <v>#N/A Connection</v>
      </c>
      <c r="U159" t="str">
        <f ca="1">_xll.BDP(J159,"PX_LAST")</f>
        <v>#N/A Connection</v>
      </c>
      <c r="V159" t="str">
        <f ca="1">_xll.BDP(H159,"PX_LAST")</f>
        <v>#N/A Connection</v>
      </c>
      <c r="W159" t="str">
        <f ca="1">_xll.BDP(H159,"PX_LAST")</f>
        <v>#N/A Connection</v>
      </c>
      <c r="X159" t="str">
        <f ca="1">_xll.BDP(J159,"PX_LAST")</f>
        <v>#N/A Connection</v>
      </c>
    </row>
    <row r="160" spans="1:24" x14ac:dyDescent="0.25">
      <c r="A160" s="25">
        <f ca="1">EDATE(Swap_Date,6)</f>
        <v>43753</v>
      </c>
      <c r="B160" s="18" t="str">
        <f t="shared" ca="1" si="20"/>
        <v>#N/A Connection</v>
      </c>
      <c r="C160" s="25">
        <f t="shared" ca="1" si="23"/>
        <v>43999</v>
      </c>
      <c r="D160" s="18" t="s">
        <v>197</v>
      </c>
      <c r="E160" s="25">
        <f t="shared" ca="1" si="24"/>
        <v>45397</v>
      </c>
      <c r="F160" t="str">
        <f t="shared" ca="1" si="19"/>
        <v>#N/A Connection</v>
      </c>
      <c r="G160" t="e">
        <f t="shared" ca="1" si="21"/>
        <v>#VALUE!</v>
      </c>
      <c r="H160" t="s">
        <v>185</v>
      </c>
      <c r="J160" t="s">
        <v>583</v>
      </c>
      <c r="K160"/>
      <c r="L160"/>
      <c r="M160"/>
      <c r="N160">
        <v>7.8151999999999999</v>
      </c>
      <c r="O160" t="e">
        <f t="shared" ca="1" si="22"/>
        <v>#VALUE!</v>
      </c>
      <c r="P160" s="24" t="str">
        <f ca="1">_xll.BDP(H160,"PX_LAST")</f>
        <v>#N/A Connection</v>
      </c>
      <c r="Q160"/>
      <c r="R160" s="23" t="str">
        <f ca="1">_xll.BDH($J160,"Close",$E$2,$E$3,"BarType","T","Dir=V")</f>
        <v>#N/A Connection</v>
      </c>
      <c r="S160"/>
      <c r="T160" t="str">
        <f ca="1">IF(ISNUMBER(_xll.BDH($J160,"LAST_PRICE",Swap_Date,Swap_Date)),_xll.BDH($J160,"LAST_PRICE",Swap_Date,Swap_Date),U160)</f>
        <v>#N/A Connection</v>
      </c>
      <c r="U160" t="str">
        <f ca="1">_xll.BDP(J160,"PX_LAST")</f>
        <v>#N/A Connection</v>
      </c>
      <c r="V160" t="str">
        <f ca="1">_xll.BDP(H160,"PX_LAST")</f>
        <v>#N/A Connection</v>
      </c>
      <c r="W160" t="str">
        <f ca="1">_xll.BDP(H160,"PX_LAST")</f>
        <v>#N/A Connection</v>
      </c>
      <c r="X160" t="str">
        <f ca="1">_xll.BDP(J160,"PX_LAST")</f>
        <v>#N/A Connection</v>
      </c>
    </row>
    <row r="161" spans="1:24" x14ac:dyDescent="0.25">
      <c r="A161" s="25">
        <f ca="1">EDATE(Swap_Date,12)</f>
        <v>43936</v>
      </c>
      <c r="B161" s="18" t="str">
        <f t="shared" ca="1" si="20"/>
        <v>#N/A Connection</v>
      </c>
      <c r="C161" s="25">
        <f t="shared" ca="1" si="23"/>
        <v>44090</v>
      </c>
      <c r="D161" s="18" t="s">
        <v>197</v>
      </c>
      <c r="E161" s="25">
        <f t="shared" ca="1" si="24"/>
        <v>45762</v>
      </c>
      <c r="F161" t="str">
        <f t="shared" ca="1" si="19"/>
        <v>#N/A Connection</v>
      </c>
      <c r="G161" t="e">
        <f t="shared" ca="1" si="21"/>
        <v>#VALUE!</v>
      </c>
      <c r="H161" t="s">
        <v>186</v>
      </c>
      <c r="J161" t="s">
        <v>584</v>
      </c>
      <c r="K161"/>
      <c r="L161"/>
      <c r="M161"/>
      <c r="N161">
        <v>8.0724999999999998</v>
      </c>
      <c r="O161" t="e">
        <f t="shared" ca="1" si="22"/>
        <v>#VALUE!</v>
      </c>
      <c r="P161" s="24" t="str">
        <f ca="1">_xll.BDP(H161,"PX_LAST")</f>
        <v>#N/A Connection</v>
      </c>
      <c r="Q161"/>
      <c r="R161" s="23" t="str">
        <f ca="1">_xll.BDH($J161,"Close",$E$2,$E$3,"BarType","T","Dir=V")</f>
        <v>#N/A Connection</v>
      </c>
      <c r="S161"/>
      <c r="T161" t="str">
        <f ca="1">IF(ISNUMBER(_xll.BDH($J161,"LAST_PRICE",Swap_Date,Swap_Date)),_xll.BDH($J161,"LAST_PRICE",Swap_Date,Swap_Date),U161)</f>
        <v>#N/A Connection</v>
      </c>
      <c r="U161" t="str">
        <f ca="1">_xll.BDP(J161,"PX_LAST")</f>
        <v>#N/A Connection</v>
      </c>
      <c r="V161" t="str">
        <f ca="1">_xll.BDP(H161,"PX_LAST")</f>
        <v>#N/A Connection</v>
      </c>
      <c r="W161" t="str">
        <f ca="1">_xll.BDP(H161,"PX_LAST")</f>
        <v>#N/A Connection</v>
      </c>
      <c r="X161" t="str">
        <f ca="1">_xll.BDP(J161,"PX_LAST")</f>
        <v>#N/A Connection</v>
      </c>
    </row>
    <row r="162" spans="1:24" x14ac:dyDescent="0.25">
      <c r="A162" s="27">
        <f ca="1">EDATE(A161,10)</f>
        <v>44242</v>
      </c>
      <c r="B162" s="28" t="str">
        <f t="shared" ca="1" si="20"/>
        <v>#N/A Connection</v>
      </c>
      <c r="C162" s="25">
        <f t="shared" ca="1" si="23"/>
        <v>44181</v>
      </c>
      <c r="D162" s="18" t="s">
        <v>197</v>
      </c>
      <c r="E162" s="25">
        <f t="shared" ca="1" si="24"/>
        <v>46127</v>
      </c>
      <c r="F162" t="str">
        <f t="shared" ca="1" si="19"/>
        <v>#N/A Connection</v>
      </c>
      <c r="G162" t="e">
        <f t="shared" ca="1" si="21"/>
        <v>#VALUE!</v>
      </c>
      <c r="H162"/>
      <c r="J162" t="s">
        <v>585</v>
      </c>
      <c r="K162"/>
      <c r="L162"/>
      <c r="M162"/>
      <c r="N162">
        <v>8.2072000000000003</v>
      </c>
      <c r="O162" t="e">
        <f t="shared" ca="1" si="22"/>
        <v>#VALUE!</v>
      </c>
      <c r="P162" s="24"/>
      <c r="Q162"/>
      <c r="R162" s="23" t="str">
        <f ca="1">_xll.BDH($J162,"Close",$E$2,$E$3,"BarType","T","Dir=V")</f>
        <v>#N/A Connection</v>
      </c>
      <c r="S162"/>
      <c r="T162" t="str">
        <f ca="1">IF(ISNUMBER(_xll.BDH($J162,"LAST_PRICE",Swap_Date,Swap_Date)),_xll.BDH($J162,"LAST_PRICE",Swap_Date,Swap_Date),U162)</f>
        <v>#N/A Connection</v>
      </c>
      <c r="U162" t="str">
        <f ca="1">_xll.BDP(J162,"PX_LAST")</f>
        <v>#N/A Connection</v>
      </c>
      <c r="V162" t="str">
        <f ca="1">V161</f>
        <v>#N/A Connection</v>
      </c>
      <c r="X162" t="str">
        <f ca="1">_xll.BDP(J162,"PX_LAST")</f>
        <v>#N/A Connection</v>
      </c>
    </row>
    <row r="163" spans="1:24" x14ac:dyDescent="0.25">
      <c r="C163" s="25">
        <f t="shared" ca="1" si="23"/>
        <v>44272</v>
      </c>
      <c r="D163" s="18" t="s">
        <v>197</v>
      </c>
      <c r="E163" s="25">
        <f t="shared" ca="1" si="24"/>
        <v>46492</v>
      </c>
      <c r="F163" t="str">
        <f t="shared" ca="1" si="19"/>
        <v>#N/A Connection</v>
      </c>
      <c r="G163" t="e">
        <f t="shared" ca="1" si="21"/>
        <v>#VALUE!</v>
      </c>
      <c r="H163"/>
      <c r="J163" t="s">
        <v>586</v>
      </c>
      <c r="K163"/>
      <c r="L163"/>
      <c r="M163"/>
      <c r="N163">
        <v>8.3289000000000009</v>
      </c>
      <c r="O163" t="e">
        <f t="shared" ca="1" si="22"/>
        <v>#VALUE!</v>
      </c>
      <c r="P163" s="23"/>
      <c r="Q163"/>
      <c r="R163" s="23" t="str">
        <f ca="1">_xll.BDH($J163,"Close",$E$2,$E$3,"BarType","T","Dir=V")</f>
        <v>#N/A Connection</v>
      </c>
      <c r="S163"/>
      <c r="T163" t="str">
        <f ca="1">IF(ISNUMBER(_xll.BDH($J163,"LAST_PRICE",Swap_Date,Swap_Date)),_xll.BDH($J163,"LAST_PRICE",Swap_Date,Swap_Date),U163)</f>
        <v>#N/A Connection</v>
      </c>
      <c r="U163" t="str">
        <f ca="1">_xll.BDP(J163,"PX_LAST")</f>
        <v>#N/A Connection</v>
      </c>
      <c r="X163" t="str">
        <f ca="1">_xll.BDP(J163,"PX_LAST")</f>
        <v>#N/A Connection</v>
      </c>
    </row>
    <row r="164" spans="1:24" x14ac:dyDescent="0.25">
      <c r="E164" s="25">
        <f t="shared" ca="1" si="24"/>
        <v>46858</v>
      </c>
      <c r="F164" t="str">
        <f t="shared" ca="1" si="19"/>
        <v>#N/A Connection</v>
      </c>
      <c r="G164" t="e">
        <f t="shared" ca="1" si="21"/>
        <v>#VALUE!</v>
      </c>
      <c r="H164"/>
      <c r="J164" t="s">
        <v>587</v>
      </c>
      <c r="K164"/>
      <c r="L164"/>
      <c r="M164"/>
      <c r="N164">
        <v>8.3926999999999996</v>
      </c>
      <c r="O164" t="e">
        <f t="shared" ca="1" si="22"/>
        <v>#VALUE!</v>
      </c>
      <c r="P164" s="23"/>
      <c r="Q164"/>
      <c r="R164" s="23" t="str">
        <f ca="1">_xll.BDH($J164,"Close",$E$2,$E$3,"BarType","T","Dir=V")</f>
        <v>#N/A Connection</v>
      </c>
      <c r="S164"/>
      <c r="T164" t="str">
        <f ca="1">IF(ISNUMBER(_xll.BDH($J164,"LAST_PRICE",Swap_Date,Swap_Date)),_xll.BDH($J164,"LAST_PRICE",Swap_Date,Swap_Date),U164)</f>
        <v>#N/A Connection</v>
      </c>
      <c r="U164" t="str">
        <f ca="1">_xll.BDP(J164,"PX_LAST")</f>
        <v>#N/A Connection</v>
      </c>
      <c r="X164" t="str">
        <f ca="1">_xll.BDP(J164,"PX_LAST")</f>
        <v>#N/A Connection</v>
      </c>
    </row>
    <row r="165" spans="1:24" x14ac:dyDescent="0.25">
      <c r="E165" s="25">
        <f t="shared" ca="1" si="24"/>
        <v>47223</v>
      </c>
      <c r="F165" t="str">
        <f t="shared" ca="1" si="19"/>
        <v>#N/A Connection</v>
      </c>
      <c r="G165" t="e">
        <f ca="1">100*(F165-F164)</f>
        <v>#VALUE!</v>
      </c>
      <c r="H165"/>
      <c r="J165" t="s">
        <v>588</v>
      </c>
      <c r="K165"/>
      <c r="L165"/>
      <c r="M165"/>
      <c r="N165"/>
      <c r="O165" t="e">
        <f ca="1">O164</f>
        <v>#VALUE!</v>
      </c>
      <c r="P165" s="23"/>
      <c r="Q165"/>
      <c r="R165" s="23" t="str">
        <f ca="1">_xll.BDH($J165,"Close",$E$2,$E$3,"BarType","T","Dir=V")</f>
        <v>#N/A Connection</v>
      </c>
      <c r="S165"/>
      <c r="T165" t="str">
        <f ca="1">IF(ISNUMBER(_xll.BDH($J165,"LAST_PRICE",Swap_Date,Swap_Date)),_xll.BDH($J165,"LAST_PRICE",Swap_Date,Swap_Date),U165)</f>
        <v>#N/A Connection</v>
      </c>
      <c r="U165" t="str">
        <f ca="1">_xll.BDP(J165,"PX_LAST")</f>
        <v>#N/A Connection</v>
      </c>
      <c r="X165" t="str">
        <f ca="1">_xll.BDP(J165,"PX_LAST")</f>
        <v>#N/A Connection</v>
      </c>
    </row>
    <row r="166" spans="1:24" x14ac:dyDescent="0.25">
      <c r="E166" s="25">
        <f ca="1">EDATE(E165,24)</f>
        <v>47953</v>
      </c>
      <c r="F166" t="e">
        <f ca="1">F165+(E166-$E$165)/($E$165-$E$160)*$L$154</f>
        <v>#VALUE!</v>
      </c>
      <c r="G166"/>
      <c r="H166"/>
      <c r="J166" t="s">
        <v>588</v>
      </c>
      <c r="K166"/>
      <c r="L166"/>
      <c r="M166"/>
      <c r="N166"/>
      <c r="O166" t="e">
        <f t="shared" ref="O166:O172" ca="1" si="25">O165</f>
        <v>#VALUE!</v>
      </c>
      <c r="P166" s="23"/>
      <c r="Q166"/>
      <c r="R166" s="23" t="str">
        <f ca="1">_xll.BDH($J166,"Close",$E$2,$E$3,"BarType","T","Dir=V")</f>
        <v>#N/A Connection</v>
      </c>
      <c r="S166"/>
      <c r="T166" t="str">
        <f ca="1">IF(ISNUMBER(_xll.BDH($J166,"LAST_PRICE",Swap_Date,Swap_Date)),_xll.BDH($J166,"LAST_PRICE",Swap_Date,Swap_Date),U166)</f>
        <v>#N/A Connection</v>
      </c>
      <c r="U166" t="str">
        <f ca="1">_xll.BDP(J166,"PX_LAST")</f>
        <v>#N/A Connection</v>
      </c>
      <c r="X166" t="str">
        <f ca="1">_xll.BDP(J166,"PX_LAST")</f>
        <v>#N/A Connection</v>
      </c>
    </row>
    <row r="167" spans="1:24" x14ac:dyDescent="0.25">
      <c r="E167" s="25">
        <f ca="1">EDATE(E166,36)</f>
        <v>49049</v>
      </c>
      <c r="F167" t="e">
        <f t="shared" ref="F167:F172" ca="1" si="26">F166+(E167-$E$165)/($E$165-$E$160)*$L$154</f>
        <v>#VALUE!</v>
      </c>
      <c r="G167"/>
      <c r="H167"/>
      <c r="J167" t="s">
        <v>588</v>
      </c>
      <c r="K167"/>
      <c r="L167"/>
      <c r="M167"/>
      <c r="N167"/>
      <c r="O167" t="e">
        <f t="shared" ca="1" si="25"/>
        <v>#VALUE!</v>
      </c>
      <c r="P167" s="23"/>
      <c r="Q167"/>
      <c r="R167" s="23" t="str">
        <f ca="1">_xll.BDH($J167,"Close",$E$2,$E$3,"BarType","T","Dir=V")</f>
        <v>#N/A Connection</v>
      </c>
      <c r="S167"/>
      <c r="T167" t="str">
        <f ca="1">IF(ISNUMBER(_xll.BDH($J167,"LAST_PRICE",Swap_Date,Swap_Date)),_xll.BDH($J167,"LAST_PRICE",Swap_Date,Swap_Date),U167)</f>
        <v>#N/A Connection</v>
      </c>
      <c r="U167" t="str">
        <f ca="1">_xll.BDP(J167,"PX_LAST")</f>
        <v>#N/A Connection</v>
      </c>
      <c r="X167" t="str">
        <f ca="1">_xll.BDP(J167,"PX_LAST")</f>
        <v>#N/A Connection</v>
      </c>
    </row>
    <row r="168" spans="1:24" x14ac:dyDescent="0.25">
      <c r="E168" s="25">
        <f ca="1">EDATE(E167,60)</f>
        <v>50875</v>
      </c>
      <c r="F168" t="e">
        <f t="shared" ca="1" si="26"/>
        <v>#VALUE!</v>
      </c>
      <c r="G168"/>
      <c r="H168"/>
      <c r="J168" t="s">
        <v>588</v>
      </c>
      <c r="K168"/>
      <c r="L168"/>
      <c r="M168"/>
      <c r="N168"/>
      <c r="O168" t="e">
        <f t="shared" ca="1" si="25"/>
        <v>#VALUE!</v>
      </c>
      <c r="P168" s="23"/>
      <c r="Q168"/>
      <c r="R168" s="23" t="str">
        <f ca="1">_xll.BDH($J168,"Close",$E$2,$E$3,"BarType","T","Dir=V")</f>
        <v>#N/A Connection</v>
      </c>
      <c r="S168"/>
      <c r="T168" t="str">
        <f ca="1">IF(ISNUMBER(_xll.BDH($J168,"LAST_PRICE",Swap_Date,Swap_Date)),_xll.BDH($J168,"LAST_PRICE",Swap_Date,Swap_Date),U168)</f>
        <v>#N/A Connection</v>
      </c>
      <c r="U168" t="str">
        <f ca="1">_xll.BDP(J168,"PX_LAST")</f>
        <v>#N/A Connection</v>
      </c>
      <c r="X168" t="str">
        <f ca="1">_xll.BDP(J168,"PX_LAST")</f>
        <v>#N/A Connection</v>
      </c>
    </row>
    <row r="169" spans="1:24" x14ac:dyDescent="0.25">
      <c r="E169" s="25">
        <f ca="1">EDATE(E168,60)</f>
        <v>52702</v>
      </c>
      <c r="F169" t="e">
        <f t="shared" ca="1" si="26"/>
        <v>#VALUE!</v>
      </c>
      <c r="G169"/>
      <c r="H169"/>
      <c r="J169" t="s">
        <v>588</v>
      </c>
      <c r="K169"/>
      <c r="L169"/>
      <c r="M169"/>
      <c r="N169"/>
      <c r="O169" t="e">
        <f t="shared" ca="1" si="25"/>
        <v>#VALUE!</v>
      </c>
      <c r="P169" s="23"/>
      <c r="Q169"/>
      <c r="R169" s="23" t="str">
        <f ca="1">_xll.BDH($J169,"Close",$E$2,$E$3,"BarType","T","Dir=V")</f>
        <v>#N/A Connection</v>
      </c>
      <c r="S169"/>
      <c r="T169" t="str">
        <f ca="1">IF(ISNUMBER(_xll.BDH($J169,"LAST_PRICE",Swap_Date,Swap_Date)),_xll.BDH($J169,"LAST_PRICE",Swap_Date,Swap_Date),U169)</f>
        <v>#N/A Connection</v>
      </c>
      <c r="U169" t="str">
        <f ca="1">_xll.BDP(J169,"PX_LAST")</f>
        <v>#N/A Connection</v>
      </c>
      <c r="X169" t="str">
        <f ca="1">_xll.BDP(J169,"PX_LAST")</f>
        <v>#N/A Connection</v>
      </c>
    </row>
    <row r="170" spans="1:24" x14ac:dyDescent="0.25">
      <c r="E170" s="25">
        <f ca="1">EDATE(E169,60)</f>
        <v>54528</v>
      </c>
      <c r="F170" t="e">
        <f ca="1">F169+(E170-$E$165)/($E$165-$E$160)*$L$154</f>
        <v>#VALUE!</v>
      </c>
      <c r="G170"/>
      <c r="H170"/>
      <c r="J170" t="s">
        <v>588</v>
      </c>
      <c r="K170"/>
      <c r="L170"/>
      <c r="M170"/>
      <c r="N170"/>
      <c r="O170" t="e">
        <f t="shared" ca="1" si="25"/>
        <v>#VALUE!</v>
      </c>
      <c r="P170" s="23"/>
      <c r="Q170"/>
      <c r="R170" s="23" t="str">
        <f ca="1">_xll.BDH($J170,"Close",$E$2,$E$3,"BarType","T","Dir=V")</f>
        <v>#N/A Connection</v>
      </c>
      <c r="S170"/>
      <c r="T170" t="str">
        <f ca="1">IF(ISNUMBER(_xll.BDH($J170,"LAST_PRICE",Swap_Date,Swap_Date)),_xll.BDH($J170,"LAST_PRICE",Swap_Date,Swap_Date),U170)</f>
        <v>#N/A Connection</v>
      </c>
      <c r="U170" t="str">
        <f ca="1">_xll.BDP(J170,"PX_LAST")</f>
        <v>#N/A Connection</v>
      </c>
      <c r="X170" t="str">
        <f ca="1">_xll.BDP(J170,"PX_LAST")</f>
        <v>#N/A Connection</v>
      </c>
    </row>
    <row r="171" spans="1:24" x14ac:dyDescent="0.25">
      <c r="E171" s="25">
        <f ca="1">EDATE(E170,120)</f>
        <v>58180</v>
      </c>
      <c r="F171" t="e">
        <f t="shared" ca="1" si="26"/>
        <v>#VALUE!</v>
      </c>
      <c r="G171"/>
      <c r="H171"/>
      <c r="J171" t="s">
        <v>588</v>
      </c>
      <c r="K171"/>
      <c r="L171"/>
      <c r="M171"/>
      <c r="N171"/>
      <c r="O171" t="e">
        <f t="shared" ca="1" si="25"/>
        <v>#VALUE!</v>
      </c>
      <c r="P171" s="23"/>
      <c r="Q171"/>
      <c r="R171" s="23" t="str">
        <f ca="1">_xll.BDH($J171,"Close",$E$2,$E$3,"BarType","T","Dir=V")</f>
        <v>#N/A Connection</v>
      </c>
      <c r="S171"/>
      <c r="T171" t="str">
        <f ca="1">IF(ISNUMBER(_xll.BDH($J171,"LAST_PRICE",Swap_Date,Swap_Date)),_xll.BDH($J171,"LAST_PRICE",Swap_Date,Swap_Date),U171)</f>
        <v>#N/A Connection</v>
      </c>
      <c r="U171" t="str">
        <f ca="1">_xll.BDP(J171,"PX_LAST")</f>
        <v>#N/A Connection</v>
      </c>
      <c r="X171" t="str">
        <f ca="1">_xll.BDP(J171,"PX_LAST")</f>
        <v>#N/A Connection</v>
      </c>
    </row>
    <row r="172" spans="1:24" x14ac:dyDescent="0.25">
      <c r="E172" s="25">
        <f ca="1">EDATE(E171,12)</f>
        <v>58546</v>
      </c>
      <c r="F172" t="e">
        <f t="shared" ca="1" si="26"/>
        <v>#VALUE!</v>
      </c>
      <c r="G172"/>
      <c r="H172"/>
      <c r="J172" t="s">
        <v>588</v>
      </c>
      <c r="K172"/>
      <c r="L172"/>
      <c r="M172"/>
      <c r="N172"/>
      <c r="O172" t="e">
        <f t="shared" ca="1" si="25"/>
        <v>#VALUE!</v>
      </c>
      <c r="P172" s="23"/>
      <c r="Q172"/>
      <c r="R172" s="23" t="str">
        <f ca="1">_xll.BDH($J172,"Close",$E$2,$E$3,"BarType","T","Dir=V")</f>
        <v>#N/A Connection</v>
      </c>
      <c r="S172"/>
      <c r="T172" t="str">
        <f ca="1">IF(ISNUMBER(_xll.BDH($J172,"LAST_PRICE",Swap_Date,Swap_Date)),_xll.BDH($J172,"LAST_PRICE",Swap_Date,Swap_Date),U172)</f>
        <v>#N/A Connection</v>
      </c>
      <c r="U172" t="str">
        <f ca="1">_xll.BDP(J172,"PX_LAST")</f>
        <v>#N/A Connection</v>
      </c>
      <c r="X172" t="str">
        <f ca="1">_xll.BDP(J172,"PX_LAST")</f>
        <v>#N/A Connection</v>
      </c>
    </row>
    <row r="179" spans="1:10" x14ac:dyDescent="0.25">
      <c r="A179" s="18" t="s">
        <v>417</v>
      </c>
      <c r="B179" s="18">
        <v>6</v>
      </c>
      <c r="D179" s="18">
        <v>0</v>
      </c>
      <c r="F179" s="18">
        <v>100</v>
      </c>
    </row>
    <row r="180" spans="1:10" x14ac:dyDescent="0.25">
      <c r="A180" s="18" t="s">
        <v>28</v>
      </c>
      <c r="B180" s="18" t="s">
        <v>29</v>
      </c>
      <c r="C180" s="18" t="s">
        <v>30</v>
      </c>
      <c r="D180" s="18" t="s">
        <v>31</v>
      </c>
      <c r="E180" s="18" t="s">
        <v>32</v>
      </c>
      <c r="F180" s="18" t="s">
        <v>33</v>
      </c>
    </row>
    <row r="181" spans="1:10" x14ac:dyDescent="0.25">
      <c r="A181" s="25">
        <f ca="1">WORKDAY(Swap_Date,1)</f>
        <v>43571</v>
      </c>
      <c r="B181" s="18" t="str">
        <f ca="1">IF(ISNUMBER(_xll.BDH(H181,"PX_LAST",Cash_Date,Cash_Date)),_xll.BDH(H181,"PX_LAST",Cash_Date,Cash_Date),B182)</f>
        <v>#N/A Connection</v>
      </c>
      <c r="C181" s="25">
        <f ca="1">nextimm(Swap_Date)</f>
        <v>43635</v>
      </c>
      <c r="D181" s="18" t="s">
        <v>197</v>
      </c>
      <c r="E181" s="25">
        <f ca="1">EDATE(Swap_Date,24)</f>
        <v>44301</v>
      </c>
      <c r="F181" s="18" t="str">
        <f ca="1">_xll.BDH(J181,"PX_LAST",Swap_Date,Swap_Date)</f>
        <v>#N/A Connection</v>
      </c>
      <c r="H181" s="18" t="s">
        <v>418</v>
      </c>
      <c r="J181" s="18" t="s">
        <v>419</v>
      </c>
    </row>
    <row r="182" spans="1:10" x14ac:dyDescent="0.25">
      <c r="A182" s="25">
        <f ca="1">EDATE(Swap_Date,1)</f>
        <v>43600</v>
      </c>
      <c r="B182" s="18" t="str">
        <f ca="1">_xll.BDH(H182,"PX_LAST",Cash_Date,Cash_Date)</f>
        <v>#N/A Connection</v>
      </c>
      <c r="C182" s="25">
        <f ca="1">nextimm(C181+1)</f>
        <v>43726</v>
      </c>
      <c r="D182" s="18" t="s">
        <v>197</v>
      </c>
      <c r="E182" s="25">
        <f ca="1">EDATE(E181,12)</f>
        <v>44666</v>
      </c>
      <c r="F182" s="18" t="str">
        <f ca="1">_xll.BDH(J182,"PX_LAST",Swap_Date,Swap_Date)</f>
        <v>#N/A Connection</v>
      </c>
      <c r="H182" s="18" t="s">
        <v>436</v>
      </c>
      <c r="J182" s="18" t="s">
        <v>420</v>
      </c>
    </row>
    <row r="183" spans="1:10" x14ac:dyDescent="0.25">
      <c r="A183" s="25">
        <f ca="1">EDATE(Swap_Date,2)</f>
        <v>43631</v>
      </c>
      <c r="B183" s="18" t="e">
        <f ca="1">0.5*(B182+B184)</f>
        <v>#VALUE!</v>
      </c>
      <c r="C183" s="25">
        <f t="shared" ref="C183:C188" ca="1" si="27">nextimm(C182+1)</f>
        <v>43817</v>
      </c>
      <c r="D183" s="18" t="s">
        <v>197</v>
      </c>
      <c r="E183" s="25">
        <f t="shared" ref="E183:E196" ca="1" si="28">EDATE(E182,12)</f>
        <v>45031</v>
      </c>
      <c r="F183" s="18" t="str">
        <f ca="1">_xll.BDH(J183,"PX_LAST",Swap_Date,Swap_Date)</f>
        <v>#N/A Connection</v>
      </c>
      <c r="J183" s="18" t="s">
        <v>421</v>
      </c>
    </row>
    <row r="184" spans="1:10" x14ac:dyDescent="0.25">
      <c r="A184" s="25">
        <f ca="1">EDATE(Swap_Date,3)</f>
        <v>43661</v>
      </c>
      <c r="B184" s="18" t="str">
        <f ca="1">_xll.BDH(H184,"PX_LAST",Cash_Date,Cash_Date)</f>
        <v>#N/A Connection</v>
      </c>
      <c r="C184" s="25">
        <f t="shared" ca="1" si="27"/>
        <v>43908</v>
      </c>
      <c r="D184" s="18" t="s">
        <v>197</v>
      </c>
      <c r="E184" s="25">
        <f t="shared" ca="1" si="28"/>
        <v>45397</v>
      </c>
      <c r="F184" s="18" t="str">
        <f ca="1">_xll.BDH(J184,"PX_LAST",Swap_Date,Swap_Date)</f>
        <v>#N/A Connection</v>
      </c>
      <c r="H184" s="18" t="s">
        <v>437</v>
      </c>
      <c r="J184" s="18" t="s">
        <v>422</v>
      </c>
    </row>
    <row r="185" spans="1:10" x14ac:dyDescent="0.25">
      <c r="A185" s="25">
        <f ca="1">EDATE(Swap_Date,6)</f>
        <v>43753</v>
      </c>
      <c r="B185" s="18" t="str">
        <f ca="1">_xll.BDH(H185,"PX_LAST",Cash_Date,Cash_Date)</f>
        <v>#N/A Connection</v>
      </c>
      <c r="C185" s="25">
        <f t="shared" ca="1" si="27"/>
        <v>43999</v>
      </c>
      <c r="D185" s="18" t="s">
        <v>197</v>
      </c>
      <c r="E185" s="25">
        <f t="shared" ca="1" si="28"/>
        <v>45762</v>
      </c>
      <c r="F185" s="18" t="str">
        <f ca="1">_xll.BDH(J185,"PX_LAST",Swap_Date,Swap_Date)</f>
        <v>#N/A Connection</v>
      </c>
      <c r="H185" s="18" t="s">
        <v>438</v>
      </c>
      <c r="J185" s="18" t="s">
        <v>423</v>
      </c>
    </row>
    <row r="186" spans="1:10" x14ac:dyDescent="0.25">
      <c r="A186" s="25">
        <f ca="1">EDATE(Swap_Date,12)</f>
        <v>43936</v>
      </c>
      <c r="B186" s="18" t="str">
        <f ca="1">_xll.BDH(H186,"PX_LAST",Cash_Date,Cash_Date)</f>
        <v>#N/A Connection</v>
      </c>
      <c r="C186" s="25">
        <f t="shared" ca="1" si="27"/>
        <v>44090</v>
      </c>
      <c r="D186" s="18" t="s">
        <v>197</v>
      </c>
      <c r="E186" s="25">
        <f t="shared" ca="1" si="28"/>
        <v>46127</v>
      </c>
      <c r="F186" s="18" t="str">
        <f ca="1">_xll.BDH(J186,"PX_LAST",Swap_Date,Swap_Date)</f>
        <v>#N/A Connection</v>
      </c>
      <c r="H186" s="18" t="s">
        <v>439</v>
      </c>
      <c r="J186" s="18" t="s">
        <v>424</v>
      </c>
    </row>
    <row r="187" spans="1:10" x14ac:dyDescent="0.25">
      <c r="A187" s="27">
        <f ca="1">EDATE(Swap_Date,18)</f>
        <v>44119</v>
      </c>
      <c r="B187" s="18" t="str">
        <f ca="1">_xll.BDH(H187,"PX_LAST",Cash_Date,Cash_Date)</f>
        <v>#N/A Connection</v>
      </c>
      <c r="C187" s="25">
        <f t="shared" ca="1" si="27"/>
        <v>44181</v>
      </c>
      <c r="D187" s="18" t="s">
        <v>197</v>
      </c>
      <c r="E187" s="25">
        <f t="shared" ca="1" si="28"/>
        <v>46492</v>
      </c>
      <c r="F187" s="18" t="str">
        <f ca="1">_xll.BDH(J187,"PX_LAST",Swap_Date,Swap_Date)</f>
        <v>#N/A Connection</v>
      </c>
      <c r="H187" s="18" t="s">
        <v>440</v>
      </c>
      <c r="J187" s="18" t="s">
        <v>425</v>
      </c>
    </row>
    <row r="188" spans="1:10" x14ac:dyDescent="0.25">
      <c r="A188" s="27">
        <f ca="1">EDATE(Swap_Date,24)</f>
        <v>44301</v>
      </c>
      <c r="B188" s="28" t="e">
        <f ca="1">B187+(B187-B186)</f>
        <v>#VALUE!</v>
      </c>
      <c r="C188" s="25">
        <f t="shared" ca="1" si="27"/>
        <v>44272</v>
      </c>
      <c r="D188" s="18" t="s">
        <v>197</v>
      </c>
      <c r="E188" s="25">
        <f t="shared" ca="1" si="28"/>
        <v>46858</v>
      </c>
      <c r="F188" s="18" t="str">
        <f ca="1">_xll.BDH(J188,"PX_LAST",Swap_Date,Swap_Date)</f>
        <v>#N/A Connection</v>
      </c>
      <c r="J188" s="18" t="s">
        <v>426</v>
      </c>
    </row>
    <row r="189" spans="1:10" x14ac:dyDescent="0.25">
      <c r="E189" s="25">
        <f t="shared" ca="1" si="28"/>
        <v>47223</v>
      </c>
      <c r="F189" s="18" t="str">
        <f ca="1">_xll.BDH(J189,"PX_LAST",Swap_Date,Swap_Date)</f>
        <v>#N/A Connection</v>
      </c>
      <c r="J189" s="18" t="s">
        <v>427</v>
      </c>
    </row>
    <row r="190" spans="1:10" x14ac:dyDescent="0.25">
      <c r="E190" s="25">
        <f t="shared" ca="1" si="28"/>
        <v>47588</v>
      </c>
      <c r="F190" s="18" t="e">
        <f ca="1">0.5*(F189+F191)</f>
        <v>#VALUE!</v>
      </c>
      <c r="J190" s="18" t="s">
        <v>428</v>
      </c>
    </row>
    <row r="191" spans="1:10" x14ac:dyDescent="0.25">
      <c r="E191" s="25">
        <f t="shared" ca="1" si="28"/>
        <v>47953</v>
      </c>
      <c r="F191" s="18" t="str">
        <f ca="1">_xll.BDH(J191,"PX_LAST",Swap_Date,Swap_Date)</f>
        <v>#N/A Connection</v>
      </c>
      <c r="J191" s="18" t="s">
        <v>429</v>
      </c>
    </row>
    <row r="192" spans="1:10" x14ac:dyDescent="0.25">
      <c r="E192" s="25">
        <f t="shared" ca="1" si="28"/>
        <v>48319</v>
      </c>
      <c r="F192" s="18" t="e">
        <f ca="1">1/3*(F194-F191)+F191</f>
        <v>#VALUE!</v>
      </c>
      <c r="J192" s="18" t="s">
        <v>430</v>
      </c>
    </row>
    <row r="193" spans="5:10" x14ac:dyDescent="0.25">
      <c r="E193" s="25">
        <f t="shared" ca="1" si="28"/>
        <v>48684</v>
      </c>
      <c r="F193" s="18" t="e">
        <f ca="1">2/3*(F194-F191)+F191</f>
        <v>#VALUE!</v>
      </c>
      <c r="J193" s="18" t="s">
        <v>431</v>
      </c>
    </row>
    <row r="194" spans="5:10" x14ac:dyDescent="0.25">
      <c r="E194" s="25">
        <f t="shared" ca="1" si="28"/>
        <v>49049</v>
      </c>
      <c r="F194" s="18" t="str">
        <f ca="1">_xll.BDH(J194,"PX_LAST",Swap_Date,Swap_Date)</f>
        <v>#N/A Connection</v>
      </c>
      <c r="J194" s="18" t="s">
        <v>432</v>
      </c>
    </row>
    <row r="195" spans="5:10" x14ac:dyDescent="0.25">
      <c r="E195" s="25">
        <f t="shared" ca="1" si="28"/>
        <v>49414</v>
      </c>
      <c r="F195" s="18" t="e">
        <f ca="1">1/5*(F197-F194)+F194</f>
        <v>#VALUE!</v>
      </c>
      <c r="J195" s="18" t="s">
        <v>433</v>
      </c>
    </row>
    <row r="196" spans="5:10" x14ac:dyDescent="0.25">
      <c r="E196" s="25">
        <f t="shared" ca="1" si="28"/>
        <v>49780</v>
      </c>
      <c r="F196" s="18" t="e">
        <f ca="1">2/5*(F197-F194)+F194</f>
        <v>#VALUE!</v>
      </c>
      <c r="J196" s="18" t="s">
        <v>434</v>
      </c>
    </row>
    <row r="197" spans="5:10" x14ac:dyDescent="0.25">
      <c r="E197" s="25">
        <f ca="1">EDATE(E196,36)</f>
        <v>50875</v>
      </c>
      <c r="F197" s="18" t="str">
        <f ca="1">_xll.BDH(J197,"PX_LAST",Swap_Date,Swap_Date)</f>
        <v>#N/A Connection</v>
      </c>
      <c r="J197" s="18" t="s">
        <v>435</v>
      </c>
    </row>
    <row r="198" spans="5:10" x14ac:dyDescent="0.25">
      <c r="E198" s="25">
        <f ca="1">EDATE(E197,60)</f>
        <v>52702</v>
      </c>
      <c r="F198" s="18" t="str">
        <f ca="1">F197</f>
        <v>#N/A Connection</v>
      </c>
    </row>
    <row r="199" spans="5:10" x14ac:dyDescent="0.25">
      <c r="E199" s="25">
        <f ca="1">EDATE(E198,60)</f>
        <v>54528</v>
      </c>
      <c r="F199" s="18" t="str">
        <f t="shared" ref="F199:F201" ca="1" si="29">F198</f>
        <v>#N/A Connection</v>
      </c>
    </row>
    <row r="200" spans="5:10" x14ac:dyDescent="0.25">
      <c r="E200" s="25">
        <f ca="1">EDATE(E199,120)</f>
        <v>58180</v>
      </c>
      <c r="F200" s="18" t="str">
        <f t="shared" ca="1" si="29"/>
        <v>#N/A Connection</v>
      </c>
    </row>
    <row r="201" spans="5:10" x14ac:dyDescent="0.25">
      <c r="E201" s="25">
        <f ca="1">EDATE(E200,12)</f>
        <v>58546</v>
      </c>
      <c r="F201" s="18" t="str">
        <f t="shared" ca="1" si="29"/>
        <v>#N/A Connection</v>
      </c>
    </row>
  </sheetData>
  <mergeCells count="3">
    <mergeCell ref="A1:B1"/>
    <mergeCell ref="A2:B2"/>
    <mergeCell ref="A3:B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42AB6-2B76-40A4-9C06-C0C737F1B139}">
  <sheetPr codeName="Sheet32"/>
  <dimension ref="A1:P202"/>
  <sheetViews>
    <sheetView zoomScale="70" zoomScaleNormal="70" workbookViewId="0">
      <selection activeCell="L13" sqref="L13"/>
    </sheetView>
  </sheetViews>
  <sheetFormatPr defaultRowHeight="15" x14ac:dyDescent="0.25"/>
  <cols>
    <col min="1" max="1" width="9.7109375" customWidth="1"/>
    <col min="3" max="3" width="12.7109375" customWidth="1"/>
    <col min="4" max="4" width="10.28515625" customWidth="1"/>
    <col min="5" max="5" width="9.5703125" bestFit="1" customWidth="1"/>
    <col min="6" max="6" width="10.85546875" customWidth="1"/>
    <col min="9" max="9" width="11.7109375" customWidth="1"/>
    <col min="11" max="11" width="14.28515625" customWidth="1"/>
  </cols>
  <sheetData>
    <row r="1" spans="1:12" x14ac:dyDescent="0.25">
      <c r="A1" s="124" t="s">
        <v>60</v>
      </c>
      <c r="B1" s="124"/>
      <c r="C1" s="9"/>
    </row>
    <row r="2" spans="1:12" x14ac:dyDescent="0.25">
      <c r="A2" s="124" t="s">
        <v>61</v>
      </c>
      <c r="B2" s="124"/>
      <c r="C2" s="9"/>
    </row>
    <row r="3" spans="1:12" x14ac:dyDescent="0.25">
      <c r="A3" s="124" t="s">
        <v>62</v>
      </c>
      <c r="B3" s="124"/>
      <c r="C3" s="3"/>
      <c r="E3" s="2"/>
      <c r="F3" s="3"/>
      <c r="I3" s="3"/>
    </row>
    <row r="4" spans="1:12" x14ac:dyDescent="0.25">
      <c r="A4" t="s">
        <v>12</v>
      </c>
      <c r="B4">
        <v>6</v>
      </c>
      <c r="D4">
        <v>7</v>
      </c>
      <c r="F4">
        <v>100</v>
      </c>
      <c r="H4" t="s">
        <v>34</v>
      </c>
      <c r="I4" t="s">
        <v>656</v>
      </c>
    </row>
    <row r="5" spans="1:12" x14ac:dyDescent="0.25">
      <c r="A5" t="s">
        <v>28</v>
      </c>
      <c r="B5" t="s">
        <v>29</v>
      </c>
      <c r="C5" t="s">
        <v>30</v>
      </c>
      <c r="D5" t="s">
        <v>31</v>
      </c>
      <c r="E5" t="s">
        <v>32</v>
      </c>
      <c r="F5" t="s">
        <v>33</v>
      </c>
      <c r="I5" t="s">
        <v>650</v>
      </c>
    </row>
    <row r="6" spans="1:12" x14ac:dyDescent="0.25">
      <c r="A6" s="1">
        <f ca="1">WORKDAY(Swap_Date,1)</f>
        <v>43571</v>
      </c>
      <c r="B6" t="str">
        <f ca="1">_xll.BDP(H6,"PX_LAST")</f>
        <v>#N/A Connection</v>
      </c>
      <c r="C6" s="1">
        <f ca="1">nextimm(Swap_Date)</f>
        <v>43635</v>
      </c>
      <c r="D6" t="str">
        <f ca="1">IF(ISNUMBER(_xll.BDP(I6,"PX_LAST")),100-_xll.BDP(I6,"PX_LAST"),B9)</f>
        <v>#N/A Connection</v>
      </c>
      <c r="E6" s="1">
        <f ca="1">EDATE(Swap_Date,24)</f>
        <v>44301</v>
      </c>
      <c r="F6" t="str">
        <f ca="1">_xll.BDP(J6,"PX_LAST")</f>
        <v>#N/A Connection</v>
      </c>
      <c r="H6" t="s">
        <v>35</v>
      </c>
      <c r="I6" t="str">
        <f ca="1">$I$5&amp;$L6&amp;" "&amp;$I$4</f>
        <v>EDM9 Comdty</v>
      </c>
      <c r="J6" t="s">
        <v>41</v>
      </c>
      <c r="L6" t="str">
        <f ca="1">get_fut_code(C6)</f>
        <v>M9</v>
      </c>
    </row>
    <row r="7" spans="1:12" x14ac:dyDescent="0.25">
      <c r="A7" s="1">
        <f ca="1">EDATE(Swap_Date,1)</f>
        <v>43600</v>
      </c>
      <c r="B7" t="str">
        <f ca="1">_xll.BDP(H7,"PX_LAST")</f>
        <v>#N/A Connection</v>
      </c>
      <c r="C7" s="1">
        <f ca="1">nextimm(C6+1)</f>
        <v>43726</v>
      </c>
      <c r="D7" t="e">
        <f ca="1">100-_xll.BDP(I7,"PX_LAST")</f>
        <v>#VALUE!</v>
      </c>
      <c r="E7" s="1">
        <f ca="1">EDATE(E6,12)</f>
        <v>44666</v>
      </c>
      <c r="F7" t="str">
        <f ca="1">_xll.BDP(J7,"PX_LAST")</f>
        <v>#N/A Connection</v>
      </c>
      <c r="H7" t="s">
        <v>36</v>
      </c>
      <c r="I7" t="str">
        <f t="shared" ref="I7:I13" ca="1" si="0">$I$5&amp;$L7&amp;" "&amp;$I$4</f>
        <v>EDU9 Comdty</v>
      </c>
      <c r="J7" t="s">
        <v>42</v>
      </c>
      <c r="L7" t="str">
        <f t="shared" ref="L7:L13" ca="1" si="1">get_fut_code(C7)</f>
        <v>U9</v>
      </c>
    </row>
    <row r="8" spans="1:12" x14ac:dyDescent="0.25">
      <c r="A8" s="1">
        <f ca="1">EDATE(Swap_Date,2)</f>
        <v>43631</v>
      </c>
      <c r="B8" t="str">
        <f ca="1">_xll.BDP(H8,"PX_LAST")</f>
        <v>#N/A Connection</v>
      </c>
      <c r="C8" s="1">
        <f t="shared" ref="C8:C13" ca="1" si="2">nextimm(C7+1)</f>
        <v>43817</v>
      </c>
      <c r="D8" t="e">
        <f ca="1">100-_xll.BDP(I8,"PX_LAST")</f>
        <v>#VALUE!</v>
      </c>
      <c r="E8" s="1">
        <f t="shared" ref="E8:E21" ca="1" si="3">EDATE(E7,12)</f>
        <v>45031</v>
      </c>
      <c r="F8" t="str">
        <f ca="1">_xll.BDP(J8,"PX_LAST")</f>
        <v>#N/A Connection</v>
      </c>
      <c r="H8" t="s">
        <v>37</v>
      </c>
      <c r="I8" t="str">
        <f t="shared" ca="1" si="0"/>
        <v>EDZ9 Comdty</v>
      </c>
      <c r="J8" t="s">
        <v>43</v>
      </c>
      <c r="L8" t="str">
        <f t="shared" ca="1" si="1"/>
        <v>Z9</v>
      </c>
    </row>
    <row r="9" spans="1:12" x14ac:dyDescent="0.25">
      <c r="A9" s="1">
        <f ca="1">EDATE(Swap_Date,3)</f>
        <v>43661</v>
      </c>
      <c r="B9" t="str">
        <f ca="1">_xll.BDP(H9,"PX_LAST")</f>
        <v>#N/A Connection</v>
      </c>
      <c r="C9" s="1">
        <f t="shared" ca="1" si="2"/>
        <v>43908</v>
      </c>
      <c r="D9" t="e">
        <f ca="1">100-_xll.BDP(I9,"PX_LAST")</f>
        <v>#VALUE!</v>
      </c>
      <c r="E9" s="1">
        <f t="shared" ca="1" si="3"/>
        <v>45397</v>
      </c>
      <c r="F9" t="str">
        <f ca="1">_xll.BDP(J9,"PX_LAST")</f>
        <v>#N/A Connection</v>
      </c>
      <c r="H9" t="s">
        <v>38</v>
      </c>
      <c r="I9" t="str">
        <f t="shared" ca="1" si="0"/>
        <v>EDH0 Comdty</v>
      </c>
      <c r="J9" t="s">
        <v>44</v>
      </c>
      <c r="L9" t="str">
        <f t="shared" ca="1" si="1"/>
        <v>H0</v>
      </c>
    </row>
    <row r="10" spans="1:12" x14ac:dyDescent="0.25">
      <c r="A10" s="1">
        <f ca="1">EDATE(Swap_Date,6)</f>
        <v>43753</v>
      </c>
      <c r="B10" t="str">
        <f ca="1">_xll.BDP(H10,"PX_LAST")</f>
        <v>#N/A Connection</v>
      </c>
      <c r="C10" s="1">
        <f t="shared" ca="1" si="2"/>
        <v>43999</v>
      </c>
      <c r="D10" t="e">
        <f ca="1">100-_xll.BDP(I10,"PX_LAST")</f>
        <v>#VALUE!</v>
      </c>
      <c r="E10" s="1">
        <f t="shared" ca="1" si="3"/>
        <v>45762</v>
      </c>
      <c r="F10" t="str">
        <f ca="1">_xll.BDP(J10,"PX_LAST")</f>
        <v>#N/A Connection</v>
      </c>
      <c r="H10" t="s">
        <v>39</v>
      </c>
      <c r="I10" t="str">
        <f t="shared" ca="1" si="0"/>
        <v>EDM0 Comdty</v>
      </c>
      <c r="J10" t="s">
        <v>45</v>
      </c>
      <c r="L10" t="str">
        <f t="shared" ca="1" si="1"/>
        <v>M0</v>
      </c>
    </row>
    <row r="11" spans="1:12" x14ac:dyDescent="0.25">
      <c r="A11" s="1">
        <f ca="1">EDATE(Swap_Date,12)</f>
        <v>43936</v>
      </c>
      <c r="B11" t="str">
        <f ca="1">_xll.BDP(H11,"PX_LAST")</f>
        <v>#N/A Connection</v>
      </c>
      <c r="C11" s="1">
        <f t="shared" ca="1" si="2"/>
        <v>44090</v>
      </c>
      <c r="D11" t="e">
        <f ca="1">100-_xll.BDP(I11,"PX_LAST")</f>
        <v>#VALUE!</v>
      </c>
      <c r="E11" s="1">
        <f t="shared" ca="1" si="3"/>
        <v>46127</v>
      </c>
      <c r="F11" t="str">
        <f ca="1">_xll.BDP(J11,"PX_LAST")</f>
        <v>#N/A Connection</v>
      </c>
      <c r="H11" t="s">
        <v>40</v>
      </c>
      <c r="I11" t="str">
        <f t="shared" ca="1" si="0"/>
        <v>EDU0 Comdty</v>
      </c>
      <c r="J11" t="s">
        <v>46</v>
      </c>
      <c r="L11" t="str">
        <f t="shared" ca="1" si="1"/>
        <v>U0</v>
      </c>
    </row>
    <row r="12" spans="1:12" x14ac:dyDescent="0.25">
      <c r="C12" s="1">
        <f t="shared" ca="1" si="2"/>
        <v>44181</v>
      </c>
      <c r="D12" t="e">
        <f ca="1">100-_xll.BDP(I12,"PX_LAST")</f>
        <v>#VALUE!</v>
      </c>
      <c r="E12" s="1">
        <f t="shared" ca="1" si="3"/>
        <v>46492</v>
      </c>
      <c r="F12" t="str">
        <f ca="1">_xll.BDP(J12,"PX_LAST")</f>
        <v>#N/A Connection</v>
      </c>
      <c r="I12" t="str">
        <f t="shared" ca="1" si="0"/>
        <v>EDZ0 Comdty</v>
      </c>
      <c r="J12" t="s">
        <v>47</v>
      </c>
      <c r="L12" t="str">
        <f t="shared" ca="1" si="1"/>
        <v>Z0</v>
      </c>
    </row>
    <row r="13" spans="1:12" x14ac:dyDescent="0.25">
      <c r="C13" s="1">
        <f t="shared" ca="1" si="2"/>
        <v>44272</v>
      </c>
      <c r="D13" t="e">
        <f ca="1">100-_xll.BDP(I13,"PX_LAST")</f>
        <v>#VALUE!</v>
      </c>
      <c r="E13" s="1">
        <f t="shared" ca="1" si="3"/>
        <v>46858</v>
      </c>
      <c r="F13" t="str">
        <f ca="1">_xll.BDP(J13,"PX_LAST")</f>
        <v>#N/A Connection</v>
      </c>
      <c r="I13" t="str">
        <f t="shared" ca="1" si="0"/>
        <v>EDH1 Comdty</v>
      </c>
      <c r="J13" t="s">
        <v>48</v>
      </c>
      <c r="L13" t="str">
        <f t="shared" ca="1" si="1"/>
        <v>H1</v>
      </c>
    </row>
    <row r="14" spans="1:12" x14ac:dyDescent="0.25">
      <c r="E14" s="1">
        <f t="shared" ca="1" si="3"/>
        <v>47223</v>
      </c>
      <c r="F14" t="str">
        <f ca="1">_xll.BDP(J14,"PX_LAST")</f>
        <v>#N/A Connection</v>
      </c>
      <c r="J14" t="s">
        <v>25</v>
      </c>
    </row>
    <row r="15" spans="1:12" x14ac:dyDescent="0.25">
      <c r="E15" s="1">
        <f t="shared" ca="1" si="3"/>
        <v>47588</v>
      </c>
      <c r="F15" t="str">
        <f ca="1">_xll.BDP(J15,"PX_LAST")</f>
        <v>#N/A Connection</v>
      </c>
      <c r="J15" t="s">
        <v>49</v>
      </c>
    </row>
    <row r="16" spans="1:12" x14ac:dyDescent="0.25">
      <c r="E16" s="1">
        <f t="shared" ca="1" si="3"/>
        <v>47953</v>
      </c>
      <c r="F16" t="str">
        <f ca="1">_xll.BDP(J16,"PX_LAST")</f>
        <v>#N/A Connection</v>
      </c>
      <c r="J16" t="s">
        <v>50</v>
      </c>
    </row>
    <row r="17" spans="1:10" x14ac:dyDescent="0.25">
      <c r="E17" s="1">
        <f t="shared" ca="1" si="3"/>
        <v>48319</v>
      </c>
      <c r="F17" t="str">
        <f ca="1">_xll.BDP(J17,"PX_LAST")</f>
        <v>#N/A Connection</v>
      </c>
      <c r="J17" t="s">
        <v>51</v>
      </c>
    </row>
    <row r="18" spans="1:10" x14ac:dyDescent="0.25">
      <c r="E18" s="1">
        <f t="shared" ca="1" si="3"/>
        <v>48684</v>
      </c>
      <c r="F18" t="str">
        <f ca="1">_xll.BDP(J18,"PX_LAST")</f>
        <v>#N/A Connection</v>
      </c>
      <c r="J18" t="s">
        <v>52</v>
      </c>
    </row>
    <row r="19" spans="1:10" x14ac:dyDescent="0.25">
      <c r="E19" s="1">
        <f t="shared" ca="1" si="3"/>
        <v>49049</v>
      </c>
      <c r="F19" t="str">
        <f ca="1">_xll.BDP(J19,"PX_LAST")</f>
        <v>#N/A Connection</v>
      </c>
      <c r="J19" t="s">
        <v>53</v>
      </c>
    </row>
    <row r="20" spans="1:10" x14ac:dyDescent="0.25">
      <c r="E20" s="1">
        <f t="shared" ca="1" si="3"/>
        <v>49414</v>
      </c>
      <c r="F20" t="str">
        <f ca="1">_xll.BDP(J20,"PX_LAST")</f>
        <v>#N/A Connection</v>
      </c>
      <c r="J20" t="s">
        <v>54</v>
      </c>
    </row>
    <row r="21" spans="1:10" x14ac:dyDescent="0.25">
      <c r="E21" s="1">
        <f t="shared" ca="1" si="3"/>
        <v>49780</v>
      </c>
      <c r="F21" t="str">
        <f ca="1">_xll.BDP(J21,"PX_LAST")</f>
        <v>#N/A Connection</v>
      </c>
      <c r="J21" t="s">
        <v>55</v>
      </c>
    </row>
    <row r="22" spans="1:10" x14ac:dyDescent="0.25">
      <c r="E22" s="1">
        <f ca="1">EDATE(E21,36)</f>
        <v>50875</v>
      </c>
      <c r="F22" t="str">
        <f ca="1">_xll.BDP(J22,"PX_LAST")</f>
        <v>#N/A Connection</v>
      </c>
      <c r="J22" t="s">
        <v>56</v>
      </c>
    </row>
    <row r="23" spans="1:10" x14ac:dyDescent="0.25">
      <c r="E23" s="1">
        <f ca="1">EDATE(E22,60)</f>
        <v>52702</v>
      </c>
      <c r="F23" t="str">
        <f ca="1">_xll.BDP(J23,"PX_LAST")</f>
        <v>#N/A Connection</v>
      </c>
      <c r="J23" t="s">
        <v>57</v>
      </c>
    </row>
    <row r="24" spans="1:10" x14ac:dyDescent="0.25">
      <c r="E24" s="1">
        <f ca="1">EDATE(E23,60)</f>
        <v>54528</v>
      </c>
      <c r="F24" t="str">
        <f ca="1">_xll.BDP(J24,"PX_LAST")</f>
        <v>#N/A Connection</v>
      </c>
      <c r="J24" t="s">
        <v>58</v>
      </c>
    </row>
    <row r="25" spans="1:10" x14ac:dyDescent="0.25">
      <c r="E25" s="1">
        <f ca="1">EDATE(E24,120)</f>
        <v>58180</v>
      </c>
      <c r="F25" t="str">
        <f ca="1">_xll.BDP(J25,"PX_LAST")</f>
        <v>#N/A Connection</v>
      </c>
      <c r="J25" t="s">
        <v>59</v>
      </c>
    </row>
    <row r="26" spans="1:10" x14ac:dyDescent="0.25">
      <c r="E26" s="1">
        <f ca="1">EDATE(E25,12)</f>
        <v>58546</v>
      </c>
      <c r="F26" t="str">
        <f ca="1">F25</f>
        <v>#N/A Connection</v>
      </c>
    </row>
    <row r="29" spans="1:10" x14ac:dyDescent="0.25">
      <c r="A29" t="s">
        <v>13</v>
      </c>
      <c r="B29">
        <v>6</v>
      </c>
      <c r="D29">
        <v>7</v>
      </c>
      <c r="F29">
        <v>100</v>
      </c>
    </row>
    <row r="30" spans="1:10" x14ac:dyDescent="0.25">
      <c r="A30" t="s">
        <v>28</v>
      </c>
      <c r="B30" t="s">
        <v>29</v>
      </c>
      <c r="C30" t="s">
        <v>30</v>
      </c>
      <c r="D30" t="s">
        <v>31</v>
      </c>
      <c r="E30" t="s">
        <v>32</v>
      </c>
      <c r="F30" t="s">
        <v>33</v>
      </c>
      <c r="I30" t="s">
        <v>651</v>
      </c>
    </row>
    <row r="31" spans="1:10" x14ac:dyDescent="0.25">
      <c r="A31" s="1">
        <f ca="1">WORKDAY(Swap_Date,1)</f>
        <v>43571</v>
      </c>
      <c r="B31" t="str">
        <f ca="1">_xll.BDP(H31,"PX_LAST")</f>
        <v>#N/A Connection</v>
      </c>
      <c r="C31" s="1">
        <f ca="1">nextimm(Swap_Date)</f>
        <v>43635</v>
      </c>
      <c r="D31" t="str">
        <f ca="1">IF(ISNUMBER(_xll.BDP(I31,"PX_LAST")),100-_xll.BDP(I31,"PX_LAST"),B34)</f>
        <v>#N/A Connection</v>
      </c>
      <c r="E31" s="1">
        <f ca="1">EDATE(Swap_Date,24)</f>
        <v>44301</v>
      </c>
      <c r="F31" t="str">
        <f ca="1">_xll.BDP(J31,"PX_LAST")</f>
        <v>#N/A Connection</v>
      </c>
      <c r="H31" t="s">
        <v>6</v>
      </c>
      <c r="I31" t="str">
        <f ca="1">$I$30&amp;$L6&amp;" "&amp;$I$4</f>
        <v>ERM9 Comdty</v>
      </c>
      <c r="J31" t="s">
        <v>68</v>
      </c>
    </row>
    <row r="32" spans="1:10" x14ac:dyDescent="0.25">
      <c r="A32" s="1">
        <f ca="1">EDATE(Swap_Date,1)</f>
        <v>43600</v>
      </c>
      <c r="B32" t="str">
        <f ca="1">_xll.BDP(H32,"PX_LAST")</f>
        <v>#N/A Connection</v>
      </c>
      <c r="C32" s="1">
        <f ca="1">nextimm(C31+1)</f>
        <v>43726</v>
      </c>
      <c r="D32" t="e">
        <f ca="1">IFERROR(100-_xll.BDP(I32,"PX_LAST"),0.5*(D31+D33))</f>
        <v>#VALUE!</v>
      </c>
      <c r="E32" s="1">
        <f ca="1">EDATE(E31,12)</f>
        <v>44666</v>
      </c>
      <c r="F32" t="str">
        <f ca="1">_xll.BDP(J32,"PX_LAST")</f>
        <v>#N/A Connection</v>
      </c>
      <c r="H32" t="s">
        <v>63</v>
      </c>
      <c r="I32" t="str">
        <f t="shared" ref="I32:I38" ca="1" si="4">$I$30&amp;$L7&amp;" "&amp;$I$4</f>
        <v>ERU9 Comdty</v>
      </c>
      <c r="J32" t="s">
        <v>69</v>
      </c>
    </row>
    <row r="33" spans="1:10" x14ac:dyDescent="0.25">
      <c r="A33" s="1">
        <f ca="1">EDATE(Swap_Date,2)</f>
        <v>43631</v>
      </c>
      <c r="B33" t="str">
        <f ca="1">IF(_xll.BDP(H33,"PX_LAST")="#N/A N/A",0.5*(B32+B34),_xll.BDP(H33,"PX_LAST"))</f>
        <v>#N/A Connection</v>
      </c>
      <c r="C33" s="1">
        <f t="shared" ref="C33:C38" ca="1" si="5">nextimm(C32+1)</f>
        <v>43817</v>
      </c>
      <c r="D33" t="e">
        <f ca="1">100-_xll.BDP(I33,"PX_LAST")</f>
        <v>#VALUE!</v>
      </c>
      <c r="E33" s="1">
        <f t="shared" ref="E33:E46" ca="1" si="6">EDATE(E32,12)</f>
        <v>45031</v>
      </c>
      <c r="F33" t="str">
        <f ca="1">_xll.BDP(J33,"PX_LAST")</f>
        <v>#N/A Connection</v>
      </c>
      <c r="H33" t="s">
        <v>64</v>
      </c>
      <c r="I33" t="str">
        <f t="shared" ca="1" si="4"/>
        <v>ERZ9 Comdty</v>
      </c>
      <c r="J33" t="s">
        <v>72</v>
      </c>
    </row>
    <row r="34" spans="1:10" x14ac:dyDescent="0.25">
      <c r="A34" s="1">
        <f ca="1">EDATE(Swap_Date,3)</f>
        <v>43661</v>
      </c>
      <c r="B34" t="str">
        <f ca="1">_xll.BDP(H34,"PX_LAST")</f>
        <v>#N/A Connection</v>
      </c>
      <c r="C34" s="1">
        <f t="shared" ca="1" si="5"/>
        <v>43908</v>
      </c>
      <c r="D34" t="e">
        <f ca="1">100-_xll.BDP(I34,"PX_LAST")</f>
        <v>#VALUE!</v>
      </c>
      <c r="E34" s="1">
        <f t="shared" ca="1" si="6"/>
        <v>45397</v>
      </c>
      <c r="F34" t="str">
        <f ca="1">_xll.BDP(J34,"PX_LAST")</f>
        <v>#N/A Connection</v>
      </c>
      <c r="H34" t="s">
        <v>65</v>
      </c>
      <c r="I34" t="str">
        <f t="shared" ca="1" si="4"/>
        <v>ERH0 Comdty</v>
      </c>
      <c r="J34" t="s">
        <v>70</v>
      </c>
    </row>
    <row r="35" spans="1:10" x14ac:dyDescent="0.25">
      <c r="A35" s="1">
        <f ca="1">EDATE(Swap_Date,6)</f>
        <v>43753</v>
      </c>
      <c r="B35" t="str">
        <f ca="1">_xll.BDP(H35,"PX_LAST")</f>
        <v>#N/A Connection</v>
      </c>
      <c r="C35" s="1">
        <f t="shared" ca="1" si="5"/>
        <v>43999</v>
      </c>
      <c r="D35" t="e">
        <f ca="1">100-_xll.BDP(I35,"PX_LAST")</f>
        <v>#VALUE!</v>
      </c>
      <c r="E35" s="1">
        <f t="shared" ca="1" si="6"/>
        <v>45762</v>
      </c>
      <c r="F35" t="str">
        <f ca="1">_xll.BDP(J35,"PX_LAST")</f>
        <v>#N/A Connection</v>
      </c>
      <c r="H35" t="s">
        <v>66</v>
      </c>
      <c r="I35" t="str">
        <f t="shared" ca="1" si="4"/>
        <v>ERM0 Comdty</v>
      </c>
      <c r="J35" t="s">
        <v>73</v>
      </c>
    </row>
    <row r="36" spans="1:10" x14ac:dyDescent="0.25">
      <c r="A36" s="1">
        <f ca="1">EDATE(Swap_Date,12)</f>
        <v>43936</v>
      </c>
      <c r="B36" t="str">
        <f ca="1">_xll.BDP(H36,"PX_LAST")</f>
        <v>#N/A Connection</v>
      </c>
      <c r="C36" s="1">
        <f t="shared" ca="1" si="5"/>
        <v>44090</v>
      </c>
      <c r="D36" t="e">
        <f ca="1">100-_xll.BDP(I36,"PX_LAST")</f>
        <v>#VALUE!</v>
      </c>
      <c r="E36" s="1">
        <f t="shared" ca="1" si="6"/>
        <v>46127</v>
      </c>
      <c r="F36" t="str">
        <f ca="1">_xll.BDP(J36,"PX_LAST")</f>
        <v>#N/A Connection</v>
      </c>
      <c r="H36" t="s">
        <v>67</v>
      </c>
      <c r="I36" t="str">
        <f t="shared" ca="1" si="4"/>
        <v>ERU0 Comdty</v>
      </c>
      <c r="J36" t="s">
        <v>71</v>
      </c>
    </row>
    <row r="37" spans="1:10" x14ac:dyDescent="0.25">
      <c r="C37" s="1">
        <f t="shared" ca="1" si="5"/>
        <v>44181</v>
      </c>
      <c r="D37" t="e">
        <f ca="1">100-_xll.BDP(I37,"PX_LAST")</f>
        <v>#VALUE!</v>
      </c>
      <c r="E37" s="1">
        <f t="shared" ca="1" si="6"/>
        <v>46492</v>
      </c>
      <c r="F37" t="str">
        <f ca="1">_xll.BDP(J37,"PX_LAST")</f>
        <v>#N/A Connection</v>
      </c>
      <c r="I37" t="str">
        <f t="shared" ca="1" si="4"/>
        <v>ERZ0 Comdty</v>
      </c>
      <c r="J37" t="s">
        <v>74</v>
      </c>
    </row>
    <row r="38" spans="1:10" x14ac:dyDescent="0.25">
      <c r="C38" s="1">
        <f t="shared" ca="1" si="5"/>
        <v>44272</v>
      </c>
      <c r="D38" t="e">
        <f ca="1">100-_xll.BDP(I38,"PX_LAST")</f>
        <v>#VALUE!</v>
      </c>
      <c r="E38" s="1">
        <f t="shared" ca="1" si="6"/>
        <v>46858</v>
      </c>
      <c r="F38" t="str">
        <f ca="1">_xll.BDP(J38,"PX_LAST")</f>
        <v>#N/A Connection</v>
      </c>
      <c r="I38" t="str">
        <f t="shared" ca="1" si="4"/>
        <v>ERH1 Comdty</v>
      </c>
      <c r="J38" t="s">
        <v>75</v>
      </c>
    </row>
    <row r="39" spans="1:10" x14ac:dyDescent="0.25">
      <c r="E39" s="1">
        <f t="shared" ca="1" si="6"/>
        <v>47223</v>
      </c>
      <c r="F39" t="str">
        <f ca="1">_xll.BDP(J39,"PX_LAST")</f>
        <v>#N/A Connection</v>
      </c>
      <c r="J39" t="s">
        <v>26</v>
      </c>
    </row>
    <row r="40" spans="1:10" x14ac:dyDescent="0.25">
      <c r="E40" s="1">
        <f t="shared" ca="1" si="6"/>
        <v>47588</v>
      </c>
      <c r="F40" t="str">
        <f ca="1">_xll.BDP(J40,"PX_LAST")</f>
        <v>#N/A Connection</v>
      </c>
      <c r="J40" t="s">
        <v>76</v>
      </c>
    </row>
    <row r="41" spans="1:10" x14ac:dyDescent="0.25">
      <c r="E41" s="1">
        <f t="shared" ca="1" si="6"/>
        <v>47953</v>
      </c>
      <c r="F41" t="str">
        <f ca="1">_xll.BDP(J41,"PX_LAST")</f>
        <v>#N/A Connection</v>
      </c>
      <c r="J41" t="s">
        <v>77</v>
      </c>
    </row>
    <row r="42" spans="1:10" x14ac:dyDescent="0.25">
      <c r="E42" s="1">
        <f t="shared" ca="1" si="6"/>
        <v>48319</v>
      </c>
      <c r="F42" t="str">
        <f ca="1">_xll.BDP(J42,"PX_LAST")</f>
        <v>#N/A Connection</v>
      </c>
      <c r="J42" t="s">
        <v>78</v>
      </c>
    </row>
    <row r="43" spans="1:10" x14ac:dyDescent="0.25">
      <c r="E43" s="1">
        <f t="shared" ca="1" si="6"/>
        <v>48684</v>
      </c>
      <c r="F43" t="str">
        <f ca="1">_xll.BDP(J43,"PX_LAST")</f>
        <v>#N/A Connection</v>
      </c>
      <c r="J43" t="s">
        <v>79</v>
      </c>
    </row>
    <row r="44" spans="1:10" x14ac:dyDescent="0.25">
      <c r="E44" s="1">
        <f t="shared" ca="1" si="6"/>
        <v>49049</v>
      </c>
      <c r="F44" t="str">
        <f ca="1">_xll.BDP(J44,"PX_LAST")</f>
        <v>#N/A Connection</v>
      </c>
      <c r="J44" t="s">
        <v>80</v>
      </c>
    </row>
    <row r="45" spans="1:10" x14ac:dyDescent="0.25">
      <c r="E45" s="1">
        <f t="shared" ca="1" si="6"/>
        <v>49414</v>
      </c>
      <c r="F45" t="str">
        <f ca="1">_xll.BDP(J45,"PX_LAST")</f>
        <v>#N/A Connection</v>
      </c>
      <c r="J45" t="s">
        <v>81</v>
      </c>
    </row>
    <row r="46" spans="1:10" x14ac:dyDescent="0.25">
      <c r="E46" s="1">
        <f t="shared" ca="1" si="6"/>
        <v>49780</v>
      </c>
      <c r="F46" t="str">
        <f ca="1">_xll.BDP(J46,"PX_LAST")</f>
        <v>#N/A Connection</v>
      </c>
      <c r="J46" t="s">
        <v>82</v>
      </c>
    </row>
    <row r="47" spans="1:10" x14ac:dyDescent="0.25">
      <c r="E47" s="1">
        <f ca="1">EDATE(E46,36)</f>
        <v>50875</v>
      </c>
      <c r="F47" t="str">
        <f ca="1">_xll.BDP(J47,"PX_LAST")</f>
        <v>#N/A Connection</v>
      </c>
      <c r="J47" t="s">
        <v>83</v>
      </c>
    </row>
    <row r="48" spans="1:10" x14ac:dyDescent="0.25">
      <c r="E48" s="1">
        <f ca="1">EDATE(E47,60)</f>
        <v>52702</v>
      </c>
      <c r="F48" t="str">
        <f ca="1">_xll.BDP(J48,"PX_LAST")</f>
        <v>#N/A Connection</v>
      </c>
      <c r="J48" t="s">
        <v>84</v>
      </c>
    </row>
    <row r="49" spans="1:16" x14ac:dyDescent="0.25">
      <c r="E49" s="1">
        <f ca="1">EDATE(E48,60)</f>
        <v>54528</v>
      </c>
      <c r="F49" t="str">
        <f ca="1">_xll.BDP(J49,"PX_LAST")</f>
        <v>#N/A Connection</v>
      </c>
      <c r="J49" t="s">
        <v>85</v>
      </c>
    </row>
    <row r="50" spans="1:16" x14ac:dyDescent="0.25">
      <c r="E50" s="1">
        <f ca="1">EDATE(E49,120)</f>
        <v>58180</v>
      </c>
      <c r="F50" t="str">
        <f ca="1">_xll.BDP(J50,"PX_LAST")</f>
        <v>#N/A Connection</v>
      </c>
      <c r="J50" t="s">
        <v>86</v>
      </c>
    </row>
    <row r="51" spans="1:16" x14ac:dyDescent="0.25">
      <c r="E51" s="1">
        <f ca="1">EDATE(E50,12)</f>
        <v>58546</v>
      </c>
      <c r="F51" t="str">
        <f ca="1">F50</f>
        <v>#N/A Connection</v>
      </c>
    </row>
    <row r="54" spans="1:16" x14ac:dyDescent="0.25">
      <c r="A54" t="s">
        <v>19</v>
      </c>
      <c r="B54">
        <v>6</v>
      </c>
      <c r="D54">
        <v>7</v>
      </c>
      <c r="F54">
        <v>100</v>
      </c>
    </row>
    <row r="55" spans="1:16" x14ac:dyDescent="0.25">
      <c r="A55" t="s">
        <v>28</v>
      </c>
      <c r="B55" t="s">
        <v>29</v>
      </c>
      <c r="C55" t="s">
        <v>30</v>
      </c>
      <c r="D55" t="s">
        <v>31</v>
      </c>
      <c r="E55" t="s">
        <v>32</v>
      </c>
      <c r="F55" t="s">
        <v>33</v>
      </c>
      <c r="I55" t="s">
        <v>652</v>
      </c>
    </row>
    <row r="56" spans="1:16" ht="15.6" customHeight="1" x14ac:dyDescent="0.25">
      <c r="A56" s="1">
        <f ca="1">WORKDAY(Swap_Date,1)</f>
        <v>43571</v>
      </c>
      <c r="B56" t="str">
        <f ca="1">_xll.BDP(H56,"PX_LAST")</f>
        <v>#N/A Connection</v>
      </c>
      <c r="C56" s="1">
        <f ca="1">nextimm(Swap_Date)</f>
        <v>43635</v>
      </c>
      <c r="D56" t="str">
        <f ca="1">IF(ISNUMBER(_xll.BDP(I56,"PX_LAST")),100-_xll.BDP(I56,"PX_LAST"),B59)</f>
        <v>#N/A Connection</v>
      </c>
      <c r="E56" s="1">
        <f ca="1">EDATE(Swap_Date,24)</f>
        <v>44301</v>
      </c>
      <c r="F56" t="str">
        <f ca="1">_xll.BDP(J56,"PX_LAST")</f>
        <v>#N/A Connection</v>
      </c>
      <c r="H56" t="s">
        <v>0</v>
      </c>
      <c r="I56" t="str">
        <f ca="1">$I$55&amp;$L6&amp;" "&amp;$I$4</f>
        <v>YEM9 Comdty</v>
      </c>
      <c r="J56" t="s">
        <v>87</v>
      </c>
      <c r="M56" s="122" t="s">
        <v>107</v>
      </c>
      <c r="N56" s="122"/>
      <c r="P56">
        <v>-8.5330000000000003E-2</v>
      </c>
    </row>
    <row r="57" spans="1:16" ht="15.6" customHeight="1" x14ac:dyDescent="0.25">
      <c r="A57" s="1">
        <f ca="1">EDATE(Swap_Date,1)</f>
        <v>43600</v>
      </c>
      <c r="B57" t="str">
        <f ca="1">_xll.BDP(H57,"PX_LAST")</f>
        <v>#N/A Connection</v>
      </c>
      <c r="C57" s="1">
        <f ca="1">nextimm(C56+1)</f>
        <v>43726</v>
      </c>
      <c r="D57" t="e">
        <f ca="1">IFERROR(100-_xll.BDP(I57,"PX_LAST"),0.5*(D56+D58))</f>
        <v>#VALUE!</v>
      </c>
      <c r="E57" s="1">
        <f ca="1">EDATE(E56,12)</f>
        <v>44666</v>
      </c>
      <c r="F57" t="str">
        <f ca="1">_xll.BDP(J57,"PX_LAST")</f>
        <v>#N/A Connection</v>
      </c>
      <c r="H57" t="s">
        <v>1</v>
      </c>
      <c r="I57" t="str">
        <f t="shared" ref="I57:I63" ca="1" si="7">$I$55&amp;$L7&amp;" "&amp;$I$4</f>
        <v>YEU9 Comdty</v>
      </c>
      <c r="J57" t="s">
        <v>88</v>
      </c>
      <c r="M57" s="4" t="s">
        <v>108</v>
      </c>
      <c r="N57" s="5" t="str">
        <f ca="1">_xll.BDP("JYSSTL1 index","PX_LAST")</f>
        <v>#N/A Connection</v>
      </c>
      <c r="P57">
        <v>-0.107</v>
      </c>
    </row>
    <row r="58" spans="1:16" ht="15.6" customHeight="1" x14ac:dyDescent="0.25">
      <c r="A58" s="1">
        <f ca="1">EDATE(Swap_Date,2)</f>
        <v>43631</v>
      </c>
      <c r="B58" t="str">
        <f ca="1">_xll.BDP(H58,"PX_LAST")</f>
        <v>#N/A Connection</v>
      </c>
      <c r="C58" s="1">
        <f t="shared" ref="C58:C63" ca="1" si="8">nextimm(C57+1)</f>
        <v>43817</v>
      </c>
      <c r="D58" t="e">
        <f ca="1">100-_xll.BDP(I58,"PX_LAST")</f>
        <v>#VALUE!</v>
      </c>
      <c r="E58" s="1">
        <f t="shared" ref="E58:E71" ca="1" si="9">EDATE(E57,12)</f>
        <v>45031</v>
      </c>
      <c r="F58" t="str">
        <f ca="1">_xll.BDP(J58,"PX_LAST")</f>
        <v>#N/A Connection</v>
      </c>
      <c r="H58" t="s">
        <v>2</v>
      </c>
      <c r="I58" t="str">
        <f t="shared" ca="1" si="7"/>
        <v>YEZ9 Comdty</v>
      </c>
      <c r="J58" t="s">
        <v>89</v>
      </c>
      <c r="M58" s="4" t="s">
        <v>109</v>
      </c>
      <c r="N58" s="6" t="str">
        <f ca="1">_xll.BDP("JYSSTL2 index","PX_LAST")</f>
        <v>#N/A Connection</v>
      </c>
      <c r="P58">
        <v>-0.13500000000000001</v>
      </c>
    </row>
    <row r="59" spans="1:16" x14ac:dyDescent="0.25">
      <c r="A59" s="1">
        <f ca="1">EDATE(Swap_Date,3)</f>
        <v>43661</v>
      </c>
      <c r="B59" t="str">
        <f ca="1">_xll.BDP(H59,"PX_LAST")</f>
        <v>#N/A Connection</v>
      </c>
      <c r="C59" s="1">
        <f t="shared" ca="1" si="8"/>
        <v>43908</v>
      </c>
      <c r="D59" t="e">
        <f ca="1">100-_xll.BDP(I59,"PX_LAST")</f>
        <v>#VALUE!</v>
      </c>
      <c r="E59" s="1">
        <f t="shared" ca="1" si="9"/>
        <v>45397</v>
      </c>
      <c r="F59" t="str">
        <f ca="1">_xll.BDP(J59,"PX_LAST")</f>
        <v>#N/A Connection</v>
      </c>
      <c r="H59" t="s">
        <v>3</v>
      </c>
      <c r="I59" t="str">
        <f t="shared" ca="1" si="7"/>
        <v>YEH0 Comdty</v>
      </c>
      <c r="J59" t="s">
        <v>90</v>
      </c>
      <c r="P59">
        <v>-0.11466999999999999</v>
      </c>
    </row>
    <row r="60" spans="1:16" x14ac:dyDescent="0.25">
      <c r="A60" s="1">
        <f ca="1">EDATE(Swap_Date,6)</f>
        <v>43753</v>
      </c>
      <c r="B60" t="str">
        <f ca="1">_xll.BDP(H60,"PX_LAST")</f>
        <v>#N/A Connection</v>
      </c>
      <c r="C60" s="1">
        <f t="shared" ca="1" si="8"/>
        <v>43999</v>
      </c>
      <c r="D60" t="e">
        <f ca="1">100-_xll.BDP(I60,"PX_LAST")</f>
        <v>#VALUE!</v>
      </c>
      <c r="E60" s="1">
        <f t="shared" ca="1" si="9"/>
        <v>45762</v>
      </c>
      <c r="F60" t="str">
        <f ca="1">_xll.BDP(J60,"PX_LAST")</f>
        <v>#N/A Connection</v>
      </c>
      <c r="H60" t="s">
        <v>4</v>
      </c>
      <c r="I60" t="str">
        <f t="shared" ca="1" si="7"/>
        <v>YEM0 Comdty</v>
      </c>
      <c r="J60" t="s">
        <v>91</v>
      </c>
      <c r="P60">
        <v>-2.5000000000000001E-3</v>
      </c>
    </row>
    <row r="61" spans="1:16" x14ac:dyDescent="0.25">
      <c r="A61" s="1">
        <f ca="1">EDATE(Swap_Date,12)</f>
        <v>43936</v>
      </c>
      <c r="B61" t="str">
        <f ca="1">_xll.BDP(H61,"PX_LAST")</f>
        <v>#N/A Connection</v>
      </c>
      <c r="C61" s="1">
        <f t="shared" ca="1" si="8"/>
        <v>44090</v>
      </c>
      <c r="D61" t="e">
        <f ca="1">100-_xll.BDP(I61,"PX_LAST")</f>
        <v>#VALUE!</v>
      </c>
      <c r="E61" s="1">
        <f t="shared" ca="1" si="9"/>
        <v>46127</v>
      </c>
      <c r="F61" t="str">
        <f ca="1">_xll.BDP(J61,"PX_LAST")</f>
        <v>#N/A Connection</v>
      </c>
      <c r="H61" t="s">
        <v>5</v>
      </c>
      <c r="I61" t="str">
        <f t="shared" ca="1" si="7"/>
        <v>YEU0 Comdty</v>
      </c>
      <c r="J61" t="s">
        <v>92</v>
      </c>
      <c r="P61">
        <v>0.11167000000000001</v>
      </c>
    </row>
    <row r="62" spans="1:16" x14ac:dyDescent="0.25">
      <c r="C62" s="1">
        <f t="shared" ca="1" si="8"/>
        <v>44181</v>
      </c>
      <c r="D62" t="e">
        <f ca="1">100-_xll.BDP(I62,"PX_LAST")</f>
        <v>#VALUE!</v>
      </c>
      <c r="E62" s="1">
        <f t="shared" ca="1" si="9"/>
        <v>46492</v>
      </c>
      <c r="F62" t="str">
        <f ca="1">_xll.BDP(J62,"PX_LAST")</f>
        <v>#N/A Connection</v>
      </c>
      <c r="I62" t="str">
        <f t="shared" ca="1" si="7"/>
        <v>YEZ0 Comdty</v>
      </c>
      <c r="J62" t="s">
        <v>93</v>
      </c>
    </row>
    <row r="63" spans="1:16" x14ac:dyDescent="0.25">
      <c r="C63" s="1">
        <f t="shared" ca="1" si="8"/>
        <v>44272</v>
      </c>
      <c r="D63" t="e">
        <f ca="1">100-_xll.BDP(I63,"PX_LAST")</f>
        <v>#VALUE!</v>
      </c>
      <c r="E63" s="1">
        <f t="shared" ca="1" si="9"/>
        <v>46858</v>
      </c>
      <c r="F63" t="str">
        <f ca="1">_xll.BDP(J63,"PX_LAST")</f>
        <v>#N/A Connection</v>
      </c>
      <c r="I63" t="str">
        <f t="shared" ca="1" si="7"/>
        <v>YEH1 Comdty</v>
      </c>
      <c r="J63" t="s">
        <v>94</v>
      </c>
    </row>
    <row r="64" spans="1:16" x14ac:dyDescent="0.25">
      <c r="E64" s="1">
        <f t="shared" ca="1" si="9"/>
        <v>47223</v>
      </c>
      <c r="F64" t="str">
        <f ca="1">_xll.BDP(J64,"PX_LAST")</f>
        <v>#N/A Connection</v>
      </c>
      <c r="J64" t="s">
        <v>95</v>
      </c>
    </row>
    <row r="65" spans="1:10" x14ac:dyDescent="0.25">
      <c r="E65" s="1">
        <f t="shared" ca="1" si="9"/>
        <v>47588</v>
      </c>
      <c r="F65" t="str">
        <f ca="1">_xll.BDP(J65,"PX_LAST")</f>
        <v>#N/A Connection</v>
      </c>
      <c r="J65" t="s">
        <v>96</v>
      </c>
    </row>
    <row r="66" spans="1:10" x14ac:dyDescent="0.25">
      <c r="E66" s="1">
        <f t="shared" ca="1" si="9"/>
        <v>47953</v>
      </c>
      <c r="F66" t="str">
        <f ca="1">_xll.BDP(J66,"PX_LAST")</f>
        <v>#N/A Connection</v>
      </c>
      <c r="J66" t="s">
        <v>97</v>
      </c>
    </row>
    <row r="67" spans="1:10" x14ac:dyDescent="0.25">
      <c r="E67" s="1">
        <f t="shared" ca="1" si="9"/>
        <v>48319</v>
      </c>
      <c r="F67" t="str">
        <f ca="1">_xll.BDP(J67,"PX_LAST")</f>
        <v>#N/A Connection</v>
      </c>
      <c r="J67" t="s">
        <v>98</v>
      </c>
    </row>
    <row r="68" spans="1:10" x14ac:dyDescent="0.25">
      <c r="E68" s="1">
        <f t="shared" ca="1" si="9"/>
        <v>48684</v>
      </c>
      <c r="F68" t="str">
        <f ca="1">_xll.BDP(J68,"PX_LAST")</f>
        <v>#N/A Connection</v>
      </c>
      <c r="J68" t="s">
        <v>99</v>
      </c>
    </row>
    <row r="69" spans="1:10" x14ac:dyDescent="0.25">
      <c r="E69" s="1">
        <f t="shared" ca="1" si="9"/>
        <v>49049</v>
      </c>
      <c r="F69" t="str">
        <f ca="1">_xll.BDP(J69,"PX_LAST")</f>
        <v>#N/A Connection</v>
      </c>
      <c r="J69" t="s">
        <v>100</v>
      </c>
    </row>
    <row r="70" spans="1:10" x14ac:dyDescent="0.25">
      <c r="E70" s="1">
        <f t="shared" ca="1" si="9"/>
        <v>49414</v>
      </c>
      <c r="F70" t="str">
        <f ca="1">_xll.BDP(J70,"PX_LAST")</f>
        <v>#N/A Connection</v>
      </c>
      <c r="J70" t="s">
        <v>101</v>
      </c>
    </row>
    <row r="71" spans="1:10" x14ac:dyDescent="0.25">
      <c r="E71" s="1">
        <f t="shared" ca="1" si="9"/>
        <v>49780</v>
      </c>
      <c r="F71" t="str">
        <f ca="1">_xll.BDP(J71,"PX_LAST")</f>
        <v>#N/A Connection</v>
      </c>
      <c r="J71" t="s">
        <v>102</v>
      </c>
    </row>
    <row r="72" spans="1:10" x14ac:dyDescent="0.25">
      <c r="E72" s="1">
        <f ca="1">EDATE(E71,36)</f>
        <v>50875</v>
      </c>
      <c r="F72" t="str">
        <f ca="1">_xll.BDP(J72,"PX_LAST")</f>
        <v>#N/A Connection</v>
      </c>
      <c r="J72" t="s">
        <v>103</v>
      </c>
    </row>
    <row r="73" spans="1:10" x14ac:dyDescent="0.25">
      <c r="E73" s="1">
        <f ca="1">EDATE(E72,60)</f>
        <v>52702</v>
      </c>
      <c r="F73" t="str">
        <f ca="1">_xll.BDP(J73,"PX_LAST")</f>
        <v>#N/A Connection</v>
      </c>
      <c r="J73" t="s">
        <v>104</v>
      </c>
    </row>
    <row r="74" spans="1:10" x14ac:dyDescent="0.25">
      <c r="E74" s="1">
        <f ca="1">EDATE(E73,60)</f>
        <v>54528</v>
      </c>
      <c r="F74" t="str">
        <f ca="1">_xll.BDP(J74,"PX_LAST")</f>
        <v>#N/A Connection</v>
      </c>
      <c r="J74" t="s">
        <v>105</v>
      </c>
    </row>
    <row r="75" spans="1:10" x14ac:dyDescent="0.25">
      <c r="E75" s="1">
        <f ca="1">EDATE(E74,120)</f>
        <v>58180</v>
      </c>
      <c r="F75" t="str">
        <f ca="1">_xll.BDP(J75,"PX_LAST")</f>
        <v>#N/A Connection</v>
      </c>
      <c r="J75" t="s">
        <v>106</v>
      </c>
    </row>
    <row r="76" spans="1:10" x14ac:dyDescent="0.25">
      <c r="E76" s="1">
        <f ca="1">EDATE(E75,12)</f>
        <v>58546</v>
      </c>
      <c r="F76" t="str">
        <f ca="1">F75</f>
        <v>#N/A Connection</v>
      </c>
    </row>
    <row r="79" spans="1:10" x14ac:dyDescent="0.25">
      <c r="A79" t="s">
        <v>14</v>
      </c>
      <c r="B79">
        <v>6</v>
      </c>
      <c r="D79">
        <v>7</v>
      </c>
      <c r="F79">
        <v>100</v>
      </c>
    </row>
    <row r="80" spans="1:10" x14ac:dyDescent="0.25">
      <c r="A80" t="s">
        <v>28</v>
      </c>
      <c r="B80" t="s">
        <v>29</v>
      </c>
      <c r="C80" t="s">
        <v>30</v>
      </c>
      <c r="D80" t="s">
        <v>31</v>
      </c>
      <c r="E80" t="s">
        <v>32</v>
      </c>
      <c r="F80" t="s">
        <v>33</v>
      </c>
      <c r="I80" t="s">
        <v>653</v>
      </c>
    </row>
    <row r="81" spans="1:10" x14ac:dyDescent="0.25">
      <c r="A81" s="1">
        <f ca="1">WORKDAY(Swap_Date,1)</f>
        <v>43571</v>
      </c>
      <c r="B81" t="str">
        <f ca="1">_xll.BDP(H81,"PX_LAST")</f>
        <v>#N/A Connection</v>
      </c>
      <c r="C81" s="1">
        <f ca="1">nextimm(Swap_Date)</f>
        <v>43635</v>
      </c>
      <c r="D81" t="str">
        <f ca="1">IF(ISNUMBER(_xll.BDP(I81,"PX_LAST")),100-_xll.BDP(I81,"PX_LAST"),B84)</f>
        <v>#N/A Connection</v>
      </c>
      <c r="E81" s="1">
        <f ca="1">EDATE(Swap_Date,24)</f>
        <v>44301</v>
      </c>
      <c r="F81" t="str">
        <f ca="1">_xll.BDP(J81,"PX_LAST")</f>
        <v>#N/A Connection</v>
      </c>
      <c r="H81" t="s">
        <v>110</v>
      </c>
      <c r="I81" t="str">
        <f ca="1">$I$80&amp;$L$6&amp;" "&amp;$I$4</f>
        <v>L M9 Comdty</v>
      </c>
      <c r="J81" t="s">
        <v>116</v>
      </c>
    </row>
    <row r="82" spans="1:10" x14ac:dyDescent="0.25">
      <c r="A82" s="1">
        <f ca="1">EDATE(Swap_Date,1)</f>
        <v>43600</v>
      </c>
      <c r="B82" t="str">
        <f ca="1">_xll.BDP(H82,"PX_LAST")</f>
        <v>#N/A Connection</v>
      </c>
      <c r="C82" s="1">
        <f ca="1">nextimm(C81+1)</f>
        <v>43726</v>
      </c>
      <c r="D82" t="e">
        <f ca="1">IFERROR(100-_xll.BDP(I82,"PX_LAST"),0.5*(D81+D83))</f>
        <v>#VALUE!</v>
      </c>
      <c r="E82" s="1">
        <f ca="1">EDATE(E81,12)</f>
        <v>44666</v>
      </c>
      <c r="F82" t="str">
        <f ca="1">_xll.BDP(J82,"PX_LAST")</f>
        <v>#N/A Connection</v>
      </c>
      <c r="H82" t="s">
        <v>111</v>
      </c>
      <c r="I82" t="str">
        <f t="shared" ref="I82:I88" ca="1" si="10">$I$80&amp;$L7&amp;" "&amp;$I$4</f>
        <v>L U9 Comdty</v>
      </c>
      <c r="J82" t="s">
        <v>117</v>
      </c>
    </row>
    <row r="83" spans="1:10" x14ac:dyDescent="0.25">
      <c r="A83" s="1">
        <f ca="1">EDATE(Swap_Date,2)</f>
        <v>43631</v>
      </c>
      <c r="B83" t="str">
        <f ca="1">_xll.BDP(H83,"PX_LAST")</f>
        <v>#N/A Connection</v>
      </c>
      <c r="C83" s="1">
        <f t="shared" ref="C83:C88" ca="1" si="11">nextimm(C82+1)</f>
        <v>43817</v>
      </c>
      <c r="D83" t="e">
        <f ca="1">100-_xll.BDP(I83,"PX_LAST")</f>
        <v>#VALUE!</v>
      </c>
      <c r="E83" s="1">
        <f t="shared" ref="E83:E96" ca="1" si="12">EDATE(E82,12)</f>
        <v>45031</v>
      </c>
      <c r="F83" t="str">
        <f ca="1">_xll.BDP(J83,"PX_LAST")</f>
        <v>#N/A Connection</v>
      </c>
      <c r="H83" t="s">
        <v>112</v>
      </c>
      <c r="I83" t="str">
        <f t="shared" ca="1" si="10"/>
        <v>L Z9 Comdty</v>
      </c>
      <c r="J83" t="s">
        <v>118</v>
      </c>
    </row>
    <row r="84" spans="1:10" x14ac:dyDescent="0.25">
      <c r="A84" s="1">
        <f ca="1">EDATE(Swap_Date,3)</f>
        <v>43661</v>
      </c>
      <c r="B84" t="str">
        <f ca="1">_xll.BDP(H84,"PX_LAST")</f>
        <v>#N/A Connection</v>
      </c>
      <c r="C84" s="1">
        <f t="shared" ca="1" si="11"/>
        <v>43908</v>
      </c>
      <c r="D84" t="e">
        <f ca="1">100-_xll.BDP(I84,"PX_LAST")</f>
        <v>#VALUE!</v>
      </c>
      <c r="E84" s="1">
        <f t="shared" ca="1" si="12"/>
        <v>45397</v>
      </c>
      <c r="F84" t="str">
        <f ca="1">_xll.BDP(J84,"PX_LAST")</f>
        <v>#N/A Connection</v>
      </c>
      <c r="H84" t="s">
        <v>113</v>
      </c>
      <c r="I84" t="str">
        <f t="shared" ca="1" si="10"/>
        <v>L H0 Comdty</v>
      </c>
      <c r="J84" t="s">
        <v>119</v>
      </c>
    </row>
    <row r="85" spans="1:10" x14ac:dyDescent="0.25">
      <c r="A85" s="1">
        <f ca="1">EDATE(Swap_Date,6)</f>
        <v>43753</v>
      </c>
      <c r="B85" t="str">
        <f ca="1">_xll.BDP(H85,"PX_LAST")</f>
        <v>#N/A Connection</v>
      </c>
      <c r="C85" s="1">
        <f t="shared" ca="1" si="11"/>
        <v>43999</v>
      </c>
      <c r="D85" t="e">
        <f ca="1">100-_xll.BDP(I85,"PX_LAST")</f>
        <v>#VALUE!</v>
      </c>
      <c r="E85" s="1">
        <f t="shared" ca="1" si="12"/>
        <v>45762</v>
      </c>
      <c r="F85" t="str">
        <f ca="1">_xll.BDP(J85,"PX_LAST")</f>
        <v>#N/A Connection</v>
      </c>
      <c r="H85" t="s">
        <v>114</v>
      </c>
      <c r="I85" t="str">
        <f t="shared" ca="1" si="10"/>
        <v>L M0 Comdty</v>
      </c>
      <c r="J85" t="s">
        <v>120</v>
      </c>
    </row>
    <row r="86" spans="1:10" x14ac:dyDescent="0.25">
      <c r="A86" s="1">
        <f ca="1">EDATE(Swap_Date,12)</f>
        <v>43936</v>
      </c>
      <c r="B86" t="str">
        <f ca="1">_xll.BDP(H86,"PX_LAST")</f>
        <v>#N/A Connection</v>
      </c>
      <c r="C86" s="1">
        <f t="shared" ca="1" si="11"/>
        <v>44090</v>
      </c>
      <c r="D86" t="e">
        <f ca="1">100-_xll.BDP(I86,"PX_LAST")</f>
        <v>#VALUE!</v>
      </c>
      <c r="E86" s="1">
        <f t="shared" ca="1" si="12"/>
        <v>46127</v>
      </c>
      <c r="F86" t="str">
        <f ca="1">_xll.BDP(J86,"PX_LAST")</f>
        <v>#N/A Connection</v>
      </c>
      <c r="H86" t="s">
        <v>115</v>
      </c>
      <c r="I86" t="str">
        <f t="shared" ca="1" si="10"/>
        <v>L U0 Comdty</v>
      </c>
      <c r="J86" t="s">
        <v>121</v>
      </c>
    </row>
    <row r="87" spans="1:10" x14ac:dyDescent="0.25">
      <c r="C87" s="1">
        <f t="shared" ca="1" si="11"/>
        <v>44181</v>
      </c>
      <c r="D87" t="e">
        <f ca="1">100-_xll.BDP(I87,"PX_LAST")</f>
        <v>#VALUE!</v>
      </c>
      <c r="E87" s="1">
        <f t="shared" ca="1" si="12"/>
        <v>46492</v>
      </c>
      <c r="F87" t="str">
        <f ca="1">_xll.BDP(J87,"PX_LAST")</f>
        <v>#N/A Connection</v>
      </c>
      <c r="I87" t="str">
        <f t="shared" ca="1" si="10"/>
        <v>L Z0 Comdty</v>
      </c>
      <c r="J87" t="s">
        <v>122</v>
      </c>
    </row>
    <row r="88" spans="1:10" x14ac:dyDescent="0.25">
      <c r="C88" s="1">
        <f t="shared" ca="1" si="11"/>
        <v>44272</v>
      </c>
      <c r="D88" t="e">
        <f ca="1">100-_xll.BDP(I88,"PX_LAST")</f>
        <v>#VALUE!</v>
      </c>
      <c r="E88" s="1">
        <f t="shared" ca="1" si="12"/>
        <v>46858</v>
      </c>
      <c r="F88" t="str">
        <f ca="1">_xll.BDP(J88,"PX_LAST")</f>
        <v>#N/A Connection</v>
      </c>
      <c r="I88" t="str">
        <f t="shared" ca="1" si="10"/>
        <v>L H1 Comdty</v>
      </c>
      <c r="J88" t="s">
        <v>123</v>
      </c>
    </row>
    <row r="89" spans="1:10" x14ac:dyDescent="0.25">
      <c r="E89" s="1">
        <f t="shared" ca="1" si="12"/>
        <v>47223</v>
      </c>
      <c r="F89" t="str">
        <f ca="1">_xll.BDP(J89,"PX_LAST")</f>
        <v>#N/A Connection</v>
      </c>
      <c r="J89" t="s">
        <v>27</v>
      </c>
    </row>
    <row r="90" spans="1:10" x14ac:dyDescent="0.25">
      <c r="E90" s="1">
        <f t="shared" ca="1" si="12"/>
        <v>47588</v>
      </c>
      <c r="F90" t="str">
        <f ca="1">_xll.BDP(J90,"PX_LAST")</f>
        <v>#N/A Connection</v>
      </c>
      <c r="J90" t="s">
        <v>124</v>
      </c>
    </row>
    <row r="91" spans="1:10" x14ac:dyDescent="0.25">
      <c r="E91" s="1">
        <f t="shared" ca="1" si="12"/>
        <v>47953</v>
      </c>
      <c r="F91" t="str">
        <f ca="1">_xll.BDP(J91,"PX_LAST")</f>
        <v>#N/A Connection</v>
      </c>
      <c r="J91" t="s">
        <v>125</v>
      </c>
    </row>
    <row r="92" spans="1:10" x14ac:dyDescent="0.25">
      <c r="E92" s="1">
        <f t="shared" ca="1" si="12"/>
        <v>48319</v>
      </c>
      <c r="F92" t="str">
        <f ca="1">_xll.BDP(J92,"PX_LAST")</f>
        <v>#N/A Connection</v>
      </c>
      <c r="J92" t="s">
        <v>126</v>
      </c>
    </row>
    <row r="93" spans="1:10" x14ac:dyDescent="0.25">
      <c r="E93" s="1">
        <f t="shared" ca="1" si="12"/>
        <v>48684</v>
      </c>
      <c r="F93" t="str">
        <f ca="1">_xll.BDP(J93,"PX_LAST")</f>
        <v>#N/A Connection</v>
      </c>
      <c r="J93" t="s">
        <v>127</v>
      </c>
    </row>
    <row r="94" spans="1:10" x14ac:dyDescent="0.25">
      <c r="E94" s="1">
        <f t="shared" ca="1" si="12"/>
        <v>49049</v>
      </c>
      <c r="F94" t="str">
        <f ca="1">_xll.BDP(J94,"PX_LAST")</f>
        <v>#N/A Connection</v>
      </c>
      <c r="J94" t="s">
        <v>128</v>
      </c>
    </row>
    <row r="95" spans="1:10" x14ac:dyDescent="0.25">
      <c r="E95" s="1">
        <f t="shared" ca="1" si="12"/>
        <v>49414</v>
      </c>
      <c r="F95" t="str">
        <f ca="1">_xll.BDP(J95,"PX_LAST")</f>
        <v>#N/A Connection</v>
      </c>
      <c r="J95" t="s">
        <v>129</v>
      </c>
    </row>
    <row r="96" spans="1:10" x14ac:dyDescent="0.25">
      <c r="E96" s="1">
        <f t="shared" ca="1" si="12"/>
        <v>49780</v>
      </c>
      <c r="F96" t="str">
        <f ca="1">_xll.BDP(J96,"PX_LAST")</f>
        <v>#N/A Connection</v>
      </c>
      <c r="J96" t="s">
        <v>130</v>
      </c>
    </row>
    <row r="97" spans="1:10" x14ac:dyDescent="0.25">
      <c r="E97" s="1">
        <f ca="1">EDATE(E96,36)</f>
        <v>50875</v>
      </c>
      <c r="F97" t="str">
        <f ca="1">_xll.BDP(J97,"PX_LAST")</f>
        <v>#N/A Connection</v>
      </c>
      <c r="J97" t="s">
        <v>131</v>
      </c>
    </row>
    <row r="98" spans="1:10" x14ac:dyDescent="0.25">
      <c r="E98" s="1">
        <f ca="1">EDATE(E97,60)</f>
        <v>52702</v>
      </c>
      <c r="F98" t="str">
        <f ca="1">_xll.BDP(J98,"PX_LAST")</f>
        <v>#N/A Connection</v>
      </c>
      <c r="J98" t="s">
        <v>132</v>
      </c>
    </row>
    <row r="99" spans="1:10" x14ac:dyDescent="0.25">
      <c r="E99" s="1">
        <f ca="1">EDATE(E98,60)</f>
        <v>54528</v>
      </c>
      <c r="F99" t="str">
        <f ca="1">_xll.BDP(J99,"PX_LAST")</f>
        <v>#N/A Connection</v>
      </c>
      <c r="J99" t="s">
        <v>133</v>
      </c>
    </row>
    <row r="100" spans="1:10" x14ac:dyDescent="0.25">
      <c r="E100" s="1">
        <f ca="1">EDATE(E99,120)</f>
        <v>58180</v>
      </c>
      <c r="F100" t="str">
        <f ca="1">_xll.BDP(J100,"PX_LAST")</f>
        <v>#N/A Connection</v>
      </c>
      <c r="J100" t="s">
        <v>134</v>
      </c>
    </row>
    <row r="101" spans="1:10" x14ac:dyDescent="0.25">
      <c r="E101" s="1">
        <f ca="1">EDATE(E100,12)</f>
        <v>58546</v>
      </c>
      <c r="F101" t="str">
        <f ca="1">F100</f>
        <v>#N/A Connection</v>
      </c>
    </row>
    <row r="104" spans="1:10" x14ac:dyDescent="0.25">
      <c r="A104" t="s">
        <v>198</v>
      </c>
      <c r="B104">
        <v>6</v>
      </c>
      <c r="D104">
        <v>7</v>
      </c>
      <c r="F104">
        <v>100</v>
      </c>
    </row>
    <row r="105" spans="1:10" x14ac:dyDescent="0.25">
      <c r="A105" t="s">
        <v>28</v>
      </c>
      <c r="B105" t="s">
        <v>29</v>
      </c>
      <c r="C105" t="s">
        <v>30</v>
      </c>
      <c r="D105" t="s">
        <v>31</v>
      </c>
      <c r="E105" t="s">
        <v>32</v>
      </c>
      <c r="F105" t="s">
        <v>33</v>
      </c>
      <c r="I105" t="s">
        <v>654</v>
      </c>
    </row>
    <row r="106" spans="1:10" x14ac:dyDescent="0.25">
      <c r="A106" s="1">
        <f ca="1">WORKDAY(Swap_Date,1)</f>
        <v>43571</v>
      </c>
      <c r="B106" t="str">
        <f ca="1">_xll.BDP(H106,"PX_LAST")</f>
        <v>#N/A Connection</v>
      </c>
      <c r="C106" s="1">
        <f ca="1">nextimm(Swap_Date)</f>
        <v>43635</v>
      </c>
      <c r="D106" t="str">
        <f ca="1">IF(ISNUMBER(_xll.BDP(I106,"PX_LAST")),100-_xll.BDP(I106,"PX_LAST"),B109)</f>
        <v>#N/A Connection</v>
      </c>
      <c r="E106" s="1">
        <f ca="1">EDATE(Swap_Date,24)</f>
        <v>44301</v>
      </c>
      <c r="F106" t="str">
        <f ca="1">_xll.BDP(J106,"PX_LAST")</f>
        <v>#N/A Connection</v>
      </c>
      <c r="H106" t="s">
        <v>135</v>
      </c>
      <c r="I106" t="str">
        <f ca="1">$I$105&amp;$L6&amp;" "&amp;$I$4</f>
        <v>ESM9 Comdty</v>
      </c>
      <c r="J106" t="s">
        <v>141</v>
      </c>
    </row>
    <row r="107" spans="1:10" x14ac:dyDescent="0.25">
      <c r="A107" s="1">
        <f ca="1">EDATE(Swap_Date,1)</f>
        <v>43600</v>
      </c>
      <c r="B107" t="str">
        <f ca="1">_xll.BDP(H107,"PX_LAST")</f>
        <v>#N/A Connection</v>
      </c>
      <c r="C107" s="1">
        <f ca="1">nextimm(C106+1)</f>
        <v>43726</v>
      </c>
      <c r="D107" t="e">
        <f ca="1">IFERROR(100-_xll.BDP(I107,"PX_LAST"),0.5*(D106+D108))</f>
        <v>#VALUE!</v>
      </c>
      <c r="E107" s="1">
        <f ca="1">EDATE(E106,12)</f>
        <v>44666</v>
      </c>
      <c r="F107" t="str">
        <f ca="1">_xll.BDP(J107,"PX_LAST")</f>
        <v>#N/A Connection</v>
      </c>
      <c r="H107" t="s">
        <v>136</v>
      </c>
      <c r="I107" t="str">
        <f t="shared" ref="I107:I113" ca="1" si="13">$I$105&amp;$L7&amp;" "&amp;$I$4</f>
        <v>ESU9 Comdty</v>
      </c>
      <c r="J107" t="s">
        <v>142</v>
      </c>
    </row>
    <row r="108" spans="1:10" x14ac:dyDescent="0.25">
      <c r="A108" s="1">
        <f ca="1">EDATE(Swap_Date,2)</f>
        <v>43631</v>
      </c>
      <c r="B108" t="str">
        <f ca="1">_xll.BDP(H108,"PX_LAST")</f>
        <v>#N/A Connection</v>
      </c>
      <c r="C108" s="1">
        <f t="shared" ref="C108:C113" ca="1" si="14">nextimm(C107+1)</f>
        <v>43817</v>
      </c>
      <c r="D108" t="e">
        <f ca="1">100-_xll.BDP(I108,"PX_LAST")</f>
        <v>#VALUE!</v>
      </c>
      <c r="E108" s="1">
        <f t="shared" ref="E108:E119" ca="1" si="15">EDATE(E107,12)</f>
        <v>45031</v>
      </c>
      <c r="F108" t="str">
        <f ca="1">_xll.BDP(J108,"PX_LAST")</f>
        <v>#N/A Connection</v>
      </c>
      <c r="H108" t="s">
        <v>137</v>
      </c>
      <c r="I108" t="str">
        <f t="shared" ca="1" si="13"/>
        <v>ESZ9 Comdty</v>
      </c>
      <c r="J108" t="s">
        <v>143</v>
      </c>
    </row>
    <row r="109" spans="1:10" x14ac:dyDescent="0.25">
      <c r="A109" s="1">
        <f ca="1">EDATE(Swap_Date,3)</f>
        <v>43661</v>
      </c>
      <c r="B109" t="str">
        <f ca="1">_xll.BDP(H109,"PX_LAST")</f>
        <v>#N/A Connection</v>
      </c>
      <c r="C109" s="1">
        <f t="shared" ca="1" si="14"/>
        <v>43908</v>
      </c>
      <c r="D109" t="e">
        <f ca="1">100-_xll.BDP(I109,"PX_LAST")</f>
        <v>#VALUE!</v>
      </c>
      <c r="E109" s="1">
        <f t="shared" ca="1" si="15"/>
        <v>45397</v>
      </c>
      <c r="F109" t="str">
        <f ca="1">_xll.BDP(J109,"PX_LAST")</f>
        <v>#N/A Connection</v>
      </c>
      <c r="H109" t="s">
        <v>138</v>
      </c>
      <c r="I109" t="str">
        <f t="shared" ca="1" si="13"/>
        <v>ESH0 Comdty</v>
      </c>
      <c r="J109" t="s">
        <v>144</v>
      </c>
    </row>
    <row r="110" spans="1:10" x14ac:dyDescent="0.25">
      <c r="A110" s="1">
        <f ca="1">EDATE(Swap_Date,6)</f>
        <v>43753</v>
      </c>
      <c r="B110" t="str">
        <f ca="1">_xll.BDP(H110,"PX_LAST")</f>
        <v>#N/A Connection</v>
      </c>
      <c r="C110" s="1">
        <f t="shared" ca="1" si="14"/>
        <v>43999</v>
      </c>
      <c r="D110" t="e">
        <f ca="1">100-_xll.BDP(I110,"PX_LAST")</f>
        <v>#VALUE!</v>
      </c>
      <c r="E110" s="1">
        <f t="shared" ca="1" si="15"/>
        <v>45762</v>
      </c>
      <c r="F110" t="str">
        <f ca="1">_xll.BDP(J110,"PX_LAST")</f>
        <v>#N/A Connection</v>
      </c>
      <c r="H110" t="s">
        <v>139</v>
      </c>
      <c r="I110" t="str">
        <f t="shared" ca="1" si="13"/>
        <v>ESM0 Comdty</v>
      </c>
      <c r="J110" t="s">
        <v>145</v>
      </c>
    </row>
    <row r="111" spans="1:10" x14ac:dyDescent="0.25">
      <c r="A111" s="1">
        <f ca="1">EDATE(Swap_Date,12)</f>
        <v>43936</v>
      </c>
      <c r="B111" t="str">
        <f ca="1">_xll.BDP(H111,"PX_LAST")</f>
        <v>#N/A Connection</v>
      </c>
      <c r="C111" s="1">
        <f t="shared" ca="1" si="14"/>
        <v>44090</v>
      </c>
      <c r="D111" t="e">
        <f ca="1">100-_xll.BDP(I111,"PX_LAST")</f>
        <v>#VALUE!</v>
      </c>
      <c r="E111" s="1">
        <f t="shared" ca="1" si="15"/>
        <v>46127</v>
      </c>
      <c r="F111" t="str">
        <f ca="1">_xll.BDP(J111,"PX_LAST")</f>
        <v>#N/A Connection</v>
      </c>
      <c r="H111" t="s">
        <v>140</v>
      </c>
      <c r="I111" t="str">
        <f t="shared" ca="1" si="13"/>
        <v>ESU0 Comdty</v>
      </c>
      <c r="J111" t="s">
        <v>146</v>
      </c>
    </row>
    <row r="112" spans="1:10" x14ac:dyDescent="0.25">
      <c r="C112" s="1">
        <f t="shared" ca="1" si="14"/>
        <v>44181</v>
      </c>
      <c r="D112" t="e">
        <f ca="1">100-_xll.BDP(I112,"PX_LAST")</f>
        <v>#VALUE!</v>
      </c>
      <c r="E112" s="1">
        <f t="shared" ca="1" si="15"/>
        <v>46492</v>
      </c>
      <c r="F112" t="str">
        <f ca="1">_xll.BDP(J112,"PX_LAST")</f>
        <v>#N/A Connection</v>
      </c>
      <c r="I112" t="str">
        <f t="shared" ca="1" si="13"/>
        <v>ESZ0 Comdty</v>
      </c>
      <c r="J112" t="s">
        <v>147</v>
      </c>
    </row>
    <row r="113" spans="3:10" x14ac:dyDescent="0.25">
      <c r="C113" s="1">
        <f t="shared" ca="1" si="14"/>
        <v>44272</v>
      </c>
      <c r="D113" t="e">
        <f ca="1">100-_xll.BDP(I113,"PX_LAST")</f>
        <v>#VALUE!</v>
      </c>
      <c r="E113" s="1">
        <f t="shared" ca="1" si="15"/>
        <v>46858</v>
      </c>
      <c r="F113" t="str">
        <f ca="1">_xll.BDP(J113,"PX_LAST")</f>
        <v>#N/A Connection</v>
      </c>
      <c r="I113" t="str">
        <f t="shared" ca="1" si="13"/>
        <v>ESH1 Comdty</v>
      </c>
      <c r="J113" t="s">
        <v>148</v>
      </c>
    </row>
    <row r="114" spans="3:10" x14ac:dyDescent="0.25">
      <c r="E114" s="1">
        <f t="shared" ca="1" si="15"/>
        <v>47223</v>
      </c>
      <c r="F114" t="str">
        <f ca="1">_xll.BDP(J114,"PX_LAST")</f>
        <v>#N/A Connection</v>
      </c>
      <c r="J114" t="s">
        <v>149</v>
      </c>
    </row>
    <row r="115" spans="3:10" x14ac:dyDescent="0.25">
      <c r="E115" s="1">
        <f t="shared" ca="1" si="15"/>
        <v>47588</v>
      </c>
      <c r="F115" t="str">
        <f ca="1">_xll.BDP(J115,"PX_LAST")</f>
        <v>#N/A Connection</v>
      </c>
      <c r="J115" t="s">
        <v>150</v>
      </c>
    </row>
    <row r="116" spans="3:10" x14ac:dyDescent="0.25">
      <c r="E116" s="1">
        <f t="shared" ca="1" si="15"/>
        <v>47953</v>
      </c>
      <c r="F116" t="str">
        <f ca="1">_xll.BDP(J116,"PX_LAST")</f>
        <v>#N/A Connection</v>
      </c>
      <c r="J116" t="s">
        <v>151</v>
      </c>
    </row>
    <row r="117" spans="3:10" x14ac:dyDescent="0.25">
      <c r="E117" s="1">
        <f t="shared" ca="1" si="15"/>
        <v>48319</v>
      </c>
      <c r="F117" t="str">
        <f ca="1">_xll.BDP(J117,"PX_LAST")</f>
        <v>#N/A Connection</v>
      </c>
      <c r="J117" t="s">
        <v>152</v>
      </c>
    </row>
    <row r="118" spans="3:10" x14ac:dyDescent="0.25">
      <c r="E118" s="1">
        <f t="shared" ca="1" si="15"/>
        <v>48684</v>
      </c>
      <c r="F118" t="str">
        <f ca="1">_xll.BDP(J118,"PX_LAST")</f>
        <v>#N/A Connection</v>
      </c>
      <c r="J118" t="s">
        <v>153</v>
      </c>
    </row>
    <row r="119" spans="3:10" x14ac:dyDescent="0.25">
      <c r="E119" s="1">
        <f t="shared" ca="1" si="15"/>
        <v>49049</v>
      </c>
      <c r="F119" t="str">
        <f ca="1">_xll.BDP(J119,"PX_LAST")</f>
        <v>#N/A Connection</v>
      </c>
      <c r="J119" t="s">
        <v>154</v>
      </c>
    </row>
    <row r="120" spans="3:10" x14ac:dyDescent="0.25">
      <c r="E120" s="1">
        <f ca="1">EDATE(E119,60)</f>
        <v>50875</v>
      </c>
      <c r="F120" t="str">
        <f ca="1">_xll.BDP(J120,"PX_LAST")</f>
        <v>#N/A Connection</v>
      </c>
      <c r="J120" t="s">
        <v>155</v>
      </c>
    </row>
    <row r="121" spans="3:10" x14ac:dyDescent="0.25">
      <c r="E121" s="1">
        <f ca="1">EDATE(E120,60)</f>
        <v>52702</v>
      </c>
      <c r="F121" t="str">
        <f ca="1">_xll.BDP(J121,"PX_LAST")</f>
        <v>#N/A Connection</v>
      </c>
      <c r="J121" t="s">
        <v>156</v>
      </c>
    </row>
    <row r="122" spans="3:10" x14ac:dyDescent="0.25">
      <c r="E122" s="1">
        <f ca="1">EDATE(E121,60)</f>
        <v>54528</v>
      </c>
      <c r="F122" t="str">
        <f ca="1">_xll.BDP(J122,"PX_LAST")</f>
        <v>#N/A Connection</v>
      </c>
      <c r="J122" t="s">
        <v>157</v>
      </c>
    </row>
    <row r="123" spans="3:10" x14ac:dyDescent="0.25">
      <c r="E123" s="1">
        <f ca="1">EDATE(E122,120)</f>
        <v>58180</v>
      </c>
      <c r="F123" t="str">
        <f ca="1">_xll.BDP(J123,"PX_LAST")</f>
        <v>#N/A Connection</v>
      </c>
      <c r="J123" t="s">
        <v>158</v>
      </c>
    </row>
    <row r="124" spans="3:10" x14ac:dyDescent="0.25">
      <c r="E124" s="1">
        <f ca="1">EDATE(E123,12)</f>
        <v>58546</v>
      </c>
      <c r="F124" t="str">
        <f ca="1">F123</f>
        <v>#N/A Connection</v>
      </c>
    </row>
    <row r="125" spans="3:10" x14ac:dyDescent="0.25">
      <c r="E125" s="1"/>
    </row>
    <row r="129" spans="1:10" x14ac:dyDescent="0.25">
      <c r="A129" s="7" t="s">
        <v>21</v>
      </c>
      <c r="B129" s="8">
        <v>6</v>
      </c>
      <c r="C129" s="8"/>
      <c r="D129" s="8">
        <v>7</v>
      </c>
      <c r="E129" s="8"/>
      <c r="F129" s="8">
        <v>100</v>
      </c>
    </row>
    <row r="130" spans="1:10" x14ac:dyDescent="0.25">
      <c r="A130" t="s">
        <v>28</v>
      </c>
      <c r="B130" t="s">
        <v>29</v>
      </c>
      <c r="C130" t="s">
        <v>30</v>
      </c>
      <c r="D130" t="s">
        <v>31</v>
      </c>
      <c r="E130" t="s">
        <v>32</v>
      </c>
      <c r="F130" t="s">
        <v>33</v>
      </c>
      <c r="I130" t="s">
        <v>655</v>
      </c>
    </row>
    <row r="131" spans="1:10" x14ac:dyDescent="0.25">
      <c r="A131" s="1">
        <f ca="1">WORKDAY(Swap_Date,1)</f>
        <v>43571</v>
      </c>
      <c r="B131" t="str">
        <f ca="1">_xll.BDP(H131,"PX_LAST")</f>
        <v>#N/A Connection</v>
      </c>
      <c r="C131" s="1">
        <f ca="1">nextimm(Swap_Date)</f>
        <v>43635</v>
      </c>
      <c r="D131" t="str">
        <f ca="1">IF(ISNUMBER(_xll.BDP(I131,"PX_LAST")),100-_xll.BDP(I131,"PX_LAST"),B134)</f>
        <v>#N/A Connection</v>
      </c>
      <c r="E131" s="1">
        <f ca="1">EDATE(Swap_Date,24)</f>
        <v>44301</v>
      </c>
      <c r="F131" t="str">
        <f ca="1">_xll.BDP(J131,"PX_LAST")</f>
        <v>#N/A Connection</v>
      </c>
      <c r="H131" t="s">
        <v>159</v>
      </c>
      <c r="I131" t="str">
        <f ca="1">$I$130&amp;$L6&amp;" "&amp;$I$4</f>
        <v>BAM9 Comdty</v>
      </c>
      <c r="J131" t="s">
        <v>165</v>
      </c>
    </row>
    <row r="132" spans="1:10" x14ac:dyDescent="0.25">
      <c r="A132" s="1">
        <f ca="1">EDATE(Swap_Date,1)</f>
        <v>43600</v>
      </c>
      <c r="B132" t="str">
        <f ca="1">_xll.BDP(H132,"PX_LAST")</f>
        <v>#N/A Connection</v>
      </c>
      <c r="C132" s="1">
        <f ca="1">nextimm(C131+1)</f>
        <v>43726</v>
      </c>
      <c r="D132" t="e">
        <f ca="1">IFERROR(100-_xll.BDP(I132,"PX_LAST"),0.5*(D131+D133))</f>
        <v>#VALUE!</v>
      </c>
      <c r="E132" s="1">
        <f ca="1">EDATE(E131,12)</f>
        <v>44666</v>
      </c>
      <c r="F132" t="str">
        <f ca="1">_xll.BDP(J132,"PX_LAST")</f>
        <v>#N/A Connection</v>
      </c>
      <c r="H132" t="s">
        <v>160</v>
      </c>
      <c r="I132" t="str">
        <f t="shared" ref="I132:I138" ca="1" si="16">$I$130&amp;$L7&amp;" "&amp;$I$4</f>
        <v>BAU9 Comdty</v>
      </c>
      <c r="J132" t="s">
        <v>166</v>
      </c>
    </row>
    <row r="133" spans="1:10" x14ac:dyDescent="0.25">
      <c r="A133" s="1">
        <f ca="1">EDATE(Swap_Date,2)</f>
        <v>43631</v>
      </c>
      <c r="B133" t="str">
        <f ca="1">_xll.BDP(H133,"PX_LAST")</f>
        <v>#N/A Connection</v>
      </c>
      <c r="C133" s="1">
        <f t="shared" ref="C133:C138" ca="1" si="17">nextimm(C132+1)</f>
        <v>43817</v>
      </c>
      <c r="D133" t="e">
        <f ca="1">100-_xll.BDP(I133,"PX_LAST")</f>
        <v>#VALUE!</v>
      </c>
      <c r="E133" s="1">
        <f t="shared" ref="E133:E139" ca="1" si="18">EDATE(E132,12)</f>
        <v>45031</v>
      </c>
      <c r="F133" t="str">
        <f ca="1">_xll.BDP(J133,"PX_LAST")</f>
        <v>#N/A Connection</v>
      </c>
      <c r="H133" t="s">
        <v>161</v>
      </c>
      <c r="I133" t="str">
        <f t="shared" ca="1" si="16"/>
        <v>BAZ9 Comdty</v>
      </c>
      <c r="J133" t="s">
        <v>167</v>
      </c>
    </row>
    <row r="134" spans="1:10" x14ac:dyDescent="0.25">
      <c r="A134" s="1">
        <f ca="1">EDATE(Swap_Date,3)</f>
        <v>43661</v>
      </c>
      <c r="B134" t="str">
        <f ca="1">_xll.BDP(H134,"PX_LAST")</f>
        <v>#N/A Connection</v>
      </c>
      <c r="C134" s="1">
        <f t="shared" ca="1" si="17"/>
        <v>43908</v>
      </c>
      <c r="D134" t="e">
        <f ca="1">100-_xll.BDP(I134,"PX_LAST")</f>
        <v>#VALUE!</v>
      </c>
      <c r="E134" s="1">
        <f t="shared" ca="1" si="18"/>
        <v>45397</v>
      </c>
      <c r="F134" t="str">
        <f ca="1">_xll.BDP(J134,"PX_LAST")</f>
        <v>#N/A Connection</v>
      </c>
      <c r="H134" t="s">
        <v>162</v>
      </c>
      <c r="I134" t="str">
        <f t="shared" ca="1" si="16"/>
        <v>BAH0 Comdty</v>
      </c>
      <c r="J134" t="s">
        <v>168</v>
      </c>
    </row>
    <row r="135" spans="1:10" x14ac:dyDescent="0.25">
      <c r="A135" s="1">
        <f ca="1">EDATE(Swap_Date,6)</f>
        <v>43753</v>
      </c>
      <c r="B135" t="str">
        <f ca="1">_xll.BDP(H135,"PX_LAST")</f>
        <v>#N/A Connection</v>
      </c>
      <c r="C135" s="1">
        <f t="shared" ca="1" si="17"/>
        <v>43999</v>
      </c>
      <c r="D135" t="e">
        <f ca="1">100-_xll.BDP(I135,"PX_LAST")</f>
        <v>#VALUE!</v>
      </c>
      <c r="E135" s="1">
        <f t="shared" ca="1" si="18"/>
        <v>45762</v>
      </c>
      <c r="F135" t="str">
        <f ca="1">_xll.BDP(J135,"PX_LAST")</f>
        <v>#N/A Connection</v>
      </c>
      <c r="H135" t="s">
        <v>163</v>
      </c>
      <c r="I135" t="str">
        <f t="shared" ca="1" si="16"/>
        <v>BAM0 Comdty</v>
      </c>
      <c r="J135" t="s">
        <v>169</v>
      </c>
    </row>
    <row r="136" spans="1:10" x14ac:dyDescent="0.25">
      <c r="A136" s="1">
        <f ca="1">EDATE(Swap_Date,12)</f>
        <v>43936</v>
      </c>
      <c r="B136" t="str">
        <f ca="1">_xll.BDP(H136,"PX_LAST")</f>
        <v>#N/A Connection</v>
      </c>
      <c r="C136" s="1">
        <f t="shared" ca="1" si="17"/>
        <v>44090</v>
      </c>
      <c r="D136" t="e">
        <f ca="1">100-_xll.BDP(I136,"PX_LAST")</f>
        <v>#VALUE!</v>
      </c>
      <c r="E136" s="1">
        <f t="shared" ca="1" si="18"/>
        <v>46127</v>
      </c>
      <c r="F136" t="str">
        <f ca="1">_xll.BDP(J136,"PX_LAST")</f>
        <v>#N/A Connection</v>
      </c>
      <c r="H136" t="s">
        <v>164</v>
      </c>
      <c r="I136" t="str">
        <f t="shared" ca="1" si="16"/>
        <v>BAU0 Comdty</v>
      </c>
      <c r="J136" t="s">
        <v>170</v>
      </c>
    </row>
    <row r="137" spans="1:10" x14ac:dyDescent="0.25">
      <c r="C137" s="1">
        <f t="shared" ca="1" si="17"/>
        <v>44181</v>
      </c>
      <c r="D137" t="e">
        <f ca="1">100-_xll.BDP(I137,"PX_LAST")</f>
        <v>#VALUE!</v>
      </c>
      <c r="E137" s="1">
        <f t="shared" ca="1" si="18"/>
        <v>46492</v>
      </c>
      <c r="F137" t="str">
        <f ca="1">_xll.BDP(J137,"PX_LAST")</f>
        <v>#N/A Connection</v>
      </c>
      <c r="I137" t="str">
        <f t="shared" ca="1" si="16"/>
        <v>BAZ0 Comdty</v>
      </c>
      <c r="J137" t="s">
        <v>171</v>
      </c>
    </row>
    <row r="138" spans="1:10" x14ac:dyDescent="0.25">
      <c r="C138" s="1">
        <f t="shared" ca="1" si="17"/>
        <v>44272</v>
      </c>
      <c r="D138" t="e">
        <f ca="1">100-_xll.BDP(I138,"PX_LAST")</f>
        <v>#VALUE!</v>
      </c>
      <c r="E138" s="1">
        <f t="shared" ca="1" si="18"/>
        <v>46858</v>
      </c>
      <c r="F138" t="str">
        <f ca="1">_xll.BDP(J138,"PX_LAST")</f>
        <v>#N/A Connection</v>
      </c>
      <c r="I138" t="str">
        <f t="shared" ca="1" si="16"/>
        <v>BAH1 Comdty</v>
      </c>
      <c r="J138" t="s">
        <v>172</v>
      </c>
    </row>
    <row r="139" spans="1:10" x14ac:dyDescent="0.25">
      <c r="E139" s="1">
        <f t="shared" ca="1" si="18"/>
        <v>47223</v>
      </c>
      <c r="F139" t="str">
        <f ca="1">_xll.BDP(J139,"PX_LAST")</f>
        <v>#N/A Connection</v>
      </c>
      <c r="J139" t="s">
        <v>173</v>
      </c>
    </row>
    <row r="140" spans="1:10" x14ac:dyDescent="0.25">
      <c r="E140" s="1">
        <f ca="1">EDATE(E139,24)</f>
        <v>47953</v>
      </c>
      <c r="F140" t="str">
        <f ca="1">_xll.BDP(J140,"PX_LAST")</f>
        <v>#N/A Connection</v>
      </c>
      <c r="J140" t="s">
        <v>174</v>
      </c>
    </row>
    <row r="141" spans="1:10" x14ac:dyDescent="0.25">
      <c r="E141" s="1">
        <f ca="1">EDATE(E140,36)</f>
        <v>49049</v>
      </c>
      <c r="F141" t="str">
        <f ca="1">_xll.BDP(J141,"PX_LAST")</f>
        <v>#N/A Connection</v>
      </c>
      <c r="J141" t="s">
        <v>175</v>
      </c>
    </row>
    <row r="142" spans="1:10" x14ac:dyDescent="0.25">
      <c r="E142" s="1">
        <f ca="1">EDATE(E141,60)</f>
        <v>50875</v>
      </c>
      <c r="F142" t="str">
        <f ca="1">_xll.BDP(J142,"PX_LAST")</f>
        <v>#N/A Connection</v>
      </c>
      <c r="J142" t="s">
        <v>176</v>
      </c>
    </row>
    <row r="143" spans="1:10" x14ac:dyDescent="0.25">
      <c r="E143" s="1">
        <f ca="1">EDATE(E142,60)</f>
        <v>52702</v>
      </c>
      <c r="F143" t="str">
        <f ca="1">_xll.BDP(J143,"PX_LAST")</f>
        <v>#N/A Connection</v>
      </c>
      <c r="J143" t="s">
        <v>177</v>
      </c>
    </row>
    <row r="144" spans="1:10" x14ac:dyDescent="0.25">
      <c r="E144" s="1">
        <f ca="1">EDATE(E143,60)</f>
        <v>54528</v>
      </c>
      <c r="F144" t="str">
        <f ca="1">_xll.BDP(J144,"PX_LAST")</f>
        <v>#N/A Connection</v>
      </c>
      <c r="J144" t="s">
        <v>178</v>
      </c>
    </row>
    <row r="145" spans="1:16" x14ac:dyDescent="0.25">
      <c r="E145" s="1">
        <f ca="1">EDATE(E144,120)</f>
        <v>58180</v>
      </c>
      <c r="F145" t="str">
        <f ca="1">_xll.BDP(J145,"PX_LAST")</f>
        <v>#N/A Connection</v>
      </c>
      <c r="J145" t="s">
        <v>179</v>
      </c>
    </row>
    <row r="146" spans="1:16" x14ac:dyDescent="0.25">
      <c r="E146" s="1">
        <f ca="1">EDATE(E145,12)</f>
        <v>58546</v>
      </c>
      <c r="F146" t="str">
        <f ca="1">F145</f>
        <v>#N/A Connection</v>
      </c>
    </row>
    <row r="154" spans="1:16" x14ac:dyDescent="0.25">
      <c r="A154" s="7" t="s">
        <v>181</v>
      </c>
      <c r="B154" s="8">
        <v>6</v>
      </c>
      <c r="C154" s="8"/>
      <c r="D154" s="8">
        <v>0</v>
      </c>
      <c r="E154" s="8"/>
      <c r="F154" s="8">
        <v>100</v>
      </c>
      <c r="H154" t="s">
        <v>298</v>
      </c>
      <c r="K154" t="s">
        <v>299</v>
      </c>
      <c r="L154" t="e">
        <f ca="1">F165-F160</f>
        <v>#VALUE!</v>
      </c>
    </row>
    <row r="155" spans="1:16" x14ac:dyDescent="0.25">
      <c r="A155" t="s">
        <v>28</v>
      </c>
      <c r="B155" t="s">
        <v>29</v>
      </c>
      <c r="C155" t="s">
        <v>30</v>
      </c>
      <c r="D155" t="s">
        <v>31</v>
      </c>
      <c r="E155" t="s">
        <v>32</v>
      </c>
      <c r="F155" t="s">
        <v>33</v>
      </c>
    </row>
    <row r="156" spans="1:16" x14ac:dyDescent="0.25">
      <c r="A156" s="1">
        <f ca="1">WORKDAY(Swap_Date,1)</f>
        <v>43571</v>
      </c>
      <c r="B156" t="str">
        <f ca="1">B157</f>
        <v>#N/A Connection</v>
      </c>
      <c r="C156" s="1">
        <f ca="1">nextimm(Swap_Date)</f>
        <v>43635</v>
      </c>
      <c r="D156" t="s">
        <v>197</v>
      </c>
      <c r="E156" s="1">
        <f ca="1">EDATE(Swap_Date,12)</f>
        <v>43936</v>
      </c>
      <c r="F156" t="str">
        <f ca="1">_xll.BDP(J156,"PX_LAST")</f>
        <v>#N/A Connection</v>
      </c>
      <c r="J156" t="s">
        <v>187</v>
      </c>
      <c r="L156" s="18"/>
      <c r="N156">
        <v>5.7073999999999998</v>
      </c>
      <c r="O156" t="e">
        <f ca="1">F156-N156</f>
        <v>#VALUE!</v>
      </c>
      <c r="P156" t="e">
        <f ca="1">F156-O156</f>
        <v>#VALUE!</v>
      </c>
    </row>
    <row r="157" spans="1:16" x14ac:dyDescent="0.25">
      <c r="A157" s="1">
        <f ca="1">EDATE(Swap_Date,1)</f>
        <v>43600</v>
      </c>
      <c r="B157" t="str">
        <f ca="1">_xll.BDP(H157,"PX_LAST")</f>
        <v>#N/A Connection</v>
      </c>
      <c r="C157" s="1">
        <f ca="1">nextimm(C156+1)</f>
        <v>43726</v>
      </c>
      <c r="D157" t="s">
        <v>197</v>
      </c>
      <c r="E157" s="1">
        <f ca="1">EDATE(E156,12)</f>
        <v>44301</v>
      </c>
      <c r="F157" t="str">
        <f ca="1">_xll.BDP(J157,"PX_LAST")</f>
        <v>#N/A Connection</v>
      </c>
      <c r="G157" t="e">
        <f t="shared" ref="G157:G164" ca="1" si="19">100*(F157-F156)</f>
        <v>#VALUE!</v>
      </c>
      <c r="H157" t="s">
        <v>182</v>
      </c>
      <c r="J157" t="s">
        <v>188</v>
      </c>
      <c r="N157">
        <v>6.5526</v>
      </c>
      <c r="O157" t="e">
        <f t="shared" ref="O157:O164" ca="1" si="20">F157-N157</f>
        <v>#VALUE!</v>
      </c>
      <c r="P157" t="e">
        <f t="shared" ref="P157:P172" ca="1" si="21">F157-O157</f>
        <v>#VALUE!</v>
      </c>
    </row>
    <row r="158" spans="1:16" x14ac:dyDescent="0.25">
      <c r="A158" s="1">
        <f ca="1">EDATE(A157,1)</f>
        <v>43631</v>
      </c>
      <c r="B158" t="str">
        <f ca="1">$B$157</f>
        <v>#N/A Connection</v>
      </c>
      <c r="C158" s="1">
        <f t="shared" ref="C158:C163" ca="1" si="22">nextimm(C157+1)</f>
        <v>43817</v>
      </c>
      <c r="D158" t="s">
        <v>197</v>
      </c>
      <c r="E158" s="1">
        <f ca="1">EDATE(E157,12)</f>
        <v>44666</v>
      </c>
      <c r="F158" t="str">
        <f ca="1">_xll.BDP(J158,"PX_LAST")</f>
        <v>#N/A Connection</v>
      </c>
      <c r="G158" t="e">
        <f t="shared" ca="1" si="19"/>
        <v>#VALUE!</v>
      </c>
      <c r="H158" t="s">
        <v>183</v>
      </c>
      <c r="J158" t="s">
        <v>189</v>
      </c>
      <c r="N158">
        <v>7.1788999999999996</v>
      </c>
      <c r="O158" t="e">
        <f t="shared" ca="1" si="20"/>
        <v>#VALUE!</v>
      </c>
      <c r="P158" t="e">
        <f t="shared" ca="1" si="21"/>
        <v>#VALUE!</v>
      </c>
    </row>
    <row r="159" spans="1:16" x14ac:dyDescent="0.25">
      <c r="A159" s="1">
        <f ca="1">EDATE(A158,1)</f>
        <v>43661</v>
      </c>
      <c r="B159" t="str">
        <f ca="1">_xll.BDP(H159,"PX_LAST")</f>
        <v>#N/A Connection</v>
      </c>
      <c r="C159" s="1">
        <f t="shared" ca="1" si="22"/>
        <v>43908</v>
      </c>
      <c r="D159" t="s">
        <v>197</v>
      </c>
      <c r="E159" s="1">
        <f t="shared" ref="E159:E165" ca="1" si="23">EDATE(E158,12)</f>
        <v>45031</v>
      </c>
      <c r="F159" t="str">
        <f ca="1">_xll.BDP(J159,"PX_LAST")</f>
        <v>#N/A Connection</v>
      </c>
      <c r="G159" t="e">
        <f t="shared" ca="1" si="19"/>
        <v>#VALUE!</v>
      </c>
      <c r="H159" t="s">
        <v>184</v>
      </c>
      <c r="J159" t="s">
        <v>190</v>
      </c>
      <c r="N159">
        <v>7.5522999999999998</v>
      </c>
      <c r="O159" t="e">
        <f t="shared" ca="1" si="20"/>
        <v>#VALUE!</v>
      </c>
      <c r="P159" t="e">
        <f t="shared" ca="1" si="21"/>
        <v>#VALUE!</v>
      </c>
    </row>
    <row r="160" spans="1:16" x14ac:dyDescent="0.25">
      <c r="A160" s="1">
        <f ca="1">EDATE(A159,3)</f>
        <v>43753</v>
      </c>
      <c r="B160" t="str">
        <f ca="1">_xll.BDP(H160,"PX_LAST")</f>
        <v>#N/A Connection</v>
      </c>
      <c r="C160" s="1">
        <f t="shared" ca="1" si="22"/>
        <v>43999</v>
      </c>
      <c r="D160" t="s">
        <v>197</v>
      </c>
      <c r="E160" s="1">
        <f t="shared" ca="1" si="23"/>
        <v>45397</v>
      </c>
      <c r="F160" t="str">
        <f ca="1">_xll.BDP(J160,"PX_LAST")</f>
        <v>#N/A Connection</v>
      </c>
      <c r="G160" t="e">
        <f t="shared" ca="1" si="19"/>
        <v>#VALUE!</v>
      </c>
      <c r="H160" t="s">
        <v>185</v>
      </c>
      <c r="J160" t="s">
        <v>191</v>
      </c>
      <c r="N160">
        <v>7.8151999999999999</v>
      </c>
      <c r="O160" t="e">
        <f t="shared" ca="1" si="20"/>
        <v>#VALUE!</v>
      </c>
      <c r="P160" t="e">
        <f t="shared" ca="1" si="21"/>
        <v>#VALUE!</v>
      </c>
    </row>
    <row r="161" spans="1:16" x14ac:dyDescent="0.25">
      <c r="A161" s="1">
        <f ca="1">EDATE(A160,3)</f>
        <v>43845</v>
      </c>
      <c r="B161" t="str">
        <f ca="1">_xll.BDP(H161,"PX_LAST")</f>
        <v>#N/A Connection</v>
      </c>
      <c r="C161" s="1">
        <f t="shared" ca="1" si="22"/>
        <v>44090</v>
      </c>
      <c r="D161" t="s">
        <v>197</v>
      </c>
      <c r="E161" s="1">
        <f t="shared" ca="1" si="23"/>
        <v>45762</v>
      </c>
      <c r="F161" t="str">
        <f ca="1">_xll.BDP(J161,"PX_LAST")</f>
        <v>#N/A Connection</v>
      </c>
      <c r="G161" t="e">
        <f t="shared" ca="1" si="19"/>
        <v>#VALUE!</v>
      </c>
      <c r="H161" t="s">
        <v>186</v>
      </c>
      <c r="J161" t="s">
        <v>192</v>
      </c>
      <c r="N161">
        <v>8.0724999999999998</v>
      </c>
      <c r="O161" t="e">
        <f t="shared" ca="1" si="20"/>
        <v>#VALUE!</v>
      </c>
      <c r="P161" t="e">
        <f t="shared" ca="1" si="21"/>
        <v>#VALUE!</v>
      </c>
    </row>
    <row r="162" spans="1:16" x14ac:dyDescent="0.25">
      <c r="C162" s="1">
        <f t="shared" ca="1" si="22"/>
        <v>44181</v>
      </c>
      <c r="D162" t="s">
        <v>197</v>
      </c>
      <c r="E162" s="1">
        <f t="shared" ca="1" si="23"/>
        <v>46127</v>
      </c>
      <c r="F162" t="str">
        <f ca="1">_xll.BDP(J162,"PX_LAST")</f>
        <v>#N/A Connection</v>
      </c>
      <c r="G162" t="e">
        <f t="shared" ca="1" si="19"/>
        <v>#VALUE!</v>
      </c>
      <c r="J162" t="s">
        <v>193</v>
      </c>
      <c r="N162">
        <v>8.2072000000000003</v>
      </c>
      <c r="O162" t="e">
        <f t="shared" ca="1" si="20"/>
        <v>#VALUE!</v>
      </c>
      <c r="P162" t="e">
        <f t="shared" ca="1" si="21"/>
        <v>#VALUE!</v>
      </c>
    </row>
    <row r="163" spans="1:16" x14ac:dyDescent="0.25">
      <c r="C163" s="1">
        <f t="shared" ca="1" si="22"/>
        <v>44272</v>
      </c>
      <c r="D163" t="s">
        <v>197</v>
      </c>
      <c r="E163" s="1">
        <f t="shared" ca="1" si="23"/>
        <v>46492</v>
      </c>
      <c r="F163" t="str">
        <f ca="1">_xll.BDP(J163,"PX_LAST")</f>
        <v>#N/A Connection</v>
      </c>
      <c r="G163" t="e">
        <f t="shared" ca="1" si="19"/>
        <v>#VALUE!</v>
      </c>
      <c r="J163" t="s">
        <v>194</v>
      </c>
      <c r="N163">
        <v>8.3289000000000009</v>
      </c>
      <c r="O163" t="e">
        <f t="shared" ca="1" si="20"/>
        <v>#VALUE!</v>
      </c>
      <c r="P163" t="e">
        <f t="shared" ca="1" si="21"/>
        <v>#VALUE!</v>
      </c>
    </row>
    <row r="164" spans="1:16" x14ac:dyDescent="0.25">
      <c r="E164" s="1">
        <f t="shared" ca="1" si="23"/>
        <v>46858</v>
      </c>
      <c r="F164" t="str">
        <f ca="1">_xll.BDP(J164,"PX_LAST")</f>
        <v>#N/A Connection</v>
      </c>
      <c r="G164" t="e">
        <f t="shared" ca="1" si="19"/>
        <v>#VALUE!</v>
      </c>
      <c r="J164" t="s">
        <v>195</v>
      </c>
      <c r="N164">
        <v>8.3926999999999996</v>
      </c>
      <c r="O164" t="e">
        <f t="shared" ca="1" si="20"/>
        <v>#VALUE!</v>
      </c>
      <c r="P164" t="e">
        <f t="shared" ca="1" si="21"/>
        <v>#VALUE!</v>
      </c>
    </row>
    <row r="165" spans="1:16" x14ac:dyDescent="0.25">
      <c r="E165" s="1">
        <f t="shared" ca="1" si="23"/>
        <v>47223</v>
      </c>
      <c r="F165" t="str">
        <f ca="1">_xll.BDP(J165,"PX_LAST")</f>
        <v>#N/A Connection</v>
      </c>
      <c r="G165" t="e">
        <f ca="1">100*(F165-F164)</f>
        <v>#VALUE!</v>
      </c>
      <c r="J165" t="s">
        <v>196</v>
      </c>
      <c r="O165" t="e">
        <f ca="1">O164</f>
        <v>#VALUE!</v>
      </c>
      <c r="P165" t="e">
        <f t="shared" ca="1" si="21"/>
        <v>#VALUE!</v>
      </c>
    </row>
    <row r="166" spans="1:16" x14ac:dyDescent="0.25">
      <c r="E166" s="1">
        <f ca="1">EDATE(E165,24)</f>
        <v>47953</v>
      </c>
      <c r="F166" t="e">
        <f ca="1">F165+(E166-E165)/(E167-E165)*(F167-F165)</f>
        <v>#VALUE!</v>
      </c>
      <c r="J166" t="s">
        <v>196</v>
      </c>
      <c r="O166" t="e">
        <f t="shared" ref="O166:O172" ca="1" si="24">O165</f>
        <v>#VALUE!</v>
      </c>
      <c r="P166" t="e">
        <f t="shared" ca="1" si="21"/>
        <v>#VALUE!</v>
      </c>
    </row>
    <row r="167" spans="1:16" x14ac:dyDescent="0.25">
      <c r="E167" s="1">
        <f ca="1">EDATE(E166,36)</f>
        <v>49049</v>
      </c>
      <c r="F167" t="e">
        <f ca="1">F165+(F165-F160)/2</f>
        <v>#VALUE!</v>
      </c>
      <c r="J167" t="s">
        <v>196</v>
      </c>
      <c r="O167" t="e">
        <f t="shared" ca="1" si="24"/>
        <v>#VALUE!</v>
      </c>
      <c r="P167" t="e">
        <f t="shared" ca="1" si="21"/>
        <v>#VALUE!</v>
      </c>
    </row>
    <row r="168" spans="1:16" x14ac:dyDescent="0.25">
      <c r="E168" s="1">
        <f ca="1">EDATE(E167,60)</f>
        <v>50875</v>
      </c>
      <c r="F168" t="e">
        <f ca="1">F167+(F165-F160)/4</f>
        <v>#VALUE!</v>
      </c>
      <c r="J168" t="s">
        <v>196</v>
      </c>
      <c r="O168" t="e">
        <f t="shared" ca="1" si="24"/>
        <v>#VALUE!</v>
      </c>
      <c r="P168" t="e">
        <f t="shared" ca="1" si="21"/>
        <v>#VALUE!</v>
      </c>
    </row>
    <row r="169" spans="1:16" x14ac:dyDescent="0.25">
      <c r="E169" s="1">
        <f ca="1">EDATE(E168,60)</f>
        <v>52702</v>
      </c>
      <c r="F169" t="e">
        <f ca="1">F168+(F165-F160)/8</f>
        <v>#VALUE!</v>
      </c>
      <c r="J169" t="s">
        <v>196</v>
      </c>
      <c r="O169" t="e">
        <f t="shared" ca="1" si="24"/>
        <v>#VALUE!</v>
      </c>
      <c r="P169" t="e">
        <f t="shared" ca="1" si="21"/>
        <v>#VALUE!</v>
      </c>
    </row>
    <row r="170" spans="1:16" x14ac:dyDescent="0.25">
      <c r="E170" s="1">
        <f ca="1">EDATE(E169,60)</f>
        <v>54528</v>
      </c>
      <c r="F170" t="e">
        <f ca="1">F169+(F165-F160)/16</f>
        <v>#VALUE!</v>
      </c>
      <c r="J170" t="s">
        <v>196</v>
      </c>
      <c r="O170" t="e">
        <f t="shared" ca="1" si="24"/>
        <v>#VALUE!</v>
      </c>
      <c r="P170" t="e">
        <f t="shared" ca="1" si="21"/>
        <v>#VALUE!</v>
      </c>
    </row>
    <row r="171" spans="1:16" x14ac:dyDescent="0.25">
      <c r="E171" s="1">
        <f ca="1">EDATE(E170,120)</f>
        <v>58180</v>
      </c>
      <c r="F171" t="e">
        <f ca="1">F170+(F165-F160)/64</f>
        <v>#VALUE!</v>
      </c>
      <c r="J171" t="s">
        <v>196</v>
      </c>
      <c r="O171" t="e">
        <f t="shared" ca="1" si="24"/>
        <v>#VALUE!</v>
      </c>
      <c r="P171" t="e">
        <f t="shared" ca="1" si="21"/>
        <v>#VALUE!</v>
      </c>
    </row>
    <row r="172" spans="1:16" x14ac:dyDescent="0.25">
      <c r="E172" s="1">
        <f ca="1">EDATE(E171,12)</f>
        <v>58546</v>
      </c>
      <c r="F172" t="e">
        <f ca="1">F171</f>
        <v>#VALUE!</v>
      </c>
      <c r="J172" t="s">
        <v>196</v>
      </c>
      <c r="O172" t="e">
        <f t="shared" ca="1" si="24"/>
        <v>#VALUE!</v>
      </c>
      <c r="P172" t="e">
        <f t="shared" ca="1" si="21"/>
        <v>#VALUE!</v>
      </c>
    </row>
    <row r="179" spans="1:10" x14ac:dyDescent="0.25">
      <c r="A179" t="s">
        <v>417</v>
      </c>
      <c r="B179">
        <v>8</v>
      </c>
      <c r="D179">
        <v>0</v>
      </c>
      <c r="F179">
        <v>100</v>
      </c>
    </row>
    <row r="180" spans="1:10" x14ac:dyDescent="0.25">
      <c r="A180" t="s">
        <v>28</v>
      </c>
      <c r="B180" t="s">
        <v>29</v>
      </c>
      <c r="C180" t="s">
        <v>30</v>
      </c>
      <c r="D180" t="s">
        <v>31</v>
      </c>
      <c r="E180" t="s">
        <v>32</v>
      </c>
      <c r="F180" t="s">
        <v>33</v>
      </c>
    </row>
    <row r="181" spans="1:10" x14ac:dyDescent="0.25">
      <c r="A181" s="1">
        <f ca="1">WORKDAY(Swap_Date,1)</f>
        <v>43571</v>
      </c>
      <c r="B181" t="str">
        <f ca="1">_xll.BDP(H181,"PX_LAST")</f>
        <v>#N/A Connection</v>
      </c>
      <c r="C181" s="1">
        <f ca="1">nextimm(Swap_Date)</f>
        <v>43635</v>
      </c>
      <c r="D181" t="s">
        <v>197</v>
      </c>
      <c r="E181" s="1">
        <f ca="1">EDATE(Swap_Date,24)</f>
        <v>44301</v>
      </c>
      <c r="F181" t="str">
        <f ca="1">_xll.BDP(J181,"PX_LAST")</f>
        <v>#N/A Connection</v>
      </c>
      <c r="H181" t="s">
        <v>418</v>
      </c>
      <c r="J181" t="s">
        <v>419</v>
      </c>
    </row>
    <row r="182" spans="1:10" x14ac:dyDescent="0.25">
      <c r="A182" s="1">
        <f ca="1">EDATE(Swap_Date,1)</f>
        <v>43600</v>
      </c>
      <c r="B182" t="str">
        <f ca="1">_xll.BDP(H182,"PX_LAST")</f>
        <v>#N/A Connection</v>
      </c>
      <c r="C182" s="1">
        <f ca="1">nextimm(C181+1)</f>
        <v>43726</v>
      </c>
      <c r="D182" t="s">
        <v>197</v>
      </c>
      <c r="E182" s="1">
        <f ca="1">EDATE(E181,12)</f>
        <v>44666</v>
      </c>
      <c r="F182" t="str">
        <f ca="1">_xll.BDP(J182,"PX_LAST")</f>
        <v>#N/A Connection</v>
      </c>
      <c r="H182" t="s">
        <v>436</v>
      </c>
      <c r="J182" t="s">
        <v>420</v>
      </c>
    </row>
    <row r="183" spans="1:10" x14ac:dyDescent="0.25">
      <c r="A183" s="1">
        <f ca="1">EDATE(Swap_Date,2)</f>
        <v>43631</v>
      </c>
      <c r="B183" t="e">
        <f ca="1">0.5*(B182+B184)</f>
        <v>#VALUE!</v>
      </c>
      <c r="C183" s="1">
        <f t="shared" ref="C183:C188" ca="1" si="25">nextimm(C182+1)</f>
        <v>43817</v>
      </c>
      <c r="D183" t="s">
        <v>197</v>
      </c>
      <c r="E183" s="1">
        <f t="shared" ref="E183:E196" ca="1" si="26">EDATE(E182,12)</f>
        <v>45031</v>
      </c>
      <c r="F183" t="str">
        <f ca="1">_xll.BDP(J183,"PX_LAST")</f>
        <v>#N/A Connection</v>
      </c>
      <c r="J183" t="s">
        <v>421</v>
      </c>
    </row>
    <row r="184" spans="1:10" x14ac:dyDescent="0.25">
      <c r="A184" s="1">
        <f ca="1">EDATE(Swap_Date,3)</f>
        <v>43661</v>
      </c>
      <c r="B184" t="str">
        <f ca="1">_xll.BDP(H184,"PX_LAST")</f>
        <v>#N/A Connection</v>
      </c>
      <c r="C184" s="1">
        <f t="shared" ca="1" si="25"/>
        <v>43908</v>
      </c>
      <c r="D184" t="s">
        <v>197</v>
      </c>
      <c r="E184" s="1">
        <f t="shared" ca="1" si="26"/>
        <v>45397</v>
      </c>
      <c r="F184" t="str">
        <f ca="1">_xll.BDP(J184,"PX_LAST")</f>
        <v>#N/A Connection</v>
      </c>
      <c r="H184" t="s">
        <v>437</v>
      </c>
      <c r="J184" t="s">
        <v>422</v>
      </c>
    </row>
    <row r="185" spans="1:10" x14ac:dyDescent="0.25">
      <c r="A185" s="1">
        <f ca="1">EDATE(Swap_Date,9)</f>
        <v>43845</v>
      </c>
      <c r="B185" t="str">
        <f ca="1">_xll.BDP(H185,"PX_LAST")</f>
        <v>#N/A Connection</v>
      </c>
      <c r="C185" s="1">
        <f t="shared" ca="1" si="25"/>
        <v>43999</v>
      </c>
      <c r="D185" t="s">
        <v>197</v>
      </c>
      <c r="E185" s="1">
        <f t="shared" ca="1" si="26"/>
        <v>45762</v>
      </c>
      <c r="F185" t="str">
        <f ca="1">_xll.BDP(J185,"PX_LAST")</f>
        <v>#N/A Connection</v>
      </c>
      <c r="H185" t="s">
        <v>438</v>
      </c>
      <c r="J185" t="s">
        <v>423</v>
      </c>
    </row>
    <row r="186" spans="1:10" x14ac:dyDescent="0.25">
      <c r="A186" s="1">
        <f ca="1">EDATE(Swap_Date,12)</f>
        <v>43936</v>
      </c>
      <c r="B186" t="str">
        <f ca="1">_xll.BDP(H186,"PX_LAST")</f>
        <v>#N/A Connection</v>
      </c>
      <c r="C186" s="1">
        <f t="shared" ca="1" si="25"/>
        <v>44090</v>
      </c>
      <c r="D186" t="s">
        <v>197</v>
      </c>
      <c r="E186" s="1">
        <f t="shared" ca="1" si="26"/>
        <v>46127</v>
      </c>
      <c r="F186" t="str">
        <f ca="1">_xll.BDP(J186,"PX_LAST")</f>
        <v>#N/A Connection</v>
      </c>
      <c r="H186" t="s">
        <v>439</v>
      </c>
      <c r="J186" t="s">
        <v>424</v>
      </c>
    </row>
    <row r="187" spans="1:10" x14ac:dyDescent="0.25">
      <c r="A187" s="10">
        <f ca="1">EDATE(Swap_Date,18)</f>
        <v>44119</v>
      </c>
      <c r="B187" t="str">
        <f ca="1">_xll.BDP(H187,"PX_LAST")</f>
        <v>#N/A Connection</v>
      </c>
      <c r="C187" s="1">
        <f t="shared" ca="1" si="25"/>
        <v>44181</v>
      </c>
      <c r="D187" t="s">
        <v>197</v>
      </c>
      <c r="E187" s="1">
        <f t="shared" ca="1" si="26"/>
        <v>46492</v>
      </c>
      <c r="F187" t="str">
        <f ca="1">_xll.BDP(J187,"PX_LAST")</f>
        <v>#N/A Connection</v>
      </c>
      <c r="H187" t="s">
        <v>440</v>
      </c>
      <c r="J187" t="s">
        <v>425</v>
      </c>
    </row>
    <row r="188" spans="1:10" x14ac:dyDescent="0.25">
      <c r="A188" s="10">
        <f ca="1">EDATE(Swap_Date,24)</f>
        <v>44301</v>
      </c>
      <c r="B188" s="11" t="e">
        <f ca="1">B187+(B187-B186)</f>
        <v>#VALUE!</v>
      </c>
      <c r="C188" s="1">
        <f t="shared" ca="1" si="25"/>
        <v>44272</v>
      </c>
      <c r="D188" t="s">
        <v>197</v>
      </c>
      <c r="E188" s="1">
        <f t="shared" ca="1" si="26"/>
        <v>46858</v>
      </c>
      <c r="F188" t="str">
        <f ca="1">_xll.BDP(J188,"PX_LAST")</f>
        <v>#N/A Connection</v>
      </c>
      <c r="J188" t="s">
        <v>426</v>
      </c>
    </row>
    <row r="189" spans="1:10" x14ac:dyDescent="0.25">
      <c r="E189" s="1">
        <f t="shared" ca="1" si="26"/>
        <v>47223</v>
      </c>
      <c r="F189" t="str">
        <f ca="1">_xll.BDP(J189,"PX_LAST")</f>
        <v>#N/A Connection</v>
      </c>
      <c r="J189" t="s">
        <v>427</v>
      </c>
    </row>
    <row r="190" spans="1:10" x14ac:dyDescent="0.25">
      <c r="E190" s="1">
        <f t="shared" ca="1" si="26"/>
        <v>47588</v>
      </c>
      <c r="F190" t="e">
        <f ca="1">0.5*(F189+F191)</f>
        <v>#VALUE!</v>
      </c>
      <c r="J190" t="s">
        <v>428</v>
      </c>
    </row>
    <row r="191" spans="1:10" x14ac:dyDescent="0.25">
      <c r="E191" s="1">
        <f t="shared" ca="1" si="26"/>
        <v>47953</v>
      </c>
      <c r="F191" t="str">
        <f ca="1">_xll.BDP(J191,"PX_LAST")</f>
        <v>#N/A Connection</v>
      </c>
      <c r="J191" t="s">
        <v>429</v>
      </c>
    </row>
    <row r="192" spans="1:10" x14ac:dyDescent="0.25">
      <c r="E192" s="1">
        <f t="shared" ca="1" si="26"/>
        <v>48319</v>
      </c>
      <c r="F192" t="e">
        <f ca="1">1/3*(F194-F191)+F191</f>
        <v>#VALUE!</v>
      </c>
      <c r="J192" t="s">
        <v>430</v>
      </c>
    </row>
    <row r="193" spans="5:10" x14ac:dyDescent="0.25">
      <c r="E193" s="1">
        <f t="shared" ca="1" si="26"/>
        <v>48684</v>
      </c>
      <c r="F193" t="e">
        <f ca="1">2/3*(F194-F191)+F191</f>
        <v>#VALUE!</v>
      </c>
      <c r="J193" t="s">
        <v>431</v>
      </c>
    </row>
    <row r="194" spans="5:10" x14ac:dyDescent="0.25">
      <c r="E194" s="1">
        <f t="shared" ca="1" si="26"/>
        <v>49049</v>
      </c>
      <c r="F194" t="str">
        <f ca="1">_xll.BDP(J194,"PX_LAST")</f>
        <v>#N/A Connection</v>
      </c>
      <c r="J194" t="s">
        <v>432</v>
      </c>
    </row>
    <row r="195" spans="5:10" x14ac:dyDescent="0.25">
      <c r="E195" s="1">
        <f t="shared" ca="1" si="26"/>
        <v>49414</v>
      </c>
      <c r="F195" t="e">
        <f ca="1">1/5*(F197-F194)+F194</f>
        <v>#VALUE!</v>
      </c>
      <c r="J195" t="s">
        <v>433</v>
      </c>
    </row>
    <row r="196" spans="5:10" x14ac:dyDescent="0.25">
      <c r="E196" s="1">
        <f t="shared" ca="1" si="26"/>
        <v>49780</v>
      </c>
      <c r="F196" t="e">
        <f ca="1">2/5*(F197-F194)+F194</f>
        <v>#VALUE!</v>
      </c>
      <c r="J196" t="s">
        <v>434</v>
      </c>
    </row>
    <row r="197" spans="5:10" x14ac:dyDescent="0.25">
      <c r="E197" s="1">
        <f ca="1">EDATE(E196,36)</f>
        <v>50875</v>
      </c>
      <c r="F197" t="str">
        <f ca="1">_xll.BDP(J197,"PX_LAST")</f>
        <v>#N/A Connection</v>
      </c>
      <c r="J197" t="s">
        <v>435</v>
      </c>
    </row>
    <row r="198" spans="5:10" x14ac:dyDescent="0.25">
      <c r="E198" s="1">
        <f ca="1">EDATE(E197,60)</f>
        <v>52702</v>
      </c>
      <c r="F198" t="str">
        <f ca="1">F197</f>
        <v>#N/A Connection</v>
      </c>
    </row>
    <row r="199" spans="5:10" x14ac:dyDescent="0.25">
      <c r="E199" s="1">
        <f ca="1">EDATE(E198,60)</f>
        <v>54528</v>
      </c>
      <c r="F199" t="str">
        <f t="shared" ref="F199:F201" ca="1" si="27">F198</f>
        <v>#N/A Connection</v>
      </c>
    </row>
    <row r="200" spans="5:10" x14ac:dyDescent="0.25">
      <c r="E200" s="1">
        <f ca="1">EDATE(E199,120)</f>
        <v>58180</v>
      </c>
      <c r="F200" t="str">
        <f t="shared" ca="1" si="27"/>
        <v>#N/A Connection</v>
      </c>
    </row>
    <row r="201" spans="5:10" x14ac:dyDescent="0.25">
      <c r="E201" s="1">
        <f ca="1">EDATE(E200,12)</f>
        <v>58546</v>
      </c>
      <c r="F201" t="str">
        <f t="shared" ca="1" si="27"/>
        <v>#N/A Connection</v>
      </c>
    </row>
    <row r="202" spans="5:10" x14ac:dyDescent="0.25">
      <c r="E202" s="1"/>
    </row>
  </sheetData>
  <mergeCells count="4">
    <mergeCell ref="M56:N56"/>
    <mergeCell ref="A1:B1"/>
    <mergeCell ref="A2:B2"/>
    <mergeCell ref="A3:B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E506E-78DC-4CD4-A6C0-2353E7DABEC5}">
  <sheetPr codeName="Sheet37"/>
  <dimension ref="A1:E17"/>
  <sheetViews>
    <sheetView workbookViewId="0">
      <selection activeCell="D20" sqref="D20"/>
    </sheetView>
  </sheetViews>
  <sheetFormatPr defaultColWidth="6.85546875" defaultRowHeight="15" x14ac:dyDescent="0.25"/>
  <cols>
    <col min="1" max="2" width="6.85546875" style="14"/>
    <col min="3" max="3" width="11.7109375" style="14" customWidth="1"/>
    <col min="4" max="4" width="23.42578125" style="14" customWidth="1"/>
    <col min="5" max="5" width="11.7109375" style="14" customWidth="1"/>
    <col min="6" max="16384" width="6.85546875" style="14"/>
  </cols>
  <sheetData>
    <row r="1" spans="1:5" x14ac:dyDescent="0.25">
      <c r="A1" s="12" t="s">
        <v>7</v>
      </c>
      <c r="B1" s="12" t="s">
        <v>8</v>
      </c>
      <c r="C1" s="13" t="s">
        <v>9</v>
      </c>
      <c r="D1" s="13" t="s">
        <v>10</v>
      </c>
      <c r="E1" s="13" t="s">
        <v>11</v>
      </c>
    </row>
    <row r="2" spans="1:5" x14ac:dyDescent="0.25">
      <c r="A2" s="12" t="s">
        <v>12</v>
      </c>
      <c r="B2" s="12" t="s">
        <v>13</v>
      </c>
      <c r="C2" s="13" t="str">
        <f>""&amp;A2&amp;B2</f>
        <v>USDEUR</v>
      </c>
      <c r="D2" s="13" t="str">
        <f>""&amp;C2&amp;" Curncy"</f>
        <v>USDEUR Curncy</v>
      </c>
      <c r="E2" s="15" t="str">
        <f ca="1">_xll.BDP($D2, "PX_LAST")</f>
        <v>#N/A Connection</v>
      </c>
    </row>
    <row r="3" spans="1:5" x14ac:dyDescent="0.25">
      <c r="A3" s="12" t="str">
        <f t="shared" ref="A3:A8" si="0">A2</f>
        <v>USD</v>
      </c>
      <c r="B3" s="12" t="s">
        <v>14</v>
      </c>
      <c r="C3" s="13" t="str">
        <f t="shared" ref="C3:C10" si="1">""&amp;A3&amp;B3</f>
        <v>USDGBP</v>
      </c>
      <c r="D3" s="13" t="str">
        <f t="shared" ref="D3:D10" si="2">""&amp;C3&amp;" Curncy"</f>
        <v>USDGBP Curncy</v>
      </c>
      <c r="E3" s="15" t="str">
        <f ca="1">_xll.BDP($D3, "PX_LAST")</f>
        <v>#N/A Connection</v>
      </c>
    </row>
    <row r="4" spans="1:5" x14ac:dyDescent="0.25">
      <c r="A4" s="12" t="str">
        <f t="shared" si="0"/>
        <v>USD</v>
      </c>
      <c r="B4" s="12" t="s">
        <v>15</v>
      </c>
      <c r="C4" s="13" t="str">
        <f t="shared" si="1"/>
        <v>USDKRW</v>
      </c>
      <c r="D4" s="13" t="str">
        <f>""&amp;C4&amp;" CMPN Curncy"</f>
        <v>USDKRW CMPN Curncy</v>
      </c>
      <c r="E4" s="15" t="str">
        <f ca="1">_xll.BDP($D4, "PX_LAST")</f>
        <v>#N/A Connection</v>
      </c>
    </row>
    <row r="5" spans="1:5" x14ac:dyDescent="0.25">
      <c r="A5" s="12" t="str">
        <f t="shared" si="0"/>
        <v>USD</v>
      </c>
      <c r="B5" s="12" t="s">
        <v>16</v>
      </c>
      <c r="C5" s="13" t="str">
        <f t="shared" si="1"/>
        <v>USDNOK</v>
      </c>
      <c r="D5" s="13" t="str">
        <f t="shared" si="2"/>
        <v>USDNOK Curncy</v>
      </c>
      <c r="E5" s="15" t="str">
        <f ca="1">_xll.BDP($D5, "PX_LAST")</f>
        <v>#N/A Connection</v>
      </c>
    </row>
    <row r="6" spans="1:5" x14ac:dyDescent="0.25">
      <c r="A6" s="12" t="str">
        <f t="shared" si="0"/>
        <v>USD</v>
      </c>
      <c r="B6" s="12" t="s">
        <v>17</v>
      </c>
      <c r="C6" s="13" t="str">
        <f t="shared" si="1"/>
        <v>USDSEK</v>
      </c>
      <c r="D6" s="13" t="str">
        <f t="shared" si="2"/>
        <v>USDSEK Curncy</v>
      </c>
      <c r="E6" s="15" t="str">
        <f ca="1">_xll.BDP($D6, "PX_LAST")</f>
        <v>#N/A Connection</v>
      </c>
    </row>
    <row r="7" spans="1:5" x14ac:dyDescent="0.25">
      <c r="A7" s="12" t="str">
        <f t="shared" si="0"/>
        <v>USD</v>
      </c>
      <c r="B7" s="12" t="s">
        <v>18</v>
      </c>
      <c r="C7" s="13" t="str">
        <f t="shared" si="1"/>
        <v>USDTWD</v>
      </c>
      <c r="D7" s="13" t="str">
        <f>""&amp;C7&amp;" CMPN Curncy"</f>
        <v>USDTWD CMPN Curncy</v>
      </c>
      <c r="E7" s="15" t="str">
        <f ca="1">_xll.BDP($D7, "PX_LAST")</f>
        <v>#N/A Connection</v>
      </c>
    </row>
    <row r="8" spans="1:5" x14ac:dyDescent="0.25">
      <c r="A8" s="12" t="str">
        <f t="shared" si="0"/>
        <v>USD</v>
      </c>
      <c r="B8" s="12" t="s">
        <v>12</v>
      </c>
      <c r="C8" s="13" t="str">
        <f t="shared" si="1"/>
        <v>USDUSD</v>
      </c>
      <c r="D8" s="13" t="str">
        <f t="shared" si="2"/>
        <v>USDUSD Curncy</v>
      </c>
      <c r="E8" s="15">
        <v>1</v>
      </c>
    </row>
    <row r="9" spans="1:5" x14ac:dyDescent="0.25">
      <c r="A9" s="12" t="s">
        <v>12</v>
      </c>
      <c r="B9" s="12" t="s">
        <v>19</v>
      </c>
      <c r="C9" s="13" t="str">
        <f t="shared" si="1"/>
        <v>USDJPY</v>
      </c>
      <c r="D9" s="13" t="str">
        <f t="shared" si="2"/>
        <v>USDJPY Curncy</v>
      </c>
      <c r="E9" s="15" t="str">
        <f ca="1">_xll.BDP($D9, "PX_LAST")</f>
        <v>#N/A Connection</v>
      </c>
    </row>
    <row r="10" spans="1:5" x14ac:dyDescent="0.25">
      <c r="A10" s="12" t="s">
        <v>12</v>
      </c>
      <c r="B10" s="12" t="s">
        <v>20</v>
      </c>
      <c r="C10" s="13" t="str">
        <f t="shared" si="1"/>
        <v>USDNZD</v>
      </c>
      <c r="D10" s="13" t="str">
        <f t="shared" si="2"/>
        <v>USDNZD Curncy</v>
      </c>
      <c r="E10" s="15" t="str">
        <f ca="1">_xll.BDP($D10, "PX_LAST")</f>
        <v>#N/A Connection</v>
      </c>
    </row>
    <row r="11" spans="1:5" x14ac:dyDescent="0.25">
      <c r="A11" s="12" t="s">
        <v>12</v>
      </c>
      <c r="B11" s="12" t="s">
        <v>21</v>
      </c>
      <c r="C11" s="13" t="str">
        <f t="shared" ref="C11:C16" si="3">""&amp;A11&amp;B11</f>
        <v>USDCAD</v>
      </c>
      <c r="D11" s="13" t="str">
        <f t="shared" ref="D11:D16" si="4">""&amp;C11&amp;" Curncy"</f>
        <v>USDCAD Curncy</v>
      </c>
      <c r="E11" s="15" t="str">
        <f ca="1">_xll.BDP($D11, "PX_LAST")</f>
        <v>#N/A Connection</v>
      </c>
    </row>
    <row r="12" spans="1:5" x14ac:dyDescent="0.25">
      <c r="A12" s="12" t="s">
        <v>12</v>
      </c>
      <c r="B12" s="12" t="s">
        <v>22</v>
      </c>
      <c r="C12" s="13" t="str">
        <f t="shared" si="3"/>
        <v>USDAUD</v>
      </c>
      <c r="D12" s="13" t="str">
        <f t="shared" si="4"/>
        <v>USDAUD Curncy</v>
      </c>
      <c r="E12" s="15" t="str">
        <f ca="1">_xll.BDP($D12, "PX_LAST")</f>
        <v>#N/A Connection</v>
      </c>
    </row>
    <row r="13" spans="1:5" x14ac:dyDescent="0.25">
      <c r="A13" s="12" t="s">
        <v>12</v>
      </c>
      <c r="B13" s="12" t="s">
        <v>23</v>
      </c>
      <c r="C13" s="13" t="str">
        <f t="shared" si="3"/>
        <v>USDSAR</v>
      </c>
      <c r="D13" s="13" t="str">
        <f t="shared" si="4"/>
        <v>USDSAR Curncy</v>
      </c>
      <c r="E13" s="15" t="str">
        <f ca="1">_xll.BDP($D13, "PX_LAST")</f>
        <v>#N/A Connection</v>
      </c>
    </row>
    <row r="14" spans="1:5" x14ac:dyDescent="0.25">
      <c r="A14" s="12" t="s">
        <v>12</v>
      </c>
      <c r="B14" s="14" t="s">
        <v>198</v>
      </c>
      <c r="C14" s="13" t="str">
        <f t="shared" si="3"/>
        <v>USDCHF</v>
      </c>
      <c r="D14" s="13" t="str">
        <f t="shared" si="4"/>
        <v>USDCHF Curncy</v>
      </c>
      <c r="E14" s="15" t="str">
        <f ca="1">_xll.BDP($D14, "PX_LAST")</f>
        <v>#N/A Connection</v>
      </c>
    </row>
    <row r="15" spans="1:5" x14ac:dyDescent="0.25">
      <c r="A15" s="14" t="s">
        <v>12</v>
      </c>
      <c r="B15" s="14" t="s">
        <v>181</v>
      </c>
      <c r="C15" s="13" t="str">
        <f t="shared" si="3"/>
        <v>USDBRL</v>
      </c>
      <c r="D15" s="13" t="str">
        <f t="shared" si="4"/>
        <v>USDBRL Curncy</v>
      </c>
      <c r="E15" s="15" t="str">
        <f ca="1">_xll.BDP($D15, "PX_LAST")</f>
        <v>#N/A Connection</v>
      </c>
    </row>
    <row r="16" spans="1:5" x14ac:dyDescent="0.25">
      <c r="A16" s="14" t="s">
        <v>12</v>
      </c>
      <c r="B16" s="14" t="s">
        <v>417</v>
      </c>
      <c r="C16" s="12" t="str">
        <f t="shared" si="3"/>
        <v>USDCOP</v>
      </c>
      <c r="D16" s="12" t="str">
        <f t="shared" si="4"/>
        <v>USDCOP Curncy</v>
      </c>
      <c r="E16" s="15" t="str">
        <f ca="1">_xll.BDP($D16, "PX_LAST")</f>
        <v>#N/A Connection</v>
      </c>
    </row>
    <row r="17" spans="1:5" x14ac:dyDescent="0.25">
      <c r="A17" s="12"/>
      <c r="B17" s="12"/>
      <c r="C17" s="12"/>
      <c r="D17" s="12"/>
      <c r="E17" s="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4F315-7458-4B5F-811C-EFF400652239}">
  <sheetPr codeName="Sheet39"/>
  <dimension ref="A1:D131"/>
  <sheetViews>
    <sheetView workbookViewId="0">
      <selection activeCell="D8" sqref="D8"/>
    </sheetView>
  </sheetViews>
  <sheetFormatPr defaultRowHeight="15" x14ac:dyDescent="0.25"/>
  <cols>
    <col min="1" max="1" width="10.7109375" customWidth="1"/>
    <col min="4" max="4" width="11.5703125" customWidth="1"/>
  </cols>
  <sheetData>
    <row r="1" spans="1:4" ht="15.75" x14ac:dyDescent="0.25">
      <c r="A1" s="126" t="s">
        <v>356</v>
      </c>
      <c r="B1" s="126"/>
      <c r="C1" s="126"/>
      <c r="D1" s="126"/>
    </row>
    <row r="2" spans="1:4" x14ac:dyDescent="0.25">
      <c r="A2" s="17" t="s">
        <v>180</v>
      </c>
      <c r="B2" s="17" t="s">
        <v>181</v>
      </c>
    </row>
    <row r="3" spans="1:4" x14ac:dyDescent="0.25">
      <c r="A3" t="s">
        <v>24</v>
      </c>
      <c r="B3" t="s">
        <v>318</v>
      </c>
      <c r="D3" t="s">
        <v>319</v>
      </c>
    </row>
    <row r="4" spans="1:4" x14ac:dyDescent="0.25">
      <c r="A4" s="3">
        <f ca="1">WORKDAY(Pre_Date,5)</f>
        <v>43577</v>
      </c>
      <c r="B4" t="s">
        <v>300</v>
      </c>
      <c r="D4" t="str">
        <f ca="1">_xll.BDH($B4,"PX_LAST",Today,Today)</f>
        <v>#N/A Connection</v>
      </c>
    </row>
    <row r="5" spans="1:4" x14ac:dyDescent="0.25">
      <c r="A5" s="3">
        <f ca="1">EDATE(Pre_Date,1)</f>
        <v>43600</v>
      </c>
      <c r="B5" t="s">
        <v>301</v>
      </c>
      <c r="D5" t="str">
        <f ca="1">_xll.BDH($B5,"PX_LAST",Today,Today)</f>
        <v>#N/A Connection</v>
      </c>
    </row>
    <row r="6" spans="1:4" x14ac:dyDescent="0.25">
      <c r="A6" s="3">
        <f ca="1">EDATE(A5,1)</f>
        <v>43631</v>
      </c>
      <c r="B6" t="s">
        <v>302</v>
      </c>
      <c r="D6" t="str">
        <f ca="1">_xll.BDH($B6,"PX_LAST",Today,Today)</f>
        <v>#N/A Connection</v>
      </c>
    </row>
    <row r="7" spans="1:4" x14ac:dyDescent="0.25">
      <c r="A7" s="3">
        <f t="shared" ref="A7:A10" ca="1" si="0">EDATE(A6,1)</f>
        <v>43661</v>
      </c>
      <c r="B7" t="s">
        <v>303</v>
      </c>
      <c r="D7" t="str">
        <f ca="1">_xll.BDH($B7,"PX_LAST",Today,Today)</f>
        <v>#N/A Connection</v>
      </c>
    </row>
    <row r="8" spans="1:4" x14ac:dyDescent="0.25">
      <c r="A8" s="3">
        <f t="shared" ca="1" si="0"/>
        <v>43692</v>
      </c>
      <c r="B8" t="s">
        <v>304</v>
      </c>
      <c r="D8" t="str">
        <f ca="1">_xll.BDH($B8,"PX_LAST",Today,Today)</f>
        <v>#N/A Connection</v>
      </c>
    </row>
    <row r="9" spans="1:4" x14ac:dyDescent="0.25">
      <c r="A9" s="3">
        <f t="shared" ca="1" si="0"/>
        <v>43723</v>
      </c>
      <c r="B9" t="s">
        <v>305</v>
      </c>
      <c r="D9" t="str">
        <f ca="1">_xll.BDH($B9,"PX_LAST",Today,Today)</f>
        <v>#N/A Connection</v>
      </c>
    </row>
    <row r="10" spans="1:4" x14ac:dyDescent="0.25">
      <c r="A10" s="3">
        <f t="shared" ca="1" si="0"/>
        <v>43753</v>
      </c>
      <c r="B10" t="s">
        <v>306</v>
      </c>
      <c r="D10" t="str">
        <f ca="1">_xll.BDH($B10,"PX_LAST",Today,Today)</f>
        <v>#N/A Connection</v>
      </c>
    </row>
    <row r="11" spans="1:4" x14ac:dyDescent="0.25">
      <c r="A11" s="3">
        <f ca="1">EDATE(A10,3)</f>
        <v>43845</v>
      </c>
      <c r="B11" t="s">
        <v>307</v>
      </c>
      <c r="D11" t="str">
        <f ca="1">_xll.BDH($B11,"PX_LAST",Today,Today)</f>
        <v>#N/A Connection</v>
      </c>
    </row>
    <row r="12" spans="1:4" x14ac:dyDescent="0.25">
      <c r="A12" s="3">
        <f ca="1">EDATE(A11,3)</f>
        <v>43936</v>
      </c>
      <c r="B12" t="s">
        <v>308</v>
      </c>
      <c r="D12" t="str">
        <f ca="1">_xll.BDH($B12,"PX_LAST",Today,Today)</f>
        <v>#N/A Connection</v>
      </c>
    </row>
    <row r="13" spans="1:4" x14ac:dyDescent="0.25">
      <c r="A13" s="3">
        <f ca="1">EDATE(A12,12)</f>
        <v>44301</v>
      </c>
      <c r="B13" t="s">
        <v>309</v>
      </c>
      <c r="D13" t="str">
        <f ca="1">_xll.BDH($B13,"PX_LAST",Today,Today)</f>
        <v>#N/A Connection</v>
      </c>
    </row>
    <row r="14" spans="1:4" x14ac:dyDescent="0.25">
      <c r="A14" s="3">
        <f t="shared" ref="A14:A21" ca="1" si="1">EDATE(A13,12)</f>
        <v>44666</v>
      </c>
      <c r="B14" t="s">
        <v>310</v>
      </c>
      <c r="D14" t="str">
        <f ca="1">_xll.BDH($B14,"PX_LAST",Today,Today)</f>
        <v>#N/A Connection</v>
      </c>
    </row>
    <row r="15" spans="1:4" x14ac:dyDescent="0.25">
      <c r="A15" s="3">
        <f t="shared" ca="1" si="1"/>
        <v>45031</v>
      </c>
      <c r="B15" t="s">
        <v>311</v>
      </c>
      <c r="D15" t="str">
        <f ca="1">_xll.BDH($B15,"PX_LAST",Today,Today)</f>
        <v>#N/A Connection</v>
      </c>
    </row>
    <row r="16" spans="1:4" x14ac:dyDescent="0.25">
      <c r="A16" s="3">
        <f t="shared" ca="1" si="1"/>
        <v>45397</v>
      </c>
      <c r="B16" t="s">
        <v>312</v>
      </c>
      <c r="D16" t="str">
        <f ca="1">_xll.BDH($B16,"PX_LAST",Today,Today)</f>
        <v>#N/A Connection</v>
      </c>
    </row>
    <row r="17" spans="1:4" x14ac:dyDescent="0.25">
      <c r="A17" s="3">
        <f t="shared" ca="1" si="1"/>
        <v>45762</v>
      </c>
      <c r="B17" t="s">
        <v>313</v>
      </c>
      <c r="D17" t="str">
        <f ca="1">_xll.BDH($B17,"PX_LAST",Today,Today)</f>
        <v>#N/A Connection</v>
      </c>
    </row>
    <row r="18" spans="1:4" x14ac:dyDescent="0.25">
      <c r="A18" s="3">
        <f t="shared" ca="1" si="1"/>
        <v>46127</v>
      </c>
      <c r="B18" t="s">
        <v>314</v>
      </c>
      <c r="D18" t="str">
        <f ca="1">_xll.BDH($B18,"PX_LAST",Today,Today)</f>
        <v>#N/A Connection</v>
      </c>
    </row>
    <row r="19" spans="1:4" x14ac:dyDescent="0.25">
      <c r="A19" s="3">
        <f t="shared" ca="1" si="1"/>
        <v>46492</v>
      </c>
      <c r="B19" t="s">
        <v>315</v>
      </c>
      <c r="D19" t="str">
        <f ca="1">_xll.BDH($B19,"PX_LAST",Today,Today)</f>
        <v>#N/A Connection</v>
      </c>
    </row>
    <row r="20" spans="1:4" x14ac:dyDescent="0.25">
      <c r="A20" s="3">
        <f t="shared" ca="1" si="1"/>
        <v>46858</v>
      </c>
      <c r="B20" t="s">
        <v>316</v>
      </c>
      <c r="D20" t="str">
        <f ca="1">_xll.BDH($B20,"PX_LAST",Today,Today)</f>
        <v>#N/A Connection</v>
      </c>
    </row>
    <row r="21" spans="1:4" x14ac:dyDescent="0.25">
      <c r="A21" s="3">
        <f t="shared" ca="1" si="1"/>
        <v>47223</v>
      </c>
      <c r="B21" t="s">
        <v>317</v>
      </c>
      <c r="D21" t="str">
        <f ca="1">_xll.BDH($B21,"PX_LAST",Today,Today)</f>
        <v>#N/A Connection</v>
      </c>
    </row>
    <row r="24" spans="1:4" x14ac:dyDescent="0.25">
      <c r="A24" s="17" t="s">
        <v>180</v>
      </c>
      <c r="B24" s="17" t="s">
        <v>13</v>
      </c>
    </row>
    <row r="25" spans="1:4" x14ac:dyDescent="0.25">
      <c r="A25" t="s">
        <v>24</v>
      </c>
      <c r="B25" t="s">
        <v>318</v>
      </c>
      <c r="D25" t="s">
        <v>319</v>
      </c>
    </row>
    <row r="26" spans="1:4" x14ac:dyDescent="0.25">
      <c r="A26" s="3">
        <f t="shared" ref="A26:A43" ca="1" si="2">A4</f>
        <v>43577</v>
      </c>
      <c r="B26" t="s">
        <v>320</v>
      </c>
      <c r="D26" t="str">
        <f ca="1">_xll.BDH($B26,"PX_LAST",Today,Today)</f>
        <v>#N/A Connection</v>
      </c>
    </row>
    <row r="27" spans="1:4" x14ac:dyDescent="0.25">
      <c r="A27" s="3">
        <f t="shared" ca="1" si="2"/>
        <v>43600</v>
      </c>
      <c r="B27" t="s">
        <v>321</v>
      </c>
      <c r="D27" t="str">
        <f ca="1">_xll.BDH($B27,"PX_LAST",Today,Today)</f>
        <v>#N/A Connection</v>
      </c>
    </row>
    <row r="28" spans="1:4" x14ac:dyDescent="0.25">
      <c r="A28" s="3">
        <f t="shared" ca="1" si="2"/>
        <v>43631</v>
      </c>
      <c r="B28" t="s">
        <v>322</v>
      </c>
      <c r="D28" t="str">
        <f ca="1">_xll.BDH($B28,"PX_LAST",Today,Today)</f>
        <v>#N/A Connection</v>
      </c>
    </row>
    <row r="29" spans="1:4" x14ac:dyDescent="0.25">
      <c r="A29" s="3">
        <f t="shared" ca="1" si="2"/>
        <v>43661</v>
      </c>
      <c r="B29" t="s">
        <v>323</v>
      </c>
      <c r="D29" t="str">
        <f ca="1">_xll.BDH($B29,"PX_LAST",Today,Today)</f>
        <v>#N/A Connection</v>
      </c>
    </row>
    <row r="30" spans="1:4" x14ac:dyDescent="0.25">
      <c r="A30" s="3">
        <f t="shared" ca="1" si="2"/>
        <v>43692</v>
      </c>
      <c r="B30" t="s">
        <v>324</v>
      </c>
      <c r="D30" t="str">
        <f ca="1">_xll.BDH($B30,"PX_LAST",Today,Today)</f>
        <v>#N/A Connection</v>
      </c>
    </row>
    <row r="31" spans="1:4" x14ac:dyDescent="0.25">
      <c r="A31" s="3">
        <f t="shared" ca="1" si="2"/>
        <v>43723</v>
      </c>
      <c r="B31" t="s">
        <v>325</v>
      </c>
      <c r="D31" t="str">
        <f ca="1">_xll.BDH($B31,"PX_LAST",Today,Today)</f>
        <v>#N/A Connection</v>
      </c>
    </row>
    <row r="32" spans="1:4" x14ac:dyDescent="0.25">
      <c r="A32" s="3">
        <f t="shared" ca="1" si="2"/>
        <v>43753</v>
      </c>
      <c r="B32" t="s">
        <v>326</v>
      </c>
      <c r="D32" t="str">
        <f ca="1">_xll.BDH($B32,"PX_LAST",Today,Today)</f>
        <v>#N/A Connection</v>
      </c>
    </row>
    <row r="33" spans="1:4" x14ac:dyDescent="0.25">
      <c r="A33" s="3">
        <f t="shared" ca="1" si="2"/>
        <v>43845</v>
      </c>
      <c r="B33" t="s">
        <v>327</v>
      </c>
      <c r="D33" t="str">
        <f ca="1">_xll.BDH($B33,"PX_LAST",Today,Today)</f>
        <v>#N/A Connection</v>
      </c>
    </row>
    <row r="34" spans="1:4" x14ac:dyDescent="0.25">
      <c r="A34" s="3">
        <f t="shared" ca="1" si="2"/>
        <v>43936</v>
      </c>
      <c r="B34" t="s">
        <v>328</v>
      </c>
      <c r="D34" t="str">
        <f ca="1">_xll.BDH($B34,"PX_LAST",Today,Today)</f>
        <v>#N/A Connection</v>
      </c>
    </row>
    <row r="35" spans="1:4" x14ac:dyDescent="0.25">
      <c r="A35" s="3">
        <f t="shared" ca="1" si="2"/>
        <v>44301</v>
      </c>
      <c r="B35" t="s">
        <v>329</v>
      </c>
      <c r="D35" t="str">
        <f ca="1">_xll.BDH($B35,"PX_LAST",Today,Today)</f>
        <v>#N/A Connection</v>
      </c>
    </row>
    <row r="36" spans="1:4" x14ac:dyDescent="0.25">
      <c r="A36" s="3">
        <f t="shared" ca="1" si="2"/>
        <v>44666</v>
      </c>
      <c r="B36" t="s">
        <v>330</v>
      </c>
      <c r="D36" t="str">
        <f ca="1">_xll.BDH($B36,"PX_LAST",Today,Today)</f>
        <v>#N/A Connection</v>
      </c>
    </row>
    <row r="37" spans="1:4" x14ac:dyDescent="0.25">
      <c r="A37" s="3">
        <f t="shared" ca="1" si="2"/>
        <v>45031</v>
      </c>
      <c r="B37" t="s">
        <v>331</v>
      </c>
      <c r="D37" t="str">
        <f ca="1">_xll.BDH($B37,"PX_LAST",Today,Today)</f>
        <v>#N/A Connection</v>
      </c>
    </row>
    <row r="38" spans="1:4" x14ac:dyDescent="0.25">
      <c r="A38" s="3">
        <f t="shared" ca="1" si="2"/>
        <v>45397</v>
      </c>
      <c r="B38" t="s">
        <v>332</v>
      </c>
      <c r="D38" t="str">
        <f ca="1">_xll.BDH($B38,"PX_LAST",Today,Today)</f>
        <v>#N/A Connection</v>
      </c>
    </row>
    <row r="39" spans="1:4" x14ac:dyDescent="0.25">
      <c r="A39" s="3">
        <f t="shared" ca="1" si="2"/>
        <v>45762</v>
      </c>
      <c r="B39" t="s">
        <v>333</v>
      </c>
      <c r="D39" t="str">
        <f ca="1">_xll.BDH($B39,"PX_LAST",Today,Today)</f>
        <v>#N/A Connection</v>
      </c>
    </row>
    <row r="40" spans="1:4" x14ac:dyDescent="0.25">
      <c r="A40" s="3">
        <f t="shared" ca="1" si="2"/>
        <v>46127</v>
      </c>
      <c r="B40" t="s">
        <v>334</v>
      </c>
      <c r="D40" t="str">
        <f ca="1">_xll.BDH($B40,"PX_LAST",Today,Today)</f>
        <v>#N/A Connection</v>
      </c>
    </row>
    <row r="41" spans="1:4" x14ac:dyDescent="0.25">
      <c r="A41" s="3">
        <f t="shared" ca="1" si="2"/>
        <v>46492</v>
      </c>
      <c r="B41" t="s">
        <v>335</v>
      </c>
      <c r="D41" t="str">
        <f ca="1">_xll.BDH($B41,"PX_LAST",Today,Today)</f>
        <v>#N/A Connection</v>
      </c>
    </row>
    <row r="42" spans="1:4" x14ac:dyDescent="0.25">
      <c r="A42" s="3">
        <f t="shared" ca="1" si="2"/>
        <v>46858</v>
      </c>
      <c r="B42" t="s">
        <v>336</v>
      </c>
      <c r="D42" t="str">
        <f ca="1">_xll.BDH($B42,"PX_LAST",Today,Today)</f>
        <v>#N/A Connection</v>
      </c>
    </row>
    <row r="43" spans="1:4" x14ac:dyDescent="0.25">
      <c r="A43" s="3">
        <f t="shared" ca="1" si="2"/>
        <v>47223</v>
      </c>
      <c r="B43" t="s">
        <v>337</v>
      </c>
      <c r="D43" t="str">
        <f ca="1">_xll.BDH($B43,"PX_LAST",Today,Today)</f>
        <v>#N/A Connection</v>
      </c>
    </row>
    <row r="46" spans="1:4" x14ac:dyDescent="0.25">
      <c r="A46" s="17" t="s">
        <v>180</v>
      </c>
      <c r="B46" s="17" t="s">
        <v>14</v>
      </c>
    </row>
    <row r="47" spans="1:4" x14ac:dyDescent="0.25">
      <c r="A47" t="s">
        <v>24</v>
      </c>
      <c r="B47" t="s">
        <v>318</v>
      </c>
      <c r="D47" t="s">
        <v>319</v>
      </c>
    </row>
    <row r="48" spans="1:4" x14ac:dyDescent="0.25">
      <c r="A48" s="3">
        <f t="shared" ref="A48:A65" ca="1" si="3">A26</f>
        <v>43577</v>
      </c>
      <c r="B48" t="s">
        <v>338</v>
      </c>
      <c r="D48" t="str">
        <f ca="1">_xll.BDH(B48,"PX_LAST",Today,Today)</f>
        <v>#N/A Connection</v>
      </c>
    </row>
    <row r="49" spans="1:4" x14ac:dyDescent="0.25">
      <c r="A49" s="3">
        <f t="shared" ca="1" si="3"/>
        <v>43600</v>
      </c>
      <c r="B49" t="s">
        <v>339</v>
      </c>
      <c r="D49" t="str">
        <f ca="1">_xll.BDH(B49,"PX_LAST",Today,Today)</f>
        <v>#N/A Connection</v>
      </c>
    </row>
    <row r="50" spans="1:4" x14ac:dyDescent="0.25">
      <c r="A50" s="3">
        <f t="shared" ca="1" si="3"/>
        <v>43631</v>
      </c>
      <c r="B50" t="s">
        <v>340</v>
      </c>
      <c r="D50" t="str">
        <f ca="1">_xll.BDH(B50,"PX_LAST",Today,Today)</f>
        <v>#N/A Connection</v>
      </c>
    </row>
    <row r="51" spans="1:4" x14ac:dyDescent="0.25">
      <c r="A51" s="3">
        <f t="shared" ca="1" si="3"/>
        <v>43661</v>
      </c>
      <c r="B51" t="s">
        <v>341</v>
      </c>
      <c r="D51" t="str">
        <f ca="1">_xll.BDH(B51,"PX_LAST",Today,Today)</f>
        <v>#N/A Connection</v>
      </c>
    </row>
    <row r="52" spans="1:4" x14ac:dyDescent="0.25">
      <c r="A52" s="3">
        <f t="shared" ca="1" si="3"/>
        <v>43692</v>
      </c>
      <c r="B52" t="s">
        <v>342</v>
      </c>
      <c r="D52" t="str">
        <f ca="1">_xll.BDH(B52,"PX_LAST",Today,Today)</f>
        <v>#N/A Connection</v>
      </c>
    </row>
    <row r="53" spans="1:4" x14ac:dyDescent="0.25">
      <c r="A53" s="3">
        <f t="shared" ca="1" si="3"/>
        <v>43723</v>
      </c>
      <c r="B53" t="s">
        <v>343</v>
      </c>
      <c r="D53" t="str">
        <f ca="1">_xll.BDH(B53,"PX_LAST",Today,Today)</f>
        <v>#N/A Connection</v>
      </c>
    </row>
    <row r="54" spans="1:4" x14ac:dyDescent="0.25">
      <c r="A54" s="3">
        <f t="shared" ca="1" si="3"/>
        <v>43753</v>
      </c>
      <c r="B54" t="s">
        <v>344</v>
      </c>
      <c r="D54" t="str">
        <f ca="1">_xll.BDH(B54,"PX_LAST",Today,Today)</f>
        <v>#N/A Connection</v>
      </c>
    </row>
    <row r="55" spans="1:4" x14ac:dyDescent="0.25">
      <c r="A55" s="3">
        <f t="shared" ca="1" si="3"/>
        <v>43845</v>
      </c>
      <c r="B55" t="s">
        <v>345</v>
      </c>
      <c r="D55" t="str">
        <f ca="1">_xll.BDH(B55,"PX_LAST",Today,Today)</f>
        <v>#N/A Connection</v>
      </c>
    </row>
    <row r="56" spans="1:4" x14ac:dyDescent="0.25">
      <c r="A56" s="3">
        <f t="shared" ca="1" si="3"/>
        <v>43936</v>
      </c>
      <c r="B56" t="s">
        <v>346</v>
      </c>
      <c r="D56" t="str">
        <f ca="1">_xll.BDH(B56,"PX_LAST",Today,Today)</f>
        <v>#N/A Connection</v>
      </c>
    </row>
    <row r="57" spans="1:4" x14ac:dyDescent="0.25">
      <c r="A57" s="3">
        <f t="shared" ca="1" si="3"/>
        <v>44301</v>
      </c>
      <c r="B57" t="s">
        <v>347</v>
      </c>
      <c r="D57" t="str">
        <f ca="1">_xll.BDH(B57,"PX_LAST",Today,Today)</f>
        <v>#N/A Connection</v>
      </c>
    </row>
    <row r="58" spans="1:4" x14ac:dyDescent="0.25">
      <c r="A58" s="3">
        <f t="shared" ca="1" si="3"/>
        <v>44666</v>
      </c>
      <c r="B58" t="s">
        <v>348</v>
      </c>
      <c r="D58" t="str">
        <f ca="1">_xll.BDH(B58,"PX_LAST",Today,Today)</f>
        <v>#N/A Connection</v>
      </c>
    </row>
    <row r="59" spans="1:4" x14ac:dyDescent="0.25">
      <c r="A59" s="3">
        <f t="shared" ca="1" si="3"/>
        <v>45031</v>
      </c>
      <c r="B59" t="s">
        <v>349</v>
      </c>
      <c r="D59" t="str">
        <f ca="1">_xll.BDH(B59,"PX_LAST",Today,Today)</f>
        <v>#N/A Connection</v>
      </c>
    </row>
    <row r="60" spans="1:4" x14ac:dyDescent="0.25">
      <c r="A60" s="3">
        <f t="shared" ca="1" si="3"/>
        <v>45397</v>
      </c>
      <c r="B60" t="s">
        <v>350</v>
      </c>
      <c r="D60" t="str">
        <f ca="1">_xll.BDH(B60,"PX_LAST",Today,Today)</f>
        <v>#N/A Connection</v>
      </c>
    </row>
    <row r="61" spans="1:4" x14ac:dyDescent="0.25">
      <c r="A61" s="3">
        <f t="shared" ca="1" si="3"/>
        <v>45762</v>
      </c>
      <c r="B61" t="s">
        <v>351</v>
      </c>
      <c r="D61" t="str">
        <f ca="1">_xll.BDH(B61,"PX_LAST",Today,Today)</f>
        <v>#N/A Connection</v>
      </c>
    </row>
    <row r="62" spans="1:4" x14ac:dyDescent="0.25">
      <c r="A62" s="3">
        <f t="shared" ca="1" si="3"/>
        <v>46127</v>
      </c>
      <c r="B62" t="s">
        <v>352</v>
      </c>
      <c r="D62" t="str">
        <f ca="1">_xll.BDH(B62,"PX_LAST",Today,Today)</f>
        <v>#N/A Connection</v>
      </c>
    </row>
    <row r="63" spans="1:4" x14ac:dyDescent="0.25">
      <c r="A63" s="3">
        <f t="shared" ca="1" si="3"/>
        <v>46492</v>
      </c>
      <c r="B63" t="s">
        <v>353</v>
      </c>
      <c r="D63" t="str">
        <f ca="1">_xll.BDH(B63,"PX_LAST",Today,Today)</f>
        <v>#N/A Connection</v>
      </c>
    </row>
    <row r="64" spans="1:4" x14ac:dyDescent="0.25">
      <c r="A64" s="3">
        <f t="shared" ca="1" si="3"/>
        <v>46858</v>
      </c>
      <c r="B64" t="s">
        <v>354</v>
      </c>
      <c r="D64" t="str">
        <f ca="1">_xll.BDH(B64,"PX_LAST",Today,Today)</f>
        <v>#N/A Connection</v>
      </c>
    </row>
    <row r="65" spans="1:4" x14ac:dyDescent="0.25">
      <c r="A65" s="3">
        <f t="shared" ca="1" si="3"/>
        <v>47223</v>
      </c>
      <c r="B65" t="s">
        <v>355</v>
      </c>
      <c r="D65" t="str">
        <f ca="1">_xll.BDH(B65,"PX_LAST",Today,Today)</f>
        <v>#N/A Connection</v>
      </c>
    </row>
    <row r="68" spans="1:4" x14ac:dyDescent="0.25">
      <c r="A68" s="17" t="s">
        <v>180</v>
      </c>
      <c r="B68" s="17" t="s">
        <v>19</v>
      </c>
    </row>
    <row r="69" spans="1:4" x14ac:dyDescent="0.25">
      <c r="A69" t="s">
        <v>24</v>
      </c>
      <c r="B69" t="s">
        <v>318</v>
      </c>
      <c r="D69" t="s">
        <v>319</v>
      </c>
    </row>
    <row r="70" spans="1:4" x14ac:dyDescent="0.25">
      <c r="A70" s="3">
        <f t="shared" ref="A70:A87" ca="1" si="4">A48</f>
        <v>43577</v>
      </c>
      <c r="B70" t="s">
        <v>357</v>
      </c>
      <c r="D70" t="str">
        <f ca="1">_xll.BDH(B70,"PX_LAST",Today,Today)</f>
        <v>#N/A Connection</v>
      </c>
    </row>
    <row r="71" spans="1:4" x14ac:dyDescent="0.25">
      <c r="A71" s="3">
        <f t="shared" ca="1" si="4"/>
        <v>43600</v>
      </c>
      <c r="B71" t="s">
        <v>358</v>
      </c>
      <c r="D71" t="str">
        <f ca="1">_xll.BDH(B71,"PX_LAST",Today,Today)</f>
        <v>#N/A Connection</v>
      </c>
    </row>
    <row r="72" spans="1:4" x14ac:dyDescent="0.25">
      <c r="A72" s="3">
        <f t="shared" ca="1" si="4"/>
        <v>43631</v>
      </c>
      <c r="B72" t="s">
        <v>359</v>
      </c>
      <c r="D72" t="str">
        <f ca="1">_xll.BDH(B72,"PX_LAST",Today,Today)</f>
        <v>#N/A Connection</v>
      </c>
    </row>
    <row r="73" spans="1:4" x14ac:dyDescent="0.25">
      <c r="A73" s="3">
        <f t="shared" ca="1" si="4"/>
        <v>43661</v>
      </c>
      <c r="B73" t="s">
        <v>360</v>
      </c>
      <c r="D73" t="str">
        <f ca="1">_xll.BDH(B73,"PX_LAST",Today,Today)</f>
        <v>#N/A Connection</v>
      </c>
    </row>
    <row r="74" spans="1:4" x14ac:dyDescent="0.25">
      <c r="A74" s="3">
        <f t="shared" ca="1" si="4"/>
        <v>43692</v>
      </c>
      <c r="B74" t="s">
        <v>361</v>
      </c>
      <c r="D74" t="str">
        <f ca="1">_xll.BDH(B74,"PX_LAST",Today,Today)</f>
        <v>#N/A Connection</v>
      </c>
    </row>
    <row r="75" spans="1:4" x14ac:dyDescent="0.25">
      <c r="A75" s="3">
        <f t="shared" ca="1" si="4"/>
        <v>43723</v>
      </c>
      <c r="B75" t="s">
        <v>362</v>
      </c>
      <c r="D75" t="str">
        <f ca="1">_xll.BDH(B75,"PX_LAST",Today,Today)</f>
        <v>#N/A Connection</v>
      </c>
    </row>
    <row r="76" spans="1:4" x14ac:dyDescent="0.25">
      <c r="A76" s="3">
        <f t="shared" ca="1" si="4"/>
        <v>43753</v>
      </c>
      <c r="B76" t="s">
        <v>363</v>
      </c>
      <c r="D76" t="str">
        <f ca="1">_xll.BDH(B76,"PX_LAST",Today,Today)</f>
        <v>#N/A Connection</v>
      </c>
    </row>
    <row r="77" spans="1:4" x14ac:dyDescent="0.25">
      <c r="A77" s="3">
        <f t="shared" ca="1" si="4"/>
        <v>43845</v>
      </c>
      <c r="B77" t="s">
        <v>364</v>
      </c>
      <c r="D77" t="str">
        <f ca="1">_xll.BDH(B77,"PX_LAST",Today,Today)</f>
        <v>#N/A Connection</v>
      </c>
    </row>
    <row r="78" spans="1:4" x14ac:dyDescent="0.25">
      <c r="A78" s="3">
        <f t="shared" ca="1" si="4"/>
        <v>43936</v>
      </c>
      <c r="B78" t="s">
        <v>365</v>
      </c>
      <c r="D78" t="str">
        <f ca="1">_xll.BDH(B78,"PX_LAST",Today,Today)</f>
        <v>#N/A Connection</v>
      </c>
    </row>
    <row r="79" spans="1:4" x14ac:dyDescent="0.25">
      <c r="A79" s="3">
        <f t="shared" ca="1" si="4"/>
        <v>44301</v>
      </c>
      <c r="B79" t="s">
        <v>366</v>
      </c>
      <c r="D79" t="str">
        <f ca="1">_xll.BDH(B79,"PX_LAST",Today,Today)</f>
        <v>#N/A Connection</v>
      </c>
    </row>
    <row r="80" spans="1:4" x14ac:dyDescent="0.25">
      <c r="A80" s="3">
        <f t="shared" ca="1" si="4"/>
        <v>44666</v>
      </c>
      <c r="B80" t="s">
        <v>367</v>
      </c>
      <c r="D80" t="str">
        <f ca="1">_xll.BDH(B80,"PX_LAST",Today,Today)</f>
        <v>#N/A Connection</v>
      </c>
    </row>
    <row r="81" spans="1:4" x14ac:dyDescent="0.25">
      <c r="A81" s="3">
        <f t="shared" ca="1" si="4"/>
        <v>45031</v>
      </c>
      <c r="B81" t="s">
        <v>368</v>
      </c>
      <c r="D81" t="str">
        <f ca="1">_xll.BDH(B81,"PX_LAST",Today,Today)</f>
        <v>#N/A Connection</v>
      </c>
    </row>
    <row r="82" spans="1:4" x14ac:dyDescent="0.25">
      <c r="A82" s="3">
        <f t="shared" ca="1" si="4"/>
        <v>45397</v>
      </c>
      <c r="B82" t="s">
        <v>369</v>
      </c>
      <c r="D82" t="str">
        <f ca="1">_xll.BDH(B82,"PX_LAST",Today,Today)</f>
        <v>#N/A Connection</v>
      </c>
    </row>
    <row r="83" spans="1:4" x14ac:dyDescent="0.25">
      <c r="A83" s="3">
        <f t="shared" ca="1" si="4"/>
        <v>45762</v>
      </c>
      <c r="B83" t="s">
        <v>370</v>
      </c>
      <c r="D83" t="str">
        <f ca="1">_xll.BDH(B83,"PX_LAST",Today,Today)</f>
        <v>#N/A Connection</v>
      </c>
    </row>
    <row r="84" spans="1:4" x14ac:dyDescent="0.25">
      <c r="A84" s="3">
        <f t="shared" ca="1" si="4"/>
        <v>46127</v>
      </c>
      <c r="B84" t="s">
        <v>371</v>
      </c>
      <c r="D84" t="str">
        <f ca="1">_xll.BDH(B84,"PX_LAST",Today,Today)</f>
        <v>#N/A Connection</v>
      </c>
    </row>
    <row r="85" spans="1:4" x14ac:dyDescent="0.25">
      <c r="A85" s="3">
        <f t="shared" ca="1" si="4"/>
        <v>46492</v>
      </c>
      <c r="B85" t="s">
        <v>372</v>
      </c>
      <c r="D85" t="str">
        <f ca="1">_xll.BDH(B85,"PX_LAST",Today,Today)</f>
        <v>#N/A Connection</v>
      </c>
    </row>
    <row r="86" spans="1:4" x14ac:dyDescent="0.25">
      <c r="A86" s="3">
        <f t="shared" ca="1" si="4"/>
        <v>46858</v>
      </c>
      <c r="B86" t="s">
        <v>373</v>
      </c>
      <c r="D86" t="str">
        <f ca="1">_xll.BDH(B86,"PX_LAST",Today,Today)</f>
        <v>#N/A Connection</v>
      </c>
    </row>
    <row r="87" spans="1:4" x14ac:dyDescent="0.25">
      <c r="A87" s="3">
        <f t="shared" ca="1" si="4"/>
        <v>47223</v>
      </c>
      <c r="B87" t="s">
        <v>374</v>
      </c>
      <c r="D87" t="str">
        <f ca="1">_xll.BDH(B87,"PX_LAST",Today,Today)</f>
        <v>#N/A Connection</v>
      </c>
    </row>
    <row r="90" spans="1:4" x14ac:dyDescent="0.25">
      <c r="A90" s="17" t="s">
        <v>180</v>
      </c>
      <c r="B90" s="17" t="s">
        <v>21</v>
      </c>
    </row>
    <row r="91" spans="1:4" x14ac:dyDescent="0.25">
      <c r="A91" t="s">
        <v>24</v>
      </c>
      <c r="B91" t="s">
        <v>318</v>
      </c>
      <c r="D91" t="s">
        <v>319</v>
      </c>
    </row>
    <row r="92" spans="1:4" x14ac:dyDescent="0.25">
      <c r="A92" s="3">
        <f t="shared" ref="A92:A109" ca="1" si="5">A70</f>
        <v>43577</v>
      </c>
      <c r="B92" t="s">
        <v>375</v>
      </c>
      <c r="D92" t="str">
        <f ca="1">_xll.BDH(B92,"PX_LAST",Today,Today)</f>
        <v>#N/A Connection</v>
      </c>
    </row>
    <row r="93" spans="1:4" x14ac:dyDescent="0.25">
      <c r="A93" s="3">
        <f t="shared" ca="1" si="5"/>
        <v>43600</v>
      </c>
      <c r="B93" t="s">
        <v>376</v>
      </c>
      <c r="D93" t="str">
        <f ca="1">_xll.BDH(B93,"PX_LAST",Today,Today)</f>
        <v>#N/A Connection</v>
      </c>
    </row>
    <row r="94" spans="1:4" x14ac:dyDescent="0.25">
      <c r="A94" s="3">
        <f t="shared" ca="1" si="5"/>
        <v>43631</v>
      </c>
      <c r="B94" t="s">
        <v>377</v>
      </c>
      <c r="D94" t="str">
        <f ca="1">_xll.BDH(B94,"PX_LAST",Today,Today)</f>
        <v>#N/A Connection</v>
      </c>
    </row>
    <row r="95" spans="1:4" x14ac:dyDescent="0.25">
      <c r="A95" s="3">
        <f t="shared" ca="1" si="5"/>
        <v>43661</v>
      </c>
      <c r="B95" t="s">
        <v>378</v>
      </c>
      <c r="D95" t="str">
        <f ca="1">_xll.BDH(B95,"PX_LAST",Today,Today)</f>
        <v>#N/A Connection</v>
      </c>
    </row>
    <row r="96" spans="1:4" x14ac:dyDescent="0.25">
      <c r="A96" s="3">
        <f t="shared" ca="1" si="5"/>
        <v>43692</v>
      </c>
      <c r="B96" t="s">
        <v>379</v>
      </c>
      <c r="D96" t="str">
        <f ca="1">_xll.BDH(B96,"PX_LAST",Today,Today)</f>
        <v>#N/A Connection</v>
      </c>
    </row>
    <row r="97" spans="1:4" x14ac:dyDescent="0.25">
      <c r="A97" s="3">
        <f t="shared" ca="1" si="5"/>
        <v>43723</v>
      </c>
      <c r="B97" t="s">
        <v>380</v>
      </c>
      <c r="D97" t="str">
        <f ca="1">_xll.BDH(B97,"PX_LAST",Today,Today)</f>
        <v>#N/A Connection</v>
      </c>
    </row>
    <row r="98" spans="1:4" x14ac:dyDescent="0.25">
      <c r="A98" s="3">
        <f t="shared" ca="1" si="5"/>
        <v>43753</v>
      </c>
      <c r="B98" t="s">
        <v>381</v>
      </c>
      <c r="D98" t="str">
        <f ca="1">_xll.BDH(B98,"PX_LAST",Today,Today)</f>
        <v>#N/A Connection</v>
      </c>
    </row>
    <row r="99" spans="1:4" x14ac:dyDescent="0.25">
      <c r="A99" s="3">
        <f t="shared" ca="1" si="5"/>
        <v>43845</v>
      </c>
      <c r="B99" t="s">
        <v>382</v>
      </c>
      <c r="D99" t="str">
        <f ca="1">_xll.BDH(B99,"PX_LAST",Today,Today)</f>
        <v>#N/A Connection</v>
      </c>
    </row>
    <row r="100" spans="1:4" x14ac:dyDescent="0.25">
      <c r="A100" s="3">
        <f t="shared" ca="1" si="5"/>
        <v>43936</v>
      </c>
      <c r="B100" t="s">
        <v>383</v>
      </c>
      <c r="D100" t="str">
        <f ca="1">_xll.BDH(B100,"PX_LAST",Today,Today)</f>
        <v>#N/A Connection</v>
      </c>
    </row>
    <row r="101" spans="1:4" x14ac:dyDescent="0.25">
      <c r="A101" s="3">
        <f t="shared" ca="1" si="5"/>
        <v>44301</v>
      </c>
      <c r="B101" t="s">
        <v>384</v>
      </c>
      <c r="D101" t="str">
        <f ca="1">_xll.BDH(B101,"PX_LAST",Today,Today)</f>
        <v>#N/A Connection</v>
      </c>
    </row>
    <row r="102" spans="1:4" x14ac:dyDescent="0.25">
      <c r="A102" s="3">
        <f t="shared" ca="1" si="5"/>
        <v>44666</v>
      </c>
      <c r="B102" t="s">
        <v>385</v>
      </c>
      <c r="D102" t="str">
        <f ca="1">_xll.BDH(B102,"PX_LAST",Today,Today)</f>
        <v>#N/A Connection</v>
      </c>
    </row>
    <row r="103" spans="1:4" x14ac:dyDescent="0.25">
      <c r="A103" s="3">
        <f t="shared" ca="1" si="5"/>
        <v>45031</v>
      </c>
      <c r="B103" t="s">
        <v>386</v>
      </c>
      <c r="D103" t="str">
        <f ca="1">_xll.BDH(B103,"PX_LAST",Today,Today)</f>
        <v>#N/A Connection</v>
      </c>
    </row>
    <row r="104" spans="1:4" x14ac:dyDescent="0.25">
      <c r="A104" s="3">
        <f t="shared" ca="1" si="5"/>
        <v>45397</v>
      </c>
      <c r="B104" t="s">
        <v>387</v>
      </c>
      <c r="D104" t="str">
        <f ca="1">_xll.BDH(B104,"PX_LAST",Today,Today)</f>
        <v>#N/A Connection</v>
      </c>
    </row>
    <row r="105" spans="1:4" x14ac:dyDescent="0.25">
      <c r="A105" s="3">
        <f t="shared" ca="1" si="5"/>
        <v>45762</v>
      </c>
      <c r="B105" t="s">
        <v>388</v>
      </c>
      <c r="D105" t="str">
        <f ca="1">_xll.BDH(B105,"PX_LAST",Today,Today)</f>
        <v>#N/A Connection</v>
      </c>
    </row>
    <row r="106" spans="1:4" x14ac:dyDescent="0.25">
      <c r="A106" s="3">
        <f t="shared" ca="1" si="5"/>
        <v>46127</v>
      </c>
      <c r="B106" t="s">
        <v>389</v>
      </c>
      <c r="D106" t="str">
        <f ca="1">_xll.BDH(B106,"PX_LAST",Today,Today)</f>
        <v>#N/A Connection</v>
      </c>
    </row>
    <row r="107" spans="1:4" x14ac:dyDescent="0.25">
      <c r="A107" s="3">
        <f t="shared" ca="1" si="5"/>
        <v>46492</v>
      </c>
      <c r="B107" t="s">
        <v>390</v>
      </c>
      <c r="D107" t="str">
        <f ca="1">_xll.BDH(B107,"PX_LAST",Today,Today)</f>
        <v>#N/A Connection</v>
      </c>
    </row>
    <row r="108" spans="1:4" x14ac:dyDescent="0.25">
      <c r="A108" s="3">
        <f t="shared" ca="1" si="5"/>
        <v>46858</v>
      </c>
      <c r="B108" t="s">
        <v>391</v>
      </c>
      <c r="D108" t="str">
        <f ca="1">_xll.BDH(B108,"PX_LAST",Today,Today)</f>
        <v>#N/A Connection</v>
      </c>
    </row>
    <row r="109" spans="1:4" x14ac:dyDescent="0.25">
      <c r="A109" s="3">
        <f t="shared" ca="1" si="5"/>
        <v>47223</v>
      </c>
      <c r="B109" t="s">
        <v>392</v>
      </c>
      <c r="D109" t="str">
        <f ca="1">_xll.BDH(B109,"PX_LAST",Today,Today)</f>
        <v>#N/A Connection</v>
      </c>
    </row>
    <row r="112" spans="1:4" x14ac:dyDescent="0.25">
      <c r="A112" s="17" t="s">
        <v>180</v>
      </c>
      <c r="B112" s="17" t="s">
        <v>198</v>
      </c>
    </row>
    <row r="113" spans="1:4" x14ac:dyDescent="0.25">
      <c r="A113" t="s">
        <v>24</v>
      </c>
      <c r="B113" t="s">
        <v>318</v>
      </c>
      <c r="D113" t="s">
        <v>319</v>
      </c>
    </row>
    <row r="114" spans="1:4" x14ac:dyDescent="0.25">
      <c r="A114" s="3">
        <f t="shared" ref="A114:A131" ca="1" si="6">A92</f>
        <v>43577</v>
      </c>
      <c r="B114" t="s">
        <v>393</v>
      </c>
      <c r="D114" t="str">
        <f ca="1">_xll.BDH(B114,"PX_LAST",Today,Today)</f>
        <v>#N/A Connection</v>
      </c>
    </row>
    <row r="115" spans="1:4" x14ac:dyDescent="0.25">
      <c r="A115" s="3">
        <f t="shared" ca="1" si="6"/>
        <v>43600</v>
      </c>
      <c r="B115" t="s">
        <v>394</v>
      </c>
      <c r="D115" t="str">
        <f ca="1">_xll.BDH(B115,"PX_LAST",Today,Today)</f>
        <v>#N/A Connection</v>
      </c>
    </row>
    <row r="116" spans="1:4" x14ac:dyDescent="0.25">
      <c r="A116" s="3">
        <f t="shared" ca="1" si="6"/>
        <v>43631</v>
      </c>
      <c r="B116" t="s">
        <v>395</v>
      </c>
      <c r="D116" t="str">
        <f ca="1">_xll.BDH(B116,"PX_LAST",Today,Today)</f>
        <v>#N/A Connection</v>
      </c>
    </row>
    <row r="117" spans="1:4" x14ac:dyDescent="0.25">
      <c r="A117" s="3">
        <f t="shared" ca="1" si="6"/>
        <v>43661</v>
      </c>
      <c r="B117" t="s">
        <v>396</v>
      </c>
      <c r="D117" t="str">
        <f ca="1">_xll.BDH(B117,"PX_LAST",Today,Today)</f>
        <v>#N/A Connection</v>
      </c>
    </row>
    <row r="118" spans="1:4" x14ac:dyDescent="0.25">
      <c r="A118" s="3">
        <f t="shared" ca="1" si="6"/>
        <v>43692</v>
      </c>
      <c r="B118" t="s">
        <v>397</v>
      </c>
      <c r="D118" t="str">
        <f ca="1">_xll.BDH(B118,"PX_LAST",Today,Today)</f>
        <v>#N/A Connection</v>
      </c>
    </row>
    <row r="119" spans="1:4" x14ac:dyDescent="0.25">
      <c r="A119" s="3">
        <f t="shared" ca="1" si="6"/>
        <v>43723</v>
      </c>
      <c r="B119" t="s">
        <v>398</v>
      </c>
      <c r="D119" t="str">
        <f ca="1">_xll.BDH(B119,"PX_LAST",Today,Today)</f>
        <v>#N/A Connection</v>
      </c>
    </row>
    <row r="120" spans="1:4" x14ac:dyDescent="0.25">
      <c r="A120" s="3">
        <f t="shared" ca="1" si="6"/>
        <v>43753</v>
      </c>
      <c r="B120" t="s">
        <v>399</v>
      </c>
      <c r="D120" t="str">
        <f ca="1">_xll.BDH(B120,"PX_LAST",Today,Today)</f>
        <v>#N/A Connection</v>
      </c>
    </row>
    <row r="121" spans="1:4" x14ac:dyDescent="0.25">
      <c r="A121" s="3">
        <f t="shared" ca="1" si="6"/>
        <v>43845</v>
      </c>
      <c r="B121" t="s">
        <v>400</v>
      </c>
      <c r="D121" t="str">
        <f ca="1">_xll.BDH(B121,"PX_LAST",Today,Today)</f>
        <v>#N/A Connection</v>
      </c>
    </row>
    <row r="122" spans="1:4" x14ac:dyDescent="0.25">
      <c r="A122" s="3">
        <f t="shared" ca="1" si="6"/>
        <v>43936</v>
      </c>
      <c r="B122" t="s">
        <v>401</v>
      </c>
      <c r="D122" t="str">
        <f ca="1">_xll.BDH(B122,"PX_LAST",Today,Today)</f>
        <v>#N/A Connection</v>
      </c>
    </row>
    <row r="123" spans="1:4" x14ac:dyDescent="0.25">
      <c r="A123" s="3">
        <f t="shared" ca="1" si="6"/>
        <v>44301</v>
      </c>
      <c r="B123" t="s">
        <v>402</v>
      </c>
      <c r="D123" t="str">
        <f ca="1">_xll.BDH(B123,"PX_LAST",Today,Today)</f>
        <v>#N/A Connection</v>
      </c>
    </row>
    <row r="124" spans="1:4" x14ac:dyDescent="0.25">
      <c r="A124" s="3">
        <f t="shared" ca="1" si="6"/>
        <v>44666</v>
      </c>
      <c r="B124" t="s">
        <v>403</v>
      </c>
      <c r="D124" t="str">
        <f ca="1">_xll.BDH(B124,"PX_LAST",Today,Today)</f>
        <v>#N/A Connection</v>
      </c>
    </row>
    <row r="125" spans="1:4" x14ac:dyDescent="0.25">
      <c r="A125" s="3">
        <f t="shared" ca="1" si="6"/>
        <v>45031</v>
      </c>
      <c r="B125" t="s">
        <v>404</v>
      </c>
      <c r="D125" t="str">
        <f ca="1">_xll.BDH(B125,"PX_LAST",Today,Today)</f>
        <v>#N/A Connection</v>
      </c>
    </row>
    <row r="126" spans="1:4" x14ac:dyDescent="0.25">
      <c r="A126" s="3">
        <f t="shared" ca="1" si="6"/>
        <v>45397</v>
      </c>
      <c r="B126" t="s">
        <v>405</v>
      </c>
      <c r="D126" t="str">
        <f ca="1">_xll.BDH(B126,"PX_LAST",Today,Today)</f>
        <v>#N/A Connection</v>
      </c>
    </row>
    <row r="127" spans="1:4" x14ac:dyDescent="0.25">
      <c r="A127" s="3">
        <f t="shared" ca="1" si="6"/>
        <v>45762</v>
      </c>
      <c r="B127" t="s">
        <v>406</v>
      </c>
      <c r="D127" t="str">
        <f ca="1">_xll.BDH(B127,"PX_LAST",Today,Today)</f>
        <v>#N/A Connection</v>
      </c>
    </row>
    <row r="128" spans="1:4" x14ac:dyDescent="0.25">
      <c r="A128" s="3">
        <f t="shared" ca="1" si="6"/>
        <v>46127</v>
      </c>
      <c r="B128" t="s">
        <v>407</v>
      </c>
      <c r="D128" t="str">
        <f ca="1">_xll.BDH(B128,"PX_LAST",Today,Today)</f>
        <v>#N/A Connection</v>
      </c>
    </row>
    <row r="129" spans="1:4" x14ac:dyDescent="0.25">
      <c r="A129" s="3">
        <f t="shared" ca="1" si="6"/>
        <v>46492</v>
      </c>
      <c r="B129" t="s">
        <v>408</v>
      </c>
      <c r="D129" t="str">
        <f ca="1">_xll.BDH(B129,"PX_LAST",Today,Today)</f>
        <v>#N/A Connection</v>
      </c>
    </row>
    <row r="130" spans="1:4" x14ac:dyDescent="0.25">
      <c r="A130" s="3">
        <f t="shared" ca="1" si="6"/>
        <v>46858</v>
      </c>
      <c r="B130" t="s">
        <v>409</v>
      </c>
      <c r="D130" t="str">
        <f ca="1">_xll.BDH(B130,"PX_LAST",Today,Today)</f>
        <v>#N/A Connection</v>
      </c>
    </row>
    <row r="131" spans="1:4" x14ac:dyDescent="0.25">
      <c r="A131" s="3">
        <f t="shared" ca="1" si="6"/>
        <v>47223</v>
      </c>
      <c r="B131" t="s">
        <v>410</v>
      </c>
      <c r="D131" t="str">
        <f ca="1">_xll.BDH(B131,"PX_LAST",Today,Today)</f>
        <v>#N/A Connection</v>
      </c>
    </row>
  </sheetData>
  <mergeCells count="1">
    <mergeCell ref="A1:D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4A721-0D9C-42CF-8DF1-FED27B884777}">
  <sheetPr codeName="Sheet1">
    <tabColor rgb="FF7030A0"/>
  </sheetPr>
  <dimension ref="A1:E7"/>
  <sheetViews>
    <sheetView showGridLines="0" workbookViewId="0">
      <selection activeCell="E5" sqref="E5"/>
    </sheetView>
  </sheetViews>
  <sheetFormatPr defaultRowHeight="15" x14ac:dyDescent="0.25"/>
  <cols>
    <col min="5" max="5" width="12" customWidth="1"/>
  </cols>
  <sheetData>
    <row r="1" spans="1:5" x14ac:dyDescent="0.25">
      <c r="A1" s="43" t="s">
        <v>180</v>
      </c>
      <c r="B1" s="43" t="s">
        <v>661</v>
      </c>
      <c r="C1" s="43" t="s">
        <v>664</v>
      </c>
      <c r="D1" s="43" t="s">
        <v>674</v>
      </c>
      <c r="E1" s="43" t="s">
        <v>704</v>
      </c>
    </row>
    <row r="2" spans="1:5" x14ac:dyDescent="0.25">
      <c r="A2" s="14" t="s">
        <v>12</v>
      </c>
      <c r="B2" s="19" t="s">
        <v>662</v>
      </c>
      <c r="C2" s="19" t="s">
        <v>662</v>
      </c>
      <c r="D2" s="14" t="s">
        <v>673</v>
      </c>
      <c r="E2" s="14" t="s">
        <v>705</v>
      </c>
    </row>
    <row r="3" spans="1:5" x14ac:dyDescent="0.25">
      <c r="A3" s="14" t="s">
        <v>13</v>
      </c>
      <c r="B3" s="19" t="s">
        <v>663</v>
      </c>
      <c r="C3" s="19" t="s">
        <v>663</v>
      </c>
      <c r="D3" s="14" t="s">
        <v>675</v>
      </c>
      <c r="E3" s="14" t="s">
        <v>706</v>
      </c>
    </row>
    <row r="4" spans="1:5" x14ac:dyDescent="0.25">
      <c r="A4" s="14" t="s">
        <v>19</v>
      </c>
      <c r="B4" s="19" t="s">
        <v>665</v>
      </c>
      <c r="C4" s="19" t="s">
        <v>665</v>
      </c>
      <c r="D4" s="14" t="s">
        <v>676</v>
      </c>
      <c r="E4" s="14" t="s">
        <v>707</v>
      </c>
    </row>
    <row r="5" spans="1:5" x14ac:dyDescent="0.25">
      <c r="A5" s="14" t="s">
        <v>14</v>
      </c>
      <c r="B5" s="19"/>
      <c r="C5" s="19"/>
      <c r="D5" s="14"/>
    </row>
    <row r="6" spans="1:5" x14ac:dyDescent="0.25">
      <c r="A6" s="14" t="s">
        <v>21</v>
      </c>
      <c r="B6" s="19"/>
      <c r="C6" s="19"/>
    </row>
    <row r="7" spans="1:5" x14ac:dyDescent="0.25">
      <c r="A7" s="14" t="s">
        <v>198</v>
      </c>
      <c r="B7" s="19"/>
      <c r="C7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13</vt:i4>
      </vt:variant>
    </vt:vector>
  </HeadingPairs>
  <TitlesOfParts>
    <vt:vector size="23" baseType="lpstr">
      <vt:lpstr>Pricer</vt:lpstr>
      <vt:lpstr>DFs</vt:lpstr>
      <vt:lpstr>Rate_History</vt:lpstr>
      <vt:lpstr>Vol_Surface</vt:lpstr>
      <vt:lpstr>FX_Curve_Live</vt:lpstr>
      <vt:lpstr>FX_Curve_History</vt:lpstr>
      <vt:lpstr>Rate_Live</vt:lpstr>
      <vt:lpstr>FX_Live</vt:lpstr>
      <vt:lpstr>FXFR</vt:lpstr>
      <vt:lpstr>Settings</vt:lpstr>
      <vt:lpstr>Cash_Date</vt:lpstr>
      <vt:lpstr>Future_Date</vt:lpstr>
      <vt:lpstr>Rate_History!JPY_1Y_Adj</vt:lpstr>
      <vt:lpstr>JPY_1Y_Adj</vt:lpstr>
      <vt:lpstr>Rate_History!JPY_2Y_Adj</vt:lpstr>
      <vt:lpstr>JPY_2Y_Adj</vt:lpstr>
      <vt:lpstr>Pre_Date</vt:lpstr>
      <vt:lpstr>Rate_History!Pre_Date_BRL</vt:lpstr>
      <vt:lpstr>Pre_Date_BRL</vt:lpstr>
      <vt:lpstr>Rate_History!sdate</vt:lpstr>
      <vt:lpstr>sdate</vt:lpstr>
      <vt:lpstr>Swap_Date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ACM01</dc:creator>
  <cp:lastModifiedBy>ACM05</cp:lastModifiedBy>
  <cp:lastPrinted>2019-03-07T18:06:40Z</cp:lastPrinted>
  <dcterms:created xsi:type="dcterms:W3CDTF">2016-08-08T18:43:15Z</dcterms:created>
  <dcterms:modified xsi:type="dcterms:W3CDTF">2019-04-16T17:44:19Z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f147c6a4-06f9-40ff-a106-4986310b0425</vt:lpwstr>
  </property>
  <property fmtid="{D5CDD505-2E9C-101B-9397-08002B2CF9AE}" pid="3" name="SpreadsheetBuilder_1">
    <vt:lpwstr>eyIwIjoiSGlzdG9yeSIsIjEiOjAsIjIiOjEsIjMiOjEsIjQiOjEsIjUiOjEsIjYiOjEsIjciOjEsIjgiOjEsIjkiOjEsIjEwIjoxLCIxMSI6MH0=</vt:lpwstr>
  </property>
  <property fmtid="{D5CDD505-2E9C-101B-9397-08002B2CF9AE}" pid="4" name="SpreadsheetBuilder_2">
    <vt:lpwstr>eyIwIjoiSGlzdG9yeSIsIjEiOjAsIjIiOjEsIjMiOjEsIjQiOjEsIjUiOjEsIjYiOjEsIjciOjEsIjgiOjAsIjkiOjEsIjEwIjoxLCIxMSI6MH0=</vt:lpwstr>
  </property>
  <property fmtid="{D5CDD505-2E9C-101B-9397-08002B2CF9AE}" pid="5" name="SpreadsheetBuilder_3">
    <vt:lpwstr>eyIwIjoiSGlzdG9yeSIsIjEiOjAsIjIiOjEsIjMiOjEsIjQiOjEsIjUiOjEsIjYiOjEsIjciOjEsIjgiOjAsIjkiOjEsIjEwIjoxLCIxMSI6MH0=</vt:lpwstr>
  </property>
</Properties>
</file>