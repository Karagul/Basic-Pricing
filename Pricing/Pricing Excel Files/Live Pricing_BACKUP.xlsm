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M05\Google Drive\Shared Projects\Portfolio_Management\Live_Pricing\"/>
    </mc:Choice>
  </mc:AlternateContent>
  <xr:revisionPtr revIDLastSave="0" documentId="13_ncr:1_{3901CB13-7A33-4476-92DE-F6A6C75C3391}" xr6:coauthVersionLast="40" xr6:coauthVersionMax="40" xr10:uidLastSave="{00000000-0000-0000-0000-000000000000}"/>
  <bookViews>
    <workbookView xWindow="0" yWindow="0" windowWidth="12120" windowHeight="16440" tabRatio="925" activeTab="3" xr2:uid="{00000000-000D-0000-FFFF-FFFF00000000}"/>
  </bookViews>
  <sheets>
    <sheet name="Pricer" sheetId="48" r:id="rId1"/>
    <sheet name="Schedule" sheetId="47" r:id="rId2"/>
    <sheet name="FX_Upload" sheetId="44" r:id="rId3"/>
    <sheet name="Rate_Upload" sheetId="39" r:id="rId4"/>
    <sheet name="FX_Curve_Upload" sheetId="42" r:id="rId5"/>
    <sheet name="FXFR" sheetId="46" r:id="rId6"/>
  </sheets>
  <functionGroups builtInGroupCount="19"/>
  <definedNames>
    <definedName name="Cash_Date">Pricer!$B$6</definedName>
    <definedName name="Future_Date">Pricer!$B$7</definedName>
    <definedName name="JPY_1Y_Adj">Rate_Upload!$N$57</definedName>
    <definedName name="JPY_2Y_Adj">Rate_Upload!$N$58</definedName>
    <definedName name="Pre_Date">Rate_Upload!$C$3</definedName>
    <definedName name="Pre_Date_BRL">Rate_Upload!$F$3</definedName>
    <definedName name="sdate">Rate_Upload!$C$1</definedName>
    <definedName name="SpreadsheetBuilder_1" hidden="1">#REF!</definedName>
    <definedName name="SpreadsheetBuilder_2" hidden="1">#REF!</definedName>
    <definedName name="SpreadsheetBuilder_3" hidden="1">FXFR!#REF!</definedName>
    <definedName name="Swap_Date">Pricer!$B$8</definedName>
    <definedName name="Today">Pricer!$B$4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5" i="46" l="1"/>
  <c r="A116" i="46" s="1"/>
  <c r="A117" i="46" s="1"/>
  <c r="A118" i="46" s="1"/>
  <c r="A119" i="46" s="1"/>
  <c r="A120" i="46" s="1"/>
  <c r="A121" i="46" s="1"/>
  <c r="A122" i="46" s="1"/>
  <c r="A123" i="46" s="1"/>
  <c r="A124" i="46" s="1"/>
  <c r="A125" i="46" s="1"/>
  <c r="A126" i="46" s="1"/>
  <c r="A127" i="46" s="1"/>
  <c r="A128" i="46" s="1"/>
  <c r="A129" i="46" s="1"/>
  <c r="A130" i="46" s="1"/>
  <c r="A131" i="46" s="1"/>
  <c r="A114" i="46"/>
  <c r="A93" i="46"/>
  <c r="A94" i="46" s="1"/>
  <c r="A95" i="46" s="1"/>
  <c r="A96" i="46" s="1"/>
  <c r="A97" i="46" s="1"/>
  <c r="A98" i="46" s="1"/>
  <c r="A99" i="46" s="1"/>
  <c r="A100" i="46" s="1"/>
  <c r="A101" i="46" s="1"/>
  <c r="A102" i="46" s="1"/>
  <c r="A103" i="46" s="1"/>
  <c r="A104" i="46" s="1"/>
  <c r="A105" i="46" s="1"/>
  <c r="A106" i="46" s="1"/>
  <c r="A107" i="46" s="1"/>
  <c r="A108" i="46" s="1"/>
  <c r="A109" i="46" s="1"/>
  <c r="A92" i="46"/>
  <c r="A71" i="46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A86" i="46" s="1"/>
  <c r="A87" i="46" s="1"/>
  <c r="A70" i="46"/>
  <c r="A49" i="46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48" i="46"/>
  <c r="A27" i="46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26" i="46"/>
  <c r="D131" i="46"/>
  <c r="D123" i="46"/>
  <c r="D115" i="46"/>
  <c r="D105" i="46"/>
  <c r="D97" i="46"/>
  <c r="D87" i="46"/>
  <c r="D79" i="46"/>
  <c r="D71" i="46"/>
  <c r="D61" i="46"/>
  <c r="D53" i="46"/>
  <c r="D43" i="46"/>
  <c r="D35" i="46"/>
  <c r="D27" i="46"/>
  <c r="D130" i="46"/>
  <c r="D122" i="46"/>
  <c r="D104" i="46"/>
  <c r="D96" i="46"/>
  <c r="D86" i="46"/>
  <c r="D78" i="46"/>
  <c r="D60" i="46"/>
  <c r="D52" i="46"/>
  <c r="D42" i="46"/>
  <c r="D34" i="46"/>
  <c r="D129" i="46"/>
  <c r="D121" i="46"/>
  <c r="D114" i="46"/>
  <c r="D103" i="46"/>
  <c r="D95" i="46"/>
  <c r="D85" i="46"/>
  <c r="D77" i="46"/>
  <c r="D70" i="46"/>
  <c r="D59" i="46"/>
  <c r="D51" i="46"/>
  <c r="D41" i="46"/>
  <c r="D33" i="46"/>
  <c r="D26" i="46"/>
  <c r="D36" i="46"/>
  <c r="D128" i="46"/>
  <c r="D120" i="46"/>
  <c r="D102" i="46"/>
  <c r="D94" i="46"/>
  <c r="D84" i="46"/>
  <c r="D76" i="46"/>
  <c r="D58" i="46"/>
  <c r="D50" i="46"/>
  <c r="D40" i="46"/>
  <c r="D32" i="46"/>
  <c r="D100" i="46"/>
  <c r="D82" i="46"/>
  <c r="D74" i="46"/>
  <c r="D64" i="46"/>
  <c r="D56" i="46"/>
  <c r="D127" i="46"/>
  <c r="D119" i="46"/>
  <c r="D109" i="46"/>
  <c r="D101" i="46"/>
  <c r="D93" i="46"/>
  <c r="D83" i="46"/>
  <c r="D75" i="46"/>
  <c r="D65" i="46"/>
  <c r="D57" i="46"/>
  <c r="D49" i="46"/>
  <c r="D39" i="46"/>
  <c r="D31" i="46"/>
  <c r="D21" i="46"/>
  <c r="D126" i="46"/>
  <c r="D118" i="46"/>
  <c r="D108" i="46"/>
  <c r="D38" i="46"/>
  <c r="D30" i="46"/>
  <c r="D18" i="46"/>
  <c r="D125" i="46"/>
  <c r="D117" i="46"/>
  <c r="D107" i="46"/>
  <c r="D99" i="46"/>
  <c r="D92" i="46"/>
  <c r="D81" i="46"/>
  <c r="D73" i="46"/>
  <c r="D63" i="46"/>
  <c r="D55" i="46"/>
  <c r="D48" i="46"/>
  <c r="D37" i="46"/>
  <c r="D29" i="46"/>
  <c r="D124" i="46"/>
  <c r="D116" i="46"/>
  <c r="D106" i="46"/>
  <c r="D98" i="46"/>
  <c r="D80" i="46"/>
  <c r="D72" i="46"/>
  <c r="D62" i="46"/>
  <c r="D54" i="46"/>
  <c r="D28" i="46"/>
  <c r="D20" i="46" l="1"/>
  <c r="D19" i="46"/>
  <c r="D16" i="46"/>
  <c r="D17" i="46" l="1"/>
  <c r="D13" i="46"/>
  <c r="D12" i="46"/>
  <c r="D11" i="46"/>
  <c r="D10" i="46"/>
  <c r="D7" i="46"/>
  <c r="D15" i="46"/>
  <c r="D14" i="46"/>
  <c r="D9" i="46" l="1"/>
  <c r="D8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4" i="46"/>
  <c r="D6" i="46"/>
  <c r="D5" i="46"/>
  <c r="D4" i="46"/>
  <c r="I165" i="42"/>
  <c r="T164" i="42" l="1"/>
  <c r="I164" i="42"/>
  <c r="T165" i="42" l="1"/>
  <c r="F165" i="42" s="1"/>
  <c r="F164" i="42"/>
  <c r="T163" i="42"/>
  <c r="I163" i="42"/>
  <c r="G165" i="42" l="1"/>
  <c r="F163" i="42"/>
  <c r="G164" i="42" s="1"/>
  <c r="T162" i="42" l="1"/>
  <c r="F162" i="42"/>
  <c r="G163" i="42" s="1"/>
  <c r="I162" i="42"/>
  <c r="V161" i="42"/>
  <c r="V162" i="42" l="1"/>
  <c r="T161" i="42"/>
  <c r="I161" i="42"/>
  <c r="F161" i="42" l="1"/>
  <c r="G162" i="42" s="1"/>
  <c r="A161" i="42"/>
  <c r="A162" i="42" s="1"/>
  <c r="T160" i="42"/>
  <c r="V160" i="42"/>
  <c r="I160" i="42"/>
  <c r="I167" i="42" l="1"/>
  <c r="F160" i="42"/>
  <c r="G161" i="42" s="1"/>
  <c r="I168" i="42" l="1"/>
  <c r="T167" i="42"/>
  <c r="F167" i="42" s="1"/>
  <c r="A160" i="42"/>
  <c r="V159" i="42"/>
  <c r="I169" i="42" l="1"/>
  <c r="T168" i="42"/>
  <c r="F168" i="42" s="1"/>
  <c r="T159" i="42"/>
  <c r="I159" i="42"/>
  <c r="I170" i="42" l="1"/>
  <c r="T169" i="42"/>
  <c r="F169" i="42" s="1"/>
  <c r="F159" i="42"/>
  <c r="G160" i="42" s="1"/>
  <c r="I171" i="42" l="1"/>
  <c r="T170" i="42"/>
  <c r="F170" i="42" s="1"/>
  <c r="A159" i="42"/>
  <c r="T158" i="42"/>
  <c r="I158" i="42"/>
  <c r="I172" i="42" l="1"/>
  <c r="T172" i="42" s="1"/>
  <c r="F172" i="42" s="1"/>
  <c r="T171" i="42"/>
  <c r="F171" i="42" s="1"/>
  <c r="F158" i="42"/>
  <c r="G159" i="42" s="1"/>
  <c r="A158" i="42" l="1"/>
  <c r="V157" i="42"/>
  <c r="V158" i="42" l="1"/>
  <c r="T157" i="42"/>
  <c r="M157" i="42"/>
  <c r="I157" i="42"/>
  <c r="F157" i="42" l="1"/>
  <c r="G158" i="42" s="1"/>
  <c r="M159" i="42"/>
  <c r="A157" i="42" l="1"/>
  <c r="T156" i="42"/>
  <c r="P156" i="42"/>
  <c r="M156" i="42"/>
  <c r="I156" i="42"/>
  <c r="M161" i="42"/>
  <c r="F156" i="42" l="1"/>
  <c r="G157" i="42" s="1"/>
  <c r="E156" i="42"/>
  <c r="E157" i="42" s="1"/>
  <c r="E158" i="42" s="1"/>
  <c r="E159" i="42" s="1"/>
  <c r="E160" i="42" s="1"/>
  <c r="E161" i="42" s="1"/>
  <c r="E162" i="42" s="1"/>
  <c r="E163" i="42" s="1"/>
  <c r="E164" i="42" s="1"/>
  <c r="E165" i="42" s="1"/>
  <c r="E166" i="42" s="1"/>
  <c r="C156" i="42"/>
  <c r="C157" i="42" s="1"/>
  <c r="C158" i="42" s="1"/>
  <c r="C159" i="42" s="1"/>
  <c r="C160" i="42" s="1"/>
  <c r="C161" i="42" s="1"/>
  <c r="C162" i="42" s="1"/>
  <c r="C163" i="42" s="1"/>
  <c r="M163" i="42"/>
  <c r="M158" i="42"/>
  <c r="E167" i="42" l="1"/>
  <c r="E168" i="42" s="1"/>
  <c r="E169" i="42" s="1"/>
  <c r="E170" i="42" s="1"/>
  <c r="E171" i="42" s="1"/>
  <c r="E172" i="42" s="1"/>
  <c r="I166" i="42"/>
  <c r="T166" i="42" s="1"/>
  <c r="F166" i="42" s="1"/>
  <c r="R156" i="42"/>
  <c r="A156" i="42"/>
  <c r="M160" i="42"/>
  <c r="M165" i="42"/>
  <c r="U161" i="42" l="1"/>
  <c r="B161" i="42" s="1"/>
  <c r="U162" i="42"/>
  <c r="B162" i="42" s="1"/>
  <c r="U160" i="42"/>
  <c r="B160" i="42" s="1"/>
  <c r="U159" i="42"/>
  <c r="B159" i="42" s="1"/>
  <c r="U157" i="42"/>
  <c r="B157" i="42" s="1"/>
  <c r="U158" i="42"/>
  <c r="B158" i="42" s="1"/>
  <c r="A136" i="42"/>
  <c r="A137" i="42" s="1"/>
  <c r="A135" i="42"/>
  <c r="A134" i="42"/>
  <c r="A133" i="42"/>
  <c r="A132" i="42"/>
  <c r="M139" i="42"/>
  <c r="P131" i="42"/>
  <c r="M131" i="42"/>
  <c r="M138" i="42"/>
  <c r="M134" i="42"/>
  <c r="M167" i="42"/>
  <c r="M142" i="42"/>
  <c r="M137" i="42"/>
  <c r="M162" i="42"/>
  <c r="M141" i="42"/>
  <c r="M136" i="42"/>
  <c r="M133" i="42"/>
  <c r="M140" i="42"/>
  <c r="M135" i="42"/>
  <c r="M132" i="42" l="1"/>
  <c r="E131" i="42"/>
  <c r="E132" i="42" s="1"/>
  <c r="E133" i="42" s="1"/>
  <c r="E134" i="42" s="1"/>
  <c r="E135" i="42" s="1"/>
  <c r="E136" i="42" s="1"/>
  <c r="E137" i="42" s="1"/>
  <c r="E138" i="42" s="1"/>
  <c r="E139" i="42" s="1"/>
  <c r="E140" i="42" s="1"/>
  <c r="E141" i="42" s="1"/>
  <c r="E142" i="42" s="1"/>
  <c r="E143" i="42" s="1"/>
  <c r="E144" i="42" s="1"/>
  <c r="E145" i="42" s="1"/>
  <c r="E146" i="42" s="1"/>
  <c r="C131" i="42"/>
  <c r="C132" i="42" s="1"/>
  <c r="C133" i="42" s="1"/>
  <c r="C134" i="42" s="1"/>
  <c r="C135" i="42" s="1"/>
  <c r="C136" i="42" s="1"/>
  <c r="C137" i="42" s="1"/>
  <c r="C138" i="42" s="1"/>
  <c r="A131" i="42"/>
  <c r="F141" i="42"/>
  <c r="B135" i="42"/>
  <c r="D138" i="42"/>
  <c r="M164" i="42"/>
  <c r="F139" i="42"/>
  <c r="D133" i="42"/>
  <c r="D131" i="42"/>
  <c r="F137" i="42"/>
  <c r="D137" i="42"/>
  <c r="B136" i="42"/>
  <c r="F142" i="42"/>
  <c r="B133" i="42"/>
  <c r="B132" i="42"/>
  <c r="B131" i="42"/>
  <c r="F135" i="42"/>
  <c r="M169" i="42"/>
  <c r="D136" i="42"/>
  <c r="D135" i="42"/>
  <c r="F140" i="42"/>
  <c r="F134" i="42"/>
  <c r="D132" i="42"/>
  <c r="M122" i="42"/>
  <c r="F133" i="42"/>
  <c r="F138" i="42"/>
  <c r="D134" i="42"/>
  <c r="F136" i="42"/>
  <c r="F131" i="42"/>
  <c r="B134" i="42"/>
  <c r="F132" i="42"/>
  <c r="B137" i="42" l="1"/>
  <c r="M145" i="42"/>
  <c r="M144" i="42"/>
  <c r="M143" i="42"/>
  <c r="M123" i="42"/>
  <c r="F122" i="42"/>
  <c r="F145" i="42"/>
  <c r="M171" i="42"/>
  <c r="F143" i="42"/>
  <c r="F123" i="42"/>
  <c r="M166" i="42"/>
  <c r="F144" i="42"/>
  <c r="F124" i="42" l="1"/>
  <c r="F146" i="42"/>
  <c r="M168" i="42"/>
  <c r="M120" i="42"/>
  <c r="M121" i="42" l="1"/>
  <c r="M116" i="42"/>
  <c r="F120" i="42"/>
  <c r="M170" i="42"/>
  <c r="F121" i="42"/>
  <c r="M119" i="42"/>
  <c r="M118" i="42" l="1"/>
  <c r="M117" i="42"/>
  <c r="M114" i="42"/>
  <c r="F119" i="42"/>
  <c r="M172" i="42"/>
  <c r="F116" i="42"/>
  <c r="F118" i="42"/>
  <c r="F117" i="42"/>
  <c r="M115" i="42" l="1"/>
  <c r="A111" i="42"/>
  <c r="A112" i="42" s="1"/>
  <c r="A110" i="42"/>
  <c r="A109" i="42"/>
  <c r="A108" i="42"/>
  <c r="A107" i="42"/>
  <c r="M112" i="42"/>
  <c r="M108" i="42"/>
  <c r="M111" i="42"/>
  <c r="P106" i="42"/>
  <c r="F114" i="42"/>
  <c r="M110" i="42"/>
  <c r="M106" i="42"/>
  <c r="F115" i="42"/>
  <c r="M113" i="42"/>
  <c r="M109" i="42"/>
  <c r="D113" i="42"/>
  <c r="M107" i="42" l="1"/>
  <c r="E106" i="42"/>
  <c r="E107" i="42" s="1"/>
  <c r="E108" i="42" s="1"/>
  <c r="E109" i="42" s="1"/>
  <c r="E110" i="42" s="1"/>
  <c r="E111" i="42" s="1"/>
  <c r="E112" i="42" s="1"/>
  <c r="E113" i="42" s="1"/>
  <c r="E114" i="42" s="1"/>
  <c r="E115" i="42" s="1"/>
  <c r="E116" i="42" s="1"/>
  <c r="E117" i="42" s="1"/>
  <c r="E118" i="42" s="1"/>
  <c r="E119" i="42" s="1"/>
  <c r="E120" i="42" s="1"/>
  <c r="E121" i="42" s="1"/>
  <c r="E122" i="42" s="1"/>
  <c r="E123" i="42" s="1"/>
  <c r="E124" i="42" s="1"/>
  <c r="C106" i="42"/>
  <c r="C107" i="42" s="1"/>
  <c r="C108" i="42" s="1"/>
  <c r="C109" i="42" s="1"/>
  <c r="C110" i="42" s="1"/>
  <c r="C111" i="42" s="1"/>
  <c r="C112" i="42" s="1"/>
  <c r="C113" i="42" s="1"/>
  <c r="A106" i="42"/>
  <c r="D107" i="42"/>
  <c r="B109" i="42"/>
  <c r="F111" i="42"/>
  <c r="D112" i="42"/>
  <c r="D106" i="42"/>
  <c r="F108" i="42"/>
  <c r="B108" i="42"/>
  <c r="F112" i="42"/>
  <c r="D109" i="42"/>
  <c r="B106" i="42"/>
  <c r="F109" i="42"/>
  <c r="B111" i="42"/>
  <c r="D108" i="42"/>
  <c r="F113" i="42"/>
  <c r="B110" i="42"/>
  <c r="D111" i="42"/>
  <c r="M100" i="42"/>
  <c r="F106" i="42"/>
  <c r="B107" i="42"/>
  <c r="F110" i="42"/>
  <c r="D110" i="42"/>
  <c r="F107" i="42"/>
  <c r="B112" i="42" l="1"/>
  <c r="F100" i="42"/>
  <c r="M98" i="42"/>
  <c r="F101" i="42" l="1"/>
  <c r="M99" i="42"/>
  <c r="F99" i="42"/>
  <c r="M97" i="42"/>
  <c r="M94" i="42"/>
  <c r="F98" i="42"/>
  <c r="M96" i="42" l="1"/>
  <c r="M95" i="42"/>
  <c r="M91" i="42"/>
  <c r="F94" i="42"/>
  <c r="F97" i="42"/>
  <c r="F96" i="42"/>
  <c r="F95" i="42"/>
  <c r="M93" i="42" l="1"/>
  <c r="M92" i="42"/>
  <c r="A86" i="42"/>
  <c r="A87" i="42" s="1"/>
  <c r="A85" i="42"/>
  <c r="A84" i="42"/>
  <c r="A83" i="42"/>
  <c r="A82" i="42"/>
  <c r="M90" i="42"/>
  <c r="M85" i="42"/>
  <c r="P81" i="42"/>
  <c r="M81" i="42"/>
  <c r="M89" i="42"/>
  <c r="M84" i="42"/>
  <c r="F91" i="42"/>
  <c r="M88" i="42"/>
  <c r="M87" i="42"/>
  <c r="M83" i="42"/>
  <c r="M86" i="42"/>
  <c r="F93" i="42"/>
  <c r="F92" i="42"/>
  <c r="M82" i="42" l="1"/>
  <c r="E81" i="42"/>
  <c r="E82" i="42" s="1"/>
  <c r="E83" i="42" s="1"/>
  <c r="E84" i="42" s="1"/>
  <c r="E85" i="42" s="1"/>
  <c r="E86" i="42" s="1"/>
  <c r="E87" i="42" s="1"/>
  <c r="E88" i="42" s="1"/>
  <c r="E89" i="42" s="1"/>
  <c r="E90" i="42" s="1"/>
  <c r="E91" i="42" s="1"/>
  <c r="E92" i="42" s="1"/>
  <c r="E93" i="42" s="1"/>
  <c r="E94" i="42" s="1"/>
  <c r="E95" i="42" s="1"/>
  <c r="E96" i="42" s="1"/>
  <c r="E97" i="42" s="1"/>
  <c r="E98" i="42" s="1"/>
  <c r="E99" i="42" s="1"/>
  <c r="E100" i="42" s="1"/>
  <c r="E101" i="42" s="1"/>
  <c r="C81" i="42"/>
  <c r="C82" i="42" s="1"/>
  <c r="C83" i="42" s="1"/>
  <c r="C84" i="42" s="1"/>
  <c r="C85" i="42" s="1"/>
  <c r="C86" i="42" s="1"/>
  <c r="C87" i="42" s="1"/>
  <c r="C88" i="42" s="1"/>
  <c r="A81" i="42"/>
  <c r="F84" i="42"/>
  <c r="D82" i="42"/>
  <c r="F90" i="42"/>
  <c r="F89" i="42"/>
  <c r="D86" i="42"/>
  <c r="M75" i="42"/>
  <c r="F81" i="42"/>
  <c r="B83" i="42"/>
  <c r="D84" i="42"/>
  <c r="D87" i="42"/>
  <c r="F86" i="42"/>
  <c r="B85" i="42"/>
  <c r="D83" i="42"/>
  <c r="F82" i="42"/>
  <c r="F83" i="42"/>
  <c r="D85" i="42"/>
  <c r="D88" i="42"/>
  <c r="D81" i="42"/>
  <c r="F87" i="42"/>
  <c r="B82" i="42"/>
  <c r="B84" i="42"/>
  <c r="F88" i="42"/>
  <c r="B86" i="42"/>
  <c r="F85" i="42"/>
  <c r="B81" i="42"/>
  <c r="B87" i="42" l="1"/>
  <c r="M73" i="42"/>
  <c r="M72" i="42"/>
  <c r="M69" i="42"/>
  <c r="F75" i="42"/>
  <c r="M74" i="42"/>
  <c r="F76" i="42" l="1"/>
  <c r="M71" i="42"/>
  <c r="M70" i="42"/>
  <c r="F69" i="42"/>
  <c r="F72" i="42"/>
  <c r="F73" i="42"/>
  <c r="F71" i="42"/>
  <c r="F74" i="42"/>
  <c r="F70" i="42"/>
  <c r="M66" i="42"/>
  <c r="M68" i="42" l="1"/>
  <c r="M67" i="42"/>
  <c r="A61" i="42"/>
  <c r="A62" i="42" s="1"/>
  <c r="A60" i="42"/>
  <c r="A59" i="42"/>
  <c r="A58" i="42"/>
  <c r="A57" i="42"/>
  <c r="M65" i="42"/>
  <c r="M64" i="42"/>
  <c r="M59" i="42"/>
  <c r="P56" i="42"/>
  <c r="M56" i="42"/>
  <c r="M63" i="42"/>
  <c r="M58" i="42"/>
  <c r="F66" i="42"/>
  <c r="M62" i="42"/>
  <c r="M61" i="42"/>
  <c r="F67" i="42"/>
  <c r="M57" i="42"/>
  <c r="F68" i="42"/>
  <c r="M60" i="42"/>
  <c r="E56" i="42" l="1"/>
  <c r="E57" i="42" s="1"/>
  <c r="E58" i="42" s="1"/>
  <c r="E59" i="42" s="1"/>
  <c r="E60" i="42" s="1"/>
  <c r="E61" i="42" s="1"/>
  <c r="E62" i="42" s="1"/>
  <c r="E63" i="42" s="1"/>
  <c r="E64" i="42" s="1"/>
  <c r="E65" i="42" s="1"/>
  <c r="E66" i="42" s="1"/>
  <c r="E67" i="42" s="1"/>
  <c r="E68" i="42" s="1"/>
  <c r="E69" i="42" s="1"/>
  <c r="E70" i="42" s="1"/>
  <c r="E71" i="42" s="1"/>
  <c r="E72" i="42" s="1"/>
  <c r="E73" i="42" s="1"/>
  <c r="E74" i="42" s="1"/>
  <c r="E75" i="42" s="1"/>
  <c r="E76" i="42" s="1"/>
  <c r="C56" i="42"/>
  <c r="C57" i="42" s="1"/>
  <c r="C58" i="42" s="1"/>
  <c r="C59" i="42" s="1"/>
  <c r="C60" i="42" s="1"/>
  <c r="C61" i="42" s="1"/>
  <c r="C62" i="42" s="1"/>
  <c r="C63" i="42" s="1"/>
  <c r="A56" i="42"/>
  <c r="F58" i="42"/>
  <c r="B58" i="42"/>
  <c r="B61" i="42"/>
  <c r="M50" i="42"/>
  <c r="F63" i="42"/>
  <c r="F59" i="42"/>
  <c r="D63" i="42"/>
  <c r="D62" i="42"/>
  <c r="F64" i="42"/>
  <c r="D58" i="42"/>
  <c r="F65" i="42"/>
  <c r="F60" i="42"/>
  <c r="D60" i="42"/>
  <c r="D59" i="42"/>
  <c r="D56" i="42"/>
  <c r="F57" i="42"/>
  <c r="D61" i="42"/>
  <c r="F56" i="42"/>
  <c r="F61" i="42"/>
  <c r="B59" i="42"/>
  <c r="B60" i="42"/>
  <c r="B56" i="42"/>
  <c r="F62" i="42"/>
  <c r="B57" i="42"/>
  <c r="D57" i="42"/>
  <c r="B62" i="42" l="1"/>
  <c r="M48" i="42"/>
  <c r="M47" i="42"/>
  <c r="M44" i="42"/>
  <c r="F50" i="42"/>
  <c r="M49" i="42"/>
  <c r="F51" i="42" l="1"/>
  <c r="M46" i="42"/>
  <c r="M45" i="42"/>
  <c r="F48" i="42"/>
  <c r="F46" i="42"/>
  <c r="F49" i="42"/>
  <c r="F45" i="42"/>
  <c r="M41" i="42"/>
  <c r="F44" i="42"/>
  <c r="F47" i="42"/>
  <c r="M43" i="42" l="1"/>
  <c r="M42" i="42"/>
  <c r="A36" i="42"/>
  <c r="A37" i="42" s="1"/>
  <c r="A35" i="42"/>
  <c r="A34" i="42"/>
  <c r="A33" i="42"/>
  <c r="A32" i="42"/>
  <c r="M40" i="42"/>
  <c r="M36" i="42"/>
  <c r="M33" i="42"/>
  <c r="M39" i="42"/>
  <c r="F41" i="42"/>
  <c r="M35" i="42"/>
  <c r="M32" i="42"/>
  <c r="M38" i="42"/>
  <c r="M34" i="42"/>
  <c r="P31" i="42"/>
  <c r="F43" i="42"/>
  <c r="M37" i="42"/>
  <c r="M31" i="42"/>
  <c r="F42" i="42"/>
  <c r="E31" i="42" l="1"/>
  <c r="E32" i="42" s="1"/>
  <c r="E33" i="42" s="1"/>
  <c r="E34" i="42" s="1"/>
  <c r="E35" i="42" s="1"/>
  <c r="E36" i="42" s="1"/>
  <c r="E37" i="42" s="1"/>
  <c r="E38" i="42" s="1"/>
  <c r="E39" i="42" s="1"/>
  <c r="E40" i="42" s="1"/>
  <c r="E41" i="42" s="1"/>
  <c r="E42" i="42" s="1"/>
  <c r="E43" i="42" s="1"/>
  <c r="E44" i="42" s="1"/>
  <c r="E45" i="42" s="1"/>
  <c r="E46" i="42" s="1"/>
  <c r="E47" i="42" s="1"/>
  <c r="E48" i="42" s="1"/>
  <c r="E49" i="42" s="1"/>
  <c r="E50" i="42" s="1"/>
  <c r="E51" i="42" s="1"/>
  <c r="C31" i="42"/>
  <c r="C32" i="42" s="1"/>
  <c r="C33" i="42" s="1"/>
  <c r="C34" i="42" s="1"/>
  <c r="C35" i="42" s="1"/>
  <c r="C36" i="42" s="1"/>
  <c r="C37" i="42" s="1"/>
  <c r="C38" i="42" s="1"/>
  <c r="A31" i="42"/>
  <c r="D32" i="42"/>
  <c r="F33" i="42"/>
  <c r="D33" i="42"/>
  <c r="F25" i="42"/>
  <c r="D34" i="42"/>
  <c r="F36" i="42"/>
  <c r="D37" i="42"/>
  <c r="D36" i="42"/>
  <c r="F40" i="42"/>
  <c r="F34" i="42"/>
  <c r="B36" i="42"/>
  <c r="F31" i="42"/>
  <c r="F38" i="42"/>
  <c r="D35" i="42"/>
  <c r="D31" i="42"/>
  <c r="F37" i="42"/>
  <c r="F32" i="42"/>
  <c r="B35" i="42"/>
  <c r="B33" i="42"/>
  <c r="F35" i="42"/>
  <c r="B34" i="42"/>
  <c r="B31" i="42"/>
  <c r="B32" i="42"/>
  <c r="F39" i="42"/>
  <c r="D38" i="42"/>
  <c r="B37" i="42" l="1"/>
  <c r="F26" i="42"/>
  <c r="F22" i="42"/>
  <c r="F14" i="42"/>
  <c r="F21" i="42"/>
  <c r="F13" i="42"/>
  <c r="F20" i="42"/>
  <c r="D13" i="42"/>
  <c r="F19" i="42"/>
  <c r="F12" i="42"/>
  <c r="F18" i="42"/>
  <c r="D12" i="42"/>
  <c r="F17" i="42"/>
  <c r="F11" i="42"/>
  <c r="F24" i="42"/>
  <c r="F16" i="42"/>
  <c r="D11" i="42"/>
  <c r="F23" i="42"/>
  <c r="F15" i="42"/>
  <c r="B11" i="42"/>
  <c r="B12" i="42" l="1"/>
  <c r="A11" i="42"/>
  <c r="A12" i="42" s="1"/>
  <c r="A10" i="42"/>
  <c r="A9" i="42"/>
  <c r="A8" i="42"/>
  <c r="A7" i="42"/>
  <c r="E6" i="42"/>
  <c r="E7" i="42" s="1"/>
  <c r="E8" i="42" s="1"/>
  <c r="E9" i="42" s="1"/>
  <c r="E10" i="42" s="1"/>
  <c r="E11" i="42" s="1"/>
  <c r="E12" i="42" s="1"/>
  <c r="E13" i="42" s="1"/>
  <c r="E14" i="42" s="1"/>
  <c r="E15" i="42" s="1"/>
  <c r="E16" i="42" s="1"/>
  <c r="E17" i="42" s="1"/>
  <c r="E18" i="42" s="1"/>
  <c r="E19" i="42" s="1"/>
  <c r="E20" i="42" s="1"/>
  <c r="E21" i="42" s="1"/>
  <c r="E22" i="42" s="1"/>
  <c r="E23" i="42" s="1"/>
  <c r="E24" i="42" s="1"/>
  <c r="E25" i="42" s="1"/>
  <c r="E26" i="42" s="1"/>
  <c r="C6" i="42"/>
  <c r="C7" i="42" s="1"/>
  <c r="C8" i="42" s="1"/>
  <c r="C9" i="42" s="1"/>
  <c r="C10" i="42" s="1"/>
  <c r="C11" i="42" s="1"/>
  <c r="C12" i="42" s="1"/>
  <c r="C13" i="42" s="1"/>
  <c r="A6" i="42"/>
  <c r="F10" i="42"/>
  <c r="F8" i="42"/>
  <c r="F6" i="42"/>
  <c r="D10" i="42"/>
  <c r="D8" i="42"/>
  <c r="F164" i="39"/>
  <c r="B10" i="42"/>
  <c r="B8" i="42"/>
  <c r="D6" i="42"/>
  <c r="F9" i="42"/>
  <c r="F7" i="42"/>
  <c r="B6" i="42"/>
  <c r="D9" i="42"/>
  <c r="D7" i="42"/>
  <c r="B9" i="42"/>
  <c r="B7" i="42"/>
  <c r="F165" i="39"/>
  <c r="O164" i="39" l="1"/>
  <c r="O165" i="39" s="1"/>
  <c r="G165" i="39"/>
  <c r="F163" i="39"/>
  <c r="G164" i="39" l="1"/>
  <c r="O163" i="39"/>
  <c r="P163" i="39" s="1"/>
  <c r="O166" i="39"/>
  <c r="O167" i="39" s="1"/>
  <c r="O168" i="39" s="1"/>
  <c r="O169" i="39" s="1"/>
  <c r="O170" i="39" s="1"/>
  <c r="O171" i="39" s="1"/>
  <c r="O172" i="39" s="1"/>
  <c r="P165" i="39"/>
  <c r="P164" i="39"/>
  <c r="F162" i="39"/>
  <c r="G163" i="39" l="1"/>
  <c r="O162" i="39"/>
  <c r="P162" i="39" s="1"/>
  <c r="F161" i="39"/>
  <c r="G162" i="39" l="1"/>
  <c r="O161" i="39"/>
  <c r="P161" i="39" s="1"/>
  <c r="B161" i="39"/>
  <c r="F160" i="39"/>
  <c r="F167" i="39" l="1"/>
  <c r="G161" i="39"/>
  <c r="O160" i="39"/>
  <c r="P160" i="39" s="1"/>
  <c r="B160" i="39"/>
  <c r="F168" i="39" l="1"/>
  <c r="P167" i="39"/>
  <c r="F159" i="39"/>
  <c r="G160" i="39" l="1"/>
  <c r="O159" i="39"/>
  <c r="P159" i="39" s="1"/>
  <c r="P168" i="39"/>
  <c r="F169" i="39"/>
  <c r="B159" i="39"/>
  <c r="F170" i="39" l="1"/>
  <c r="P169" i="39"/>
  <c r="F158" i="39"/>
  <c r="G159" i="39" l="1"/>
  <c r="O158" i="39"/>
  <c r="P158" i="39" s="1"/>
  <c r="P170" i="39"/>
  <c r="F171" i="39"/>
  <c r="P171" i="39" l="1"/>
  <c r="F172" i="39"/>
  <c r="P172" i="39" s="1"/>
  <c r="F157" i="39"/>
  <c r="G158" i="39" l="1"/>
  <c r="O157" i="39"/>
  <c r="P157" i="39" s="1"/>
  <c r="B157" i="39"/>
  <c r="B158" i="39" l="1"/>
  <c r="F156" i="39"/>
  <c r="G157" i="39" l="1"/>
  <c r="O156" i="39"/>
  <c r="P156" i="39" s="1"/>
  <c r="L154" i="39"/>
  <c r="F145" i="39"/>
  <c r="F146" i="39" l="1"/>
  <c r="D138" i="39"/>
  <c r="B135" i="39"/>
  <c r="D132" i="39"/>
  <c r="D131" i="39"/>
  <c r="F139" i="39"/>
  <c r="F144" i="39"/>
  <c r="F137" i="39"/>
  <c r="F134" i="39"/>
  <c r="B132" i="39"/>
  <c r="F131" i="39"/>
  <c r="F136" i="39"/>
  <c r="D133" i="39"/>
  <c r="F138" i="39"/>
  <c r="F143" i="39"/>
  <c r="D137" i="39"/>
  <c r="D134" i="39"/>
  <c r="F142" i="39"/>
  <c r="B134" i="39"/>
  <c r="B136" i="39"/>
  <c r="F135" i="39"/>
  <c r="F132" i="39"/>
  <c r="F141" i="39"/>
  <c r="D136" i="39"/>
  <c r="F133" i="39"/>
  <c r="B131" i="39"/>
  <c r="F140" i="39"/>
  <c r="F123" i="39"/>
  <c r="B133" i="39"/>
  <c r="D135" i="39"/>
  <c r="F124" i="39" l="1"/>
  <c r="F115" i="39"/>
  <c r="B111" i="39"/>
  <c r="D108" i="39"/>
  <c r="F100" i="39"/>
  <c r="D110" i="39"/>
  <c r="B110" i="39"/>
  <c r="D112" i="39"/>
  <c r="F111" i="39"/>
  <c r="F116" i="39"/>
  <c r="F122" i="39"/>
  <c r="F114" i="39"/>
  <c r="F110" i="39"/>
  <c r="B108" i="39"/>
  <c r="F120" i="39"/>
  <c r="D107" i="39"/>
  <c r="F117" i="39"/>
  <c r="F108" i="39"/>
  <c r="F121" i="39"/>
  <c r="F113" i="39"/>
  <c r="F107" i="39"/>
  <c r="D113" i="39"/>
  <c r="F106" i="39"/>
  <c r="B109" i="39"/>
  <c r="D111" i="39"/>
  <c r="F119" i="39"/>
  <c r="F112" i="39"/>
  <c r="F109" i="39"/>
  <c r="B107" i="39"/>
  <c r="F118" i="39"/>
  <c r="D109" i="39"/>
  <c r="D106" i="39"/>
  <c r="B106" i="39"/>
  <c r="F101" i="39" l="1"/>
  <c r="F92" i="39"/>
  <c r="F86" i="39"/>
  <c r="B84" i="39"/>
  <c r="D81" i="39"/>
  <c r="F99" i="39"/>
  <c r="F91" i="39"/>
  <c r="D86" i="39"/>
  <c r="F83" i="39"/>
  <c r="B81" i="39"/>
  <c r="F98" i="39"/>
  <c r="F90" i="39"/>
  <c r="B86" i="39"/>
  <c r="D83" i="39"/>
  <c r="F75" i="39"/>
  <c r="F97" i="39"/>
  <c r="F89" i="39"/>
  <c r="B83" i="39"/>
  <c r="F96" i="39"/>
  <c r="F88" i="39"/>
  <c r="D85" i="39"/>
  <c r="F82" i="39"/>
  <c r="F95" i="39"/>
  <c r="D88" i="39"/>
  <c r="B85" i="39"/>
  <c r="D82" i="39"/>
  <c r="F94" i="39"/>
  <c r="F87" i="39"/>
  <c r="F84" i="39"/>
  <c r="B82" i="39"/>
  <c r="F93" i="39"/>
  <c r="D87" i="39"/>
  <c r="D84" i="39"/>
  <c r="F81" i="39"/>
  <c r="F85" i="39"/>
  <c r="F76" i="39" l="1"/>
  <c r="F67" i="39"/>
  <c r="F61" i="39"/>
  <c r="B59" i="39"/>
  <c r="B57" i="39"/>
  <c r="F74" i="39"/>
  <c r="F66" i="39"/>
  <c r="D61" i="39"/>
  <c r="N58" i="39"/>
  <c r="F56" i="39"/>
  <c r="F60" i="39"/>
  <c r="B56" i="39"/>
  <c r="F57" i="39"/>
  <c r="D59" i="39"/>
  <c r="F73" i="39"/>
  <c r="F65" i="39"/>
  <c r="B61" i="39"/>
  <c r="F58" i="39"/>
  <c r="D56" i="39"/>
  <c r="F72" i="39"/>
  <c r="F64" i="39"/>
  <c r="D58" i="39"/>
  <c r="F68" i="39"/>
  <c r="D57" i="39"/>
  <c r="F71" i="39"/>
  <c r="F63" i="39"/>
  <c r="D60" i="39"/>
  <c r="B58" i="39"/>
  <c r="F50" i="39"/>
  <c r="F70" i="39"/>
  <c r="D63" i="39"/>
  <c r="B60" i="39"/>
  <c r="N57" i="39"/>
  <c r="F69" i="39"/>
  <c r="F62" i="39"/>
  <c r="F59" i="39"/>
  <c r="D62" i="39"/>
  <c r="F51" i="39" l="1"/>
  <c r="F42" i="39"/>
  <c r="F36" i="39"/>
  <c r="B34" i="39"/>
  <c r="D31" i="39"/>
  <c r="F40" i="39"/>
  <c r="B36" i="39"/>
  <c r="F25" i="39"/>
  <c r="F47" i="39"/>
  <c r="F35" i="39"/>
  <c r="F46" i="39"/>
  <c r="F38" i="39"/>
  <c r="D35" i="39"/>
  <c r="F45" i="39"/>
  <c r="B35" i="39"/>
  <c r="F44" i="39"/>
  <c r="F34" i="39"/>
  <c r="B32" i="39"/>
  <c r="D37" i="39"/>
  <c r="F31" i="39"/>
  <c r="F49" i="39"/>
  <c r="F41" i="39"/>
  <c r="D36" i="39"/>
  <c r="F33" i="39"/>
  <c r="B31" i="39"/>
  <c r="F48" i="39"/>
  <c r="D33" i="39"/>
  <c r="F39" i="39"/>
  <c r="B33" i="39"/>
  <c r="F32" i="39"/>
  <c r="D38" i="39"/>
  <c r="D32" i="39"/>
  <c r="F37" i="39"/>
  <c r="F43" i="39"/>
  <c r="D34" i="39"/>
  <c r="F26" i="39" l="1"/>
  <c r="C15" i="44"/>
  <c r="D15" i="44" s="1"/>
  <c r="C14" i="44"/>
  <c r="D14" i="44" s="1"/>
  <c r="C13" i="44"/>
  <c r="D13" i="44" s="1"/>
  <c r="C12" i="44"/>
  <c r="D12" i="44" s="1"/>
  <c r="C11" i="44"/>
  <c r="D11" i="44" s="1"/>
  <c r="C10" i="44"/>
  <c r="D10" i="44" s="1"/>
  <c r="C9" i="44"/>
  <c r="D9" i="44" s="1"/>
  <c r="A3" i="44"/>
  <c r="A4" i="44" s="1"/>
  <c r="F17" i="39"/>
  <c r="F11" i="39"/>
  <c r="B9" i="39"/>
  <c r="D6" i="39"/>
  <c r="E15" i="44"/>
  <c r="F13" i="39"/>
  <c r="F7" i="39"/>
  <c r="D13" i="39"/>
  <c r="E14" i="44"/>
  <c r="F19" i="39"/>
  <c r="F9" i="39"/>
  <c r="F18" i="39"/>
  <c r="D9" i="39"/>
  <c r="E13" i="44"/>
  <c r="F24" i="39"/>
  <c r="F16" i="39"/>
  <c r="D11" i="39"/>
  <c r="F8" i="39"/>
  <c r="B6" i="39"/>
  <c r="E12" i="44"/>
  <c r="F23" i="39"/>
  <c r="F15" i="39"/>
  <c r="B11" i="39"/>
  <c r="D8" i="39"/>
  <c r="F22" i="39"/>
  <c r="F14" i="39"/>
  <c r="F10" i="39"/>
  <c r="B8" i="39"/>
  <c r="E11" i="44"/>
  <c r="F21" i="39"/>
  <c r="D10" i="39"/>
  <c r="F20" i="39"/>
  <c r="B10" i="39"/>
  <c r="D7" i="39"/>
  <c r="E10" i="44"/>
  <c r="F12" i="39"/>
  <c r="B7" i="39"/>
  <c r="D12" i="39"/>
  <c r="F6" i="39"/>
  <c r="E9" i="44"/>
  <c r="A5" i="44" l="1"/>
  <c r="C4" i="44"/>
  <c r="D4" i="44" s="1"/>
  <c r="C3" i="44"/>
  <c r="D3" i="44" s="1"/>
  <c r="C2" i="44"/>
  <c r="D2" i="44" s="1"/>
  <c r="B4" i="48"/>
  <c r="E4" i="44"/>
  <c r="E3" i="44"/>
  <c r="E2" i="44"/>
  <c r="B8" i="48" l="1"/>
  <c r="A133" i="39" s="1"/>
  <c r="B7" i="48"/>
  <c r="B6" i="48"/>
  <c r="A157" i="39"/>
  <c r="A158" i="39" s="1"/>
  <c r="A159" i="39" s="1"/>
  <c r="A160" i="39" s="1"/>
  <c r="A161" i="39" s="1"/>
  <c r="A156" i="39"/>
  <c r="A136" i="39"/>
  <c r="A135" i="39"/>
  <c r="A134" i="39"/>
  <c r="A132" i="39"/>
  <c r="E131" i="39"/>
  <c r="E132" i="39" s="1"/>
  <c r="E133" i="39" s="1"/>
  <c r="E134" i="39" s="1"/>
  <c r="E135" i="39" s="1"/>
  <c r="E136" i="39" s="1"/>
  <c r="E137" i="39" s="1"/>
  <c r="E138" i="39" s="1"/>
  <c r="E139" i="39" s="1"/>
  <c r="E140" i="39" s="1"/>
  <c r="E141" i="39" s="1"/>
  <c r="E142" i="39" s="1"/>
  <c r="E143" i="39" s="1"/>
  <c r="E144" i="39" s="1"/>
  <c r="E145" i="39" s="1"/>
  <c r="E146" i="39" s="1"/>
  <c r="A131" i="39"/>
  <c r="A111" i="39"/>
  <c r="A110" i="39"/>
  <c r="A109" i="39"/>
  <c r="A108" i="39"/>
  <c r="A107" i="39"/>
  <c r="E106" i="39"/>
  <c r="E107" i="39" s="1"/>
  <c r="E108" i="39" s="1"/>
  <c r="E109" i="39" s="1"/>
  <c r="E110" i="39" s="1"/>
  <c r="E111" i="39" s="1"/>
  <c r="E112" i="39" s="1"/>
  <c r="E113" i="39" s="1"/>
  <c r="E114" i="39" s="1"/>
  <c r="E115" i="39" s="1"/>
  <c r="E116" i="39" s="1"/>
  <c r="E117" i="39" s="1"/>
  <c r="E118" i="39" s="1"/>
  <c r="E119" i="39" s="1"/>
  <c r="E120" i="39" s="1"/>
  <c r="E121" i="39" s="1"/>
  <c r="E122" i="39" s="1"/>
  <c r="E123" i="39" s="1"/>
  <c r="E124" i="39" s="1"/>
  <c r="A106" i="39"/>
  <c r="A86" i="39"/>
  <c r="A85" i="39"/>
  <c r="A84" i="39"/>
  <c r="A83" i="39"/>
  <c r="A82" i="39"/>
  <c r="E81" i="39"/>
  <c r="E82" i="39" s="1"/>
  <c r="E83" i="39" s="1"/>
  <c r="E84" i="39" s="1"/>
  <c r="E85" i="39" s="1"/>
  <c r="E86" i="39" s="1"/>
  <c r="E87" i="39" s="1"/>
  <c r="E88" i="39" s="1"/>
  <c r="E89" i="39" s="1"/>
  <c r="E90" i="39" s="1"/>
  <c r="E91" i="39" s="1"/>
  <c r="E92" i="39" s="1"/>
  <c r="E93" i="39" s="1"/>
  <c r="E94" i="39" s="1"/>
  <c r="E95" i="39" s="1"/>
  <c r="E96" i="39" s="1"/>
  <c r="E97" i="39" s="1"/>
  <c r="E98" i="39" s="1"/>
  <c r="E99" i="39" s="1"/>
  <c r="E100" i="39" s="1"/>
  <c r="E101" i="39" s="1"/>
  <c r="A81" i="39"/>
  <c r="A61" i="39"/>
  <c r="A60" i="39"/>
  <c r="A59" i="39"/>
  <c r="A58" i="39"/>
  <c r="A57" i="39"/>
  <c r="E56" i="39"/>
  <c r="E57" i="39" s="1"/>
  <c r="E58" i="39" s="1"/>
  <c r="E59" i="39" s="1"/>
  <c r="E60" i="39" s="1"/>
  <c r="E61" i="39" s="1"/>
  <c r="E62" i="39" s="1"/>
  <c r="E63" i="39" s="1"/>
  <c r="E64" i="39" s="1"/>
  <c r="E65" i="39" s="1"/>
  <c r="E66" i="39" s="1"/>
  <c r="E67" i="39" s="1"/>
  <c r="E68" i="39" s="1"/>
  <c r="E69" i="39" s="1"/>
  <c r="E70" i="39" s="1"/>
  <c r="E71" i="39" s="1"/>
  <c r="E72" i="39" s="1"/>
  <c r="E73" i="39" s="1"/>
  <c r="E74" i="39" s="1"/>
  <c r="E75" i="39" s="1"/>
  <c r="E76" i="39" s="1"/>
  <c r="A56" i="39"/>
  <c r="A36" i="39"/>
  <c r="A35" i="39"/>
  <c r="A34" i="39"/>
  <c r="A33" i="39"/>
  <c r="A32" i="39"/>
  <c r="E31" i="39"/>
  <c r="E32" i="39" s="1"/>
  <c r="E33" i="39" s="1"/>
  <c r="E34" i="39" s="1"/>
  <c r="E35" i="39" s="1"/>
  <c r="E36" i="39" s="1"/>
  <c r="E37" i="39" s="1"/>
  <c r="E38" i="39" s="1"/>
  <c r="E39" i="39" s="1"/>
  <c r="E40" i="39" s="1"/>
  <c r="E41" i="39" s="1"/>
  <c r="E42" i="39" s="1"/>
  <c r="E43" i="39" s="1"/>
  <c r="E44" i="39" s="1"/>
  <c r="E45" i="39" s="1"/>
  <c r="E46" i="39" s="1"/>
  <c r="E47" i="39" s="1"/>
  <c r="E48" i="39" s="1"/>
  <c r="E49" i="39" s="1"/>
  <c r="E50" i="39" s="1"/>
  <c r="E51" i="39" s="1"/>
  <c r="A31" i="39"/>
  <c r="A11" i="39"/>
  <c r="A10" i="39"/>
  <c r="A9" i="39"/>
  <c r="A8" i="39"/>
  <c r="A7" i="39"/>
  <c r="E6" i="39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A6" i="39"/>
  <c r="A6" i="44"/>
  <c r="C5" i="44"/>
  <c r="D5" i="44" s="1"/>
  <c r="C6" i="39"/>
  <c r="C56" i="39"/>
  <c r="E5" i="44"/>
  <c r="C156" i="39"/>
  <c r="C131" i="39"/>
  <c r="C106" i="39"/>
  <c r="C81" i="39"/>
  <c r="C31" i="39"/>
  <c r="E156" i="39" l="1"/>
  <c r="E157" i="39" s="1"/>
  <c r="E158" i="39" s="1"/>
  <c r="E159" i="39" s="1"/>
  <c r="E160" i="39" s="1"/>
  <c r="E161" i="39" s="1"/>
  <c r="E162" i="39" s="1"/>
  <c r="E163" i="39" s="1"/>
  <c r="E164" i="39" s="1"/>
  <c r="E165" i="39" s="1"/>
  <c r="E166" i="39" s="1"/>
  <c r="E167" i="39" s="1"/>
  <c r="E168" i="39" s="1"/>
  <c r="E169" i="39" s="1"/>
  <c r="E170" i="39" s="1"/>
  <c r="E171" i="39" s="1"/>
  <c r="E172" i="39" s="1"/>
  <c r="A7" i="44"/>
  <c r="C6" i="44"/>
  <c r="D6" i="44" s="1"/>
  <c r="C7" i="39"/>
  <c r="C82" i="39"/>
  <c r="C32" i="39"/>
  <c r="C107" i="39"/>
  <c r="C132" i="39"/>
  <c r="C157" i="39"/>
  <c r="C57" i="39"/>
  <c r="E6" i="44"/>
  <c r="F166" i="39" l="1"/>
  <c r="P166" i="39" s="1"/>
  <c r="A8" i="44"/>
  <c r="C8" i="44" s="1"/>
  <c r="D8" i="44" s="1"/>
  <c r="C7" i="44"/>
  <c r="D7" i="44" s="1"/>
  <c r="C58" i="39"/>
  <c r="C83" i="39"/>
  <c r="C158" i="39"/>
  <c r="C8" i="39"/>
  <c r="E7" i="44"/>
  <c r="C108" i="39"/>
  <c r="C33" i="39"/>
  <c r="C133" i="39"/>
  <c r="C134" i="39" l="1"/>
  <c r="C34" i="39"/>
  <c r="C109" i="39"/>
  <c r="C9" i="39"/>
  <c r="C159" i="39"/>
  <c r="C84" i="39"/>
  <c r="C59" i="39"/>
  <c r="C110" i="39" l="1"/>
  <c r="C35" i="39"/>
  <c r="C135" i="39"/>
  <c r="C60" i="39"/>
  <c r="C85" i="39"/>
  <c r="C160" i="39"/>
  <c r="C10" i="39"/>
  <c r="C161" i="39" l="1"/>
  <c r="C86" i="39"/>
  <c r="C36" i="39"/>
  <c r="C61" i="39"/>
  <c r="C111" i="39"/>
  <c r="C11" i="39"/>
  <c r="C136" i="39"/>
  <c r="C137" i="39"/>
  <c r="C12" i="39"/>
  <c r="C112" i="39"/>
  <c r="C62" i="39"/>
  <c r="C37" i="39"/>
  <c r="C87" i="39"/>
  <c r="C162" i="39"/>
  <c r="C163" i="39"/>
  <c r="C88" i="39"/>
  <c r="C38" i="39"/>
  <c r="C63" i="39"/>
  <c r="C113" i="39"/>
  <c r="C13" i="39"/>
  <c r="C138" i="39"/>
</calcChain>
</file>

<file path=xl/sharedStrings.xml><?xml version="1.0" encoding="utf-8"?>
<sst xmlns="http://schemas.openxmlformats.org/spreadsheetml/2006/main" count="960" uniqueCount="515">
  <si>
    <t>JY00S/N Index</t>
  </si>
  <si>
    <t>JY0001M Index</t>
  </si>
  <si>
    <t>JY0002M Index</t>
  </si>
  <si>
    <t>JY0003M Index</t>
  </si>
  <si>
    <t>JY0006M Index</t>
  </si>
  <si>
    <t>JY0012M Index</t>
  </si>
  <si>
    <t>EUSWEC Curncy</t>
  </si>
  <si>
    <t>Base</t>
  </si>
  <si>
    <t>Foreign</t>
  </si>
  <si>
    <t>Code</t>
  </si>
  <si>
    <t>Bloomberg ticker</t>
  </si>
  <si>
    <t>FX Live</t>
  </si>
  <si>
    <t>USD</t>
  </si>
  <si>
    <t>EUR</t>
  </si>
  <si>
    <t>GBP</t>
  </si>
  <si>
    <t>KRW</t>
  </si>
  <si>
    <t>NOK</t>
  </si>
  <si>
    <t>SEK</t>
  </si>
  <si>
    <t>TWD</t>
  </si>
  <si>
    <t>JPY</t>
  </si>
  <si>
    <t>NZD</t>
  </si>
  <si>
    <t>CAD</t>
  </si>
  <si>
    <t>AUD</t>
  </si>
  <si>
    <t>SAR</t>
  </si>
  <si>
    <t>Dates</t>
  </si>
  <si>
    <t>type</t>
  </si>
  <si>
    <t>USSW10 Index</t>
  </si>
  <si>
    <t>EUSA10 Index</t>
  </si>
  <si>
    <t>BPSW10 Index</t>
  </si>
  <si>
    <t>cash</t>
  </si>
  <si>
    <t>Cash Rates</t>
  </si>
  <si>
    <t>future</t>
  </si>
  <si>
    <t>Future Rates</t>
  </si>
  <si>
    <t>swap</t>
  </si>
  <si>
    <t>Swap Rates</t>
  </si>
  <si>
    <t>Tickers</t>
  </si>
  <si>
    <t>US00o/n Index</t>
  </si>
  <si>
    <t>US0001m Index</t>
  </si>
  <si>
    <t>US0002m Index</t>
  </si>
  <si>
    <t>US0003m Index</t>
  </si>
  <si>
    <t>US0006m Index</t>
  </si>
  <si>
    <t>US0012m Index</t>
  </si>
  <si>
    <t>EDU8 Comdty</t>
  </si>
  <si>
    <t>EDZ8 Comdty</t>
  </si>
  <si>
    <t>EDH9 Comdty</t>
  </si>
  <si>
    <t>EDM9 Comdty</t>
  </si>
  <si>
    <t>EDU9 Comdty</t>
  </si>
  <si>
    <t>EDZ9 Comdty</t>
  </si>
  <si>
    <t>EDH0 Comdty</t>
  </si>
  <si>
    <t>EDM0 Comdty</t>
  </si>
  <si>
    <t>USSW2 Index</t>
  </si>
  <si>
    <t>USSW3 Index</t>
  </si>
  <si>
    <t>USSW4 Index</t>
  </si>
  <si>
    <t>USSW5 Index</t>
  </si>
  <si>
    <t>USSW6 Index</t>
  </si>
  <si>
    <t>USSW7 Index</t>
  </si>
  <si>
    <t>USSW8 Index</t>
  </si>
  <si>
    <t>USSW9 Index</t>
  </si>
  <si>
    <t>USSW11 Index</t>
  </si>
  <si>
    <t>USSW12 Index</t>
  </si>
  <si>
    <t>USSW13 Index</t>
  </si>
  <si>
    <t>USSW14 Index</t>
  </si>
  <si>
    <t>USSW15 Index</t>
  </si>
  <si>
    <t>USSW16 Index</t>
  </si>
  <si>
    <t>USSW17 Index</t>
  </si>
  <si>
    <t>USSW20 Index</t>
  </si>
  <si>
    <t>USSW25 Index</t>
  </si>
  <si>
    <t>USSW30 Index</t>
  </si>
  <si>
    <t>USSW40 Index</t>
  </si>
  <si>
    <t>Current Date</t>
  </si>
  <si>
    <t>Settlement Date</t>
  </si>
  <si>
    <t>Previous Date</t>
  </si>
  <si>
    <t>EUR001m Index</t>
  </si>
  <si>
    <t>EUR002m Index</t>
  </si>
  <si>
    <t>EUR003m Index</t>
  </si>
  <si>
    <t>EUR006m Index</t>
  </si>
  <si>
    <t>EUR012m Index</t>
  </si>
  <si>
    <t>ERU8 Comdty</t>
  </si>
  <si>
    <t>ERZ8 Comdty</t>
  </si>
  <si>
    <t>ERH9 Comdty</t>
  </si>
  <si>
    <t>ERM9 Comdty</t>
  </si>
  <si>
    <t>ERU9 Comdty</t>
  </si>
  <si>
    <t>ERZ9 Comdty</t>
  </si>
  <si>
    <t>ERH0 Comdty</t>
  </si>
  <si>
    <t>ERM0 Comdty</t>
  </si>
  <si>
    <t>EUSA2 Index</t>
  </si>
  <si>
    <t>EUSA3 Index</t>
  </si>
  <si>
    <t>EUSA5 Index</t>
  </si>
  <si>
    <t>EUSA7 Index</t>
  </si>
  <si>
    <t>EUSA4 Index</t>
  </si>
  <si>
    <t>EUSA6 Index</t>
  </si>
  <si>
    <t>EUSA8 Index</t>
  </si>
  <si>
    <t>EUSA9 Index</t>
  </si>
  <si>
    <t>EUSA11 Index</t>
  </si>
  <si>
    <t>EUSA12 Index</t>
  </si>
  <si>
    <t>EUSA13 Index</t>
  </si>
  <si>
    <t>EUSA14 Index</t>
  </si>
  <si>
    <t>EUSA15 Index</t>
  </si>
  <si>
    <t>EUSA16 Index</t>
  </si>
  <si>
    <t>EUSA17 Index</t>
  </si>
  <si>
    <t>EUSA20 Index</t>
  </si>
  <si>
    <t>EUSA25 Index</t>
  </si>
  <si>
    <t>EUSA30 Index</t>
  </si>
  <si>
    <t>EUSA40 Index</t>
  </si>
  <si>
    <t>YEU8 Comdty</t>
  </si>
  <si>
    <t>YEZ8 Comdty</t>
  </si>
  <si>
    <t>YEH9 Comdty</t>
  </si>
  <si>
    <t>YEM9 Comdty</t>
  </si>
  <si>
    <t>YEU9 Comdty</t>
  </si>
  <si>
    <t>YEZ9 Comdty</t>
  </si>
  <si>
    <t>YEH0 Comdty</t>
  </si>
  <si>
    <t>YEM0 Comdty</t>
  </si>
  <si>
    <t>JYSW2 Index</t>
  </si>
  <si>
    <t>JYSW3 Index</t>
  </si>
  <si>
    <t>JYSW4 Index</t>
  </si>
  <si>
    <t>JYSW5 Index</t>
  </si>
  <si>
    <t>JYSW6 Index</t>
  </si>
  <si>
    <t>JYSW7 Index</t>
  </si>
  <si>
    <t>JYSW8 Index</t>
  </si>
  <si>
    <t>JYSW9 Index</t>
  </si>
  <si>
    <t>JYSW10 Index</t>
  </si>
  <si>
    <t>JYSW11 Index</t>
  </si>
  <si>
    <t>JYSW12 Index</t>
  </si>
  <si>
    <t>JYSW13 Index</t>
  </si>
  <si>
    <t>JYSW14 Index</t>
  </si>
  <si>
    <t>JYSW15 Index</t>
  </si>
  <si>
    <t>JYSW16 Index</t>
  </si>
  <si>
    <t>JYSW17 Index</t>
  </si>
  <si>
    <t>JYSW20 Index</t>
  </si>
  <si>
    <t>JYSW25 Index</t>
  </si>
  <si>
    <t>JYSW30 Index</t>
  </si>
  <si>
    <t>JYSW40 Index</t>
  </si>
  <si>
    <t>Special Case for JPY</t>
  </si>
  <si>
    <t>1 Year Adjustment</t>
  </si>
  <si>
    <t>2 Year Adjustment</t>
  </si>
  <si>
    <t>BP00O/N Index</t>
  </si>
  <si>
    <t>BP0001M Index</t>
  </si>
  <si>
    <t>BP0002M Index</t>
  </si>
  <si>
    <t>BP0003M Index</t>
  </si>
  <si>
    <t>BP0006M Index</t>
  </si>
  <si>
    <t>BP0012M Index</t>
  </si>
  <si>
    <t>L U8 Comdty</t>
  </si>
  <si>
    <t>L Z8 Comdty</t>
  </si>
  <si>
    <t>L H9 Comdty</t>
  </si>
  <si>
    <t>L M9 Comdty</t>
  </si>
  <si>
    <t>L U9 Comdty</t>
  </si>
  <si>
    <t>L Z9 Comdty</t>
  </si>
  <si>
    <t>L H0 Comdty</t>
  </si>
  <si>
    <t>L M0 Comdty</t>
  </si>
  <si>
    <t>BPSW2 Index</t>
  </si>
  <si>
    <t>BPSW3 Index</t>
  </si>
  <si>
    <t>BPSW4 Index</t>
  </si>
  <si>
    <t>BPSW5 Index</t>
  </si>
  <si>
    <t>BPSW6 Index</t>
  </si>
  <si>
    <t>BPSW7 Index</t>
  </si>
  <si>
    <t>BPSW8 Index</t>
  </si>
  <si>
    <t>BPSW9 Index</t>
  </si>
  <si>
    <t>BPSW11 Index</t>
  </si>
  <si>
    <t>BPSW12 Index</t>
  </si>
  <si>
    <t>BPSW13 Index</t>
  </si>
  <si>
    <t>BPSW14 Index</t>
  </si>
  <si>
    <t>BPSW15 Index</t>
  </si>
  <si>
    <t>BPSW16 Index</t>
  </si>
  <si>
    <t>BPSW17 Index</t>
  </si>
  <si>
    <t>BPSW20 Index</t>
  </si>
  <si>
    <t>BPSW25 Index</t>
  </si>
  <si>
    <t>BPSW30 Index</t>
  </si>
  <si>
    <t>BPSW40 Index</t>
  </si>
  <si>
    <t>SF00S/N Index</t>
  </si>
  <si>
    <t>SF0001M Index</t>
  </si>
  <si>
    <t>SF0002M Index</t>
  </si>
  <si>
    <t>SF0003M Index</t>
  </si>
  <si>
    <t>SF0006M Index</t>
  </si>
  <si>
    <t>SF0012M Index</t>
  </si>
  <si>
    <t>ESU8 Comdty</t>
  </si>
  <si>
    <t>ESZ8 Comdty</t>
  </si>
  <si>
    <t>ESH9 Comdty</t>
  </si>
  <si>
    <t>ESM9 Comdty</t>
  </si>
  <si>
    <t>ESU9 Comdty</t>
  </si>
  <si>
    <t>ESZ9 Comdty</t>
  </si>
  <si>
    <t>ESH0 Comdty</t>
  </si>
  <si>
    <t>ESM0 Comdty</t>
  </si>
  <si>
    <t>SFSW2 Index</t>
  </si>
  <si>
    <t>SFSW3 Index</t>
  </si>
  <si>
    <t>SFSW4 Index</t>
  </si>
  <si>
    <t>SFSW5 Index</t>
  </si>
  <si>
    <t>SFSW6 Index</t>
  </si>
  <si>
    <t>SFSW7 Index</t>
  </si>
  <si>
    <t>SFSW8 Index</t>
  </si>
  <si>
    <t>SFSW9 Index</t>
  </si>
  <si>
    <t>SFSW10 Index</t>
  </si>
  <si>
    <t>SFSW11 Index</t>
  </si>
  <si>
    <t>SFSW12 Index</t>
  </si>
  <si>
    <t>SFSW13 Index</t>
  </si>
  <si>
    <t>SFSW14 Index</t>
  </si>
  <si>
    <t>SFSW15 Index</t>
  </si>
  <si>
    <t>SFSW20 Index</t>
  </si>
  <si>
    <t>SFSW25 Index</t>
  </si>
  <si>
    <t>SFSW30 Index</t>
  </si>
  <si>
    <t>SFSW40 Index</t>
  </si>
  <si>
    <t>CABROVER Index</t>
  </si>
  <si>
    <t>CDOR01 Index</t>
  </si>
  <si>
    <t>CDOR02 Index</t>
  </si>
  <si>
    <t>CDOR03 Index</t>
  </si>
  <si>
    <t>CDOR06 Index</t>
  </si>
  <si>
    <t>CDOR12 Index</t>
  </si>
  <si>
    <t>BAU8 Comdty</t>
  </si>
  <si>
    <t>BAZ8 Comdty</t>
  </si>
  <si>
    <t>BAH9 Comdty</t>
  </si>
  <si>
    <t>BAM9 Comdty</t>
  </si>
  <si>
    <t>BAU9 Comdty</t>
  </si>
  <si>
    <t>BAZ9 Comdty</t>
  </si>
  <si>
    <t>BAH0 Comdty</t>
  </si>
  <si>
    <t>BAM0 Comdty</t>
  </si>
  <si>
    <t>CDSW2 Index</t>
  </si>
  <si>
    <t>CDSW3 Index</t>
  </si>
  <si>
    <t>CDSW4 Index</t>
  </si>
  <si>
    <t>CDSW5 Index</t>
  </si>
  <si>
    <t>CDSW6 Index</t>
  </si>
  <si>
    <t>CDSW7 Index</t>
  </si>
  <si>
    <t>CDSW8 Index</t>
  </si>
  <si>
    <t>CDSW9 Index</t>
  </si>
  <si>
    <t>CDSW10 Index</t>
  </si>
  <si>
    <t>CDSW12 Index</t>
  </si>
  <si>
    <t>CDSW15 Index</t>
  </si>
  <si>
    <t>CDSW20 Index</t>
  </si>
  <si>
    <t>CDSW25 Index</t>
  </si>
  <si>
    <t>CDSW30 Index</t>
  </si>
  <si>
    <t>CDSW40 Index</t>
  </si>
  <si>
    <t>Currency</t>
  </si>
  <si>
    <t>ACT/360</t>
  </si>
  <si>
    <t>BRL</t>
  </si>
  <si>
    <t>HASWDI1M Index</t>
  </si>
  <si>
    <t>HASWDI2M Index</t>
  </si>
  <si>
    <t>HASWDI3M Index</t>
  </si>
  <si>
    <t>HASWDI6M Index</t>
  </si>
  <si>
    <t>HASWDI9M Index</t>
  </si>
  <si>
    <t>HASWDI1Y Index</t>
  </si>
  <si>
    <t>HASWDI2Y Index</t>
  </si>
  <si>
    <t>HASWDI3Y Index</t>
  </si>
  <si>
    <t>HASWDI4Y Index</t>
  </si>
  <si>
    <t>HASWDI5Y Index</t>
  </si>
  <si>
    <t>HASWDI6Y Index</t>
  </si>
  <si>
    <t>HASWDI7Y Index</t>
  </si>
  <si>
    <t>HASWDI8Y Index</t>
  </si>
  <si>
    <t>HASWDI9Y Index</t>
  </si>
  <si>
    <t>HASWDI10Y Index</t>
  </si>
  <si>
    <t>NAN</t>
  </si>
  <si>
    <t>CHF</t>
  </si>
  <si>
    <t>B.S. Adjustments</t>
  </si>
  <si>
    <t>EUBS2 Index</t>
  </si>
  <si>
    <t>EUBS3 Index</t>
  </si>
  <si>
    <t>EUBS4 Index</t>
  </si>
  <si>
    <t>EUBS5 Index</t>
  </si>
  <si>
    <t>EUBS6 Index</t>
  </si>
  <si>
    <t>EUBS7 Index</t>
  </si>
  <si>
    <t>EUBS8 Index</t>
  </si>
  <si>
    <t>EUBS9 Index</t>
  </si>
  <si>
    <t>EUBS10 Index</t>
  </si>
  <si>
    <t>EUBS11 Index</t>
  </si>
  <si>
    <t>EUBS12 Index</t>
  </si>
  <si>
    <t>EUBS13 Index</t>
  </si>
  <si>
    <t>EUBS14 Index</t>
  </si>
  <si>
    <t>EUBS15 Index</t>
  </si>
  <si>
    <t>EUBS16 Index</t>
  </si>
  <si>
    <t>EUBS17 Index</t>
  </si>
  <si>
    <t>EUBS20 Index</t>
  </si>
  <si>
    <t>EUBS25 Index</t>
  </si>
  <si>
    <t>EUBS30 Index</t>
  </si>
  <si>
    <t>EUBS40 Index</t>
  </si>
  <si>
    <t>JYBS2 Index</t>
  </si>
  <si>
    <t>JYBS3 Index</t>
  </si>
  <si>
    <t>JYBS4 Index</t>
  </si>
  <si>
    <t>JYBS5 Index</t>
  </si>
  <si>
    <t>JYBS6 Index</t>
  </si>
  <si>
    <t>JYBS7 Index</t>
  </si>
  <si>
    <t>JYBS8 Index</t>
  </si>
  <si>
    <t>JYBS9 Index</t>
  </si>
  <si>
    <t>JYBS10 Index</t>
  </si>
  <si>
    <t>JYBS11 Index</t>
  </si>
  <si>
    <t>JYBS12 Index</t>
  </si>
  <si>
    <t>JYBS13 Index</t>
  </si>
  <si>
    <t>JYBS14 Index</t>
  </si>
  <si>
    <t>JYBS15 Index</t>
  </si>
  <si>
    <t>JYBS16 Index</t>
  </si>
  <si>
    <t>JYBS17 Index</t>
  </si>
  <si>
    <t>JYBS20 Index</t>
  </si>
  <si>
    <t>JYBS25 Index</t>
  </si>
  <si>
    <t>JYBS30 Index</t>
  </si>
  <si>
    <t>JYBS40 Index</t>
  </si>
  <si>
    <t>BPBS3 Index</t>
  </si>
  <si>
    <t>BPBS4 Index</t>
  </si>
  <si>
    <t>BPBS5 Index</t>
  </si>
  <si>
    <t>BPBS6 Index</t>
  </si>
  <si>
    <t>BPBS7 Index</t>
  </si>
  <si>
    <t>BPBS8 Index</t>
  </si>
  <si>
    <t>BPBS9 Index</t>
  </si>
  <si>
    <t>BPBS10 Index</t>
  </si>
  <si>
    <t>BPBS11 Index</t>
  </si>
  <si>
    <t>BPBS12 Index</t>
  </si>
  <si>
    <t>BPBS13 Index</t>
  </si>
  <si>
    <t>BPBS14 Index</t>
  </si>
  <si>
    <t>BPBS15 Index</t>
  </si>
  <si>
    <t>BPBS16 Index</t>
  </si>
  <si>
    <t>BPBS17 Index</t>
  </si>
  <si>
    <t>BPBS20 Index</t>
  </si>
  <si>
    <t>BPBS25 Index</t>
  </si>
  <si>
    <t>BPBS30 Index</t>
  </si>
  <si>
    <t>BPBS40 Index</t>
  </si>
  <si>
    <t>BPBS2 Index</t>
  </si>
  <si>
    <t>SFBS2 Index</t>
  </si>
  <si>
    <t>SFBS3 Index</t>
  </si>
  <si>
    <t>SFBS4 Index</t>
  </si>
  <si>
    <t>SFBS5 Index</t>
  </si>
  <si>
    <t>SFBS6 Index</t>
  </si>
  <si>
    <t>SFBS7 Index</t>
  </si>
  <si>
    <t>SFBS8 Index</t>
  </si>
  <si>
    <t>SFBS9 Index</t>
  </si>
  <si>
    <t>SFBS10 Index</t>
  </si>
  <si>
    <t>SFBS11 Index</t>
  </si>
  <si>
    <t>SFBS12 Index</t>
  </si>
  <si>
    <t>SFBS13 Index</t>
  </si>
  <si>
    <t>SFBS14 Index</t>
  </si>
  <si>
    <t>SFBS15 Index</t>
  </si>
  <si>
    <t>SFBS20 Index</t>
  </si>
  <si>
    <t>SFBS25 Index</t>
  </si>
  <si>
    <t>SFBS30 Index</t>
  </si>
  <si>
    <t>SFBS40 Index</t>
  </si>
  <si>
    <t>CDBS2 Index</t>
  </si>
  <si>
    <t>CDBS3 Index</t>
  </si>
  <si>
    <t>CDBS4 Index</t>
  </si>
  <si>
    <t>CDBS5 Index</t>
  </si>
  <si>
    <t>CDBS6 Index</t>
  </si>
  <si>
    <t>CDBS7 Index</t>
  </si>
  <si>
    <t>CDBS8 Index</t>
  </si>
  <si>
    <t>CDBS9 Index</t>
  </si>
  <si>
    <t>CDBS10 Index</t>
  </si>
  <si>
    <t>CDBS12 Index</t>
  </si>
  <si>
    <t>CDBS15 Index</t>
  </si>
  <si>
    <t>CDBS20 Index</t>
  </si>
  <si>
    <t>CDBS25 Index</t>
  </si>
  <si>
    <t>CDBS30 Index</t>
  </si>
  <si>
    <t>CDBS40 Index</t>
  </si>
  <si>
    <t>BLBS2 Index</t>
  </si>
  <si>
    <t>BLBS3 Index</t>
  </si>
  <si>
    <t>BLBS4 Index</t>
  </si>
  <si>
    <t>BLBS5 Index</t>
  </si>
  <si>
    <t>BLBS6 Index</t>
  </si>
  <si>
    <t>BLBS7 Index</t>
  </si>
  <si>
    <t>BLBS8 Index</t>
  </si>
  <si>
    <t>BLBS9 Index</t>
  </si>
  <si>
    <t>BLBS10 Index</t>
  </si>
  <si>
    <t>BLBS11 Index</t>
  </si>
  <si>
    <t>BLBS12 Index</t>
  </si>
  <si>
    <t>BLBS13 Index</t>
  </si>
  <si>
    <t>BLBS14 Index</t>
  </si>
  <si>
    <t>BLBS15 Index</t>
  </si>
  <si>
    <t>BLBS16 Index</t>
  </si>
  <si>
    <t>BLBS17 Index</t>
  </si>
  <si>
    <t>BLBS20 Index</t>
  </si>
  <si>
    <t>BLBS25 Index</t>
  </si>
  <si>
    <t>BLBS30 Index</t>
  </si>
  <si>
    <t>BLBS40 Index</t>
  </si>
  <si>
    <t>EUBS1 Index</t>
  </si>
  <si>
    <t>JYBS1 Index</t>
  </si>
  <si>
    <t>SFBS1 Index</t>
  </si>
  <si>
    <t>CDBS1 Index</t>
  </si>
  <si>
    <t>BPBS1 curncy</t>
  </si>
  <si>
    <t>BLBS1 Curncy</t>
  </si>
  <si>
    <t>Synthetic BRL curve inputs</t>
  </si>
  <si>
    <t>Delta 5-10 years</t>
  </si>
  <si>
    <t>BCN1W BGN Curncy</t>
  </si>
  <si>
    <t>BCN1M BGN Curncy</t>
  </si>
  <si>
    <t>BCN2M BGN Curncy</t>
  </si>
  <si>
    <t>BCN3M BGN Curncy</t>
  </si>
  <si>
    <t>BCN4M BGN Curncy</t>
  </si>
  <si>
    <t>BCN5M BGN Curncy</t>
  </si>
  <si>
    <t>BCN6M BGN Curncy</t>
  </si>
  <si>
    <t>BCN9M BGN Curncy</t>
  </si>
  <si>
    <t>BCN12M BGN Curncy</t>
  </si>
  <si>
    <t>BCN2Y BGN Curncy</t>
  </si>
  <si>
    <t>BCN3Y BGN Curncy</t>
  </si>
  <si>
    <t>BCN4Y BGN Curncy</t>
  </si>
  <si>
    <t>BCN5Y BGN Curncy</t>
  </si>
  <si>
    <t>BCN6Y BGN Curncy</t>
  </si>
  <si>
    <t>BCN7Y BGN Curncy</t>
  </si>
  <si>
    <t>BCN8Y BGN Curncy</t>
  </si>
  <si>
    <t>BCN9Y BGN Curncy</t>
  </si>
  <si>
    <t>BCN10Y BGN Curncy</t>
  </si>
  <si>
    <t>SEC ID</t>
  </si>
  <si>
    <t>Basis Points</t>
  </si>
  <si>
    <t>EUR1W BGN Curncy</t>
  </si>
  <si>
    <t>EUR1M BGN Curncy</t>
  </si>
  <si>
    <t>EUR2M BGN Curncy</t>
  </si>
  <si>
    <t>EUR3M BGN Curncy</t>
  </si>
  <si>
    <t>EUR4M BGN Curncy</t>
  </si>
  <si>
    <t>EUR5M BGN Curncy</t>
  </si>
  <si>
    <t>EUR6M BGN Curncy</t>
  </si>
  <si>
    <t>EUR9M BGN Curncy</t>
  </si>
  <si>
    <t>EUR12M BGN Curncy</t>
  </si>
  <si>
    <t>EUR2Y BGN Curncy</t>
  </si>
  <si>
    <t>EUR3Y BGN Curncy</t>
  </si>
  <si>
    <t>EUR4Y BGN Curncy</t>
  </si>
  <si>
    <t>EUR5Y BGN Curncy</t>
  </si>
  <si>
    <t>EUR6Y BGN Curncy</t>
  </si>
  <si>
    <t>EUR7Y BGN Curncy</t>
  </si>
  <si>
    <t>EUR8Y BGN Curncy</t>
  </si>
  <si>
    <t>EUR9Y BGN Curncy</t>
  </si>
  <si>
    <t>EUR10Y BGN Curncy</t>
  </si>
  <si>
    <t>GBP1W BGN Curncy</t>
  </si>
  <si>
    <t>GBP1M BGN Curncy</t>
  </si>
  <si>
    <t>GBP2M BGN Curncy</t>
  </si>
  <si>
    <t>GBP3M BGN Curncy</t>
  </si>
  <si>
    <t>GBP4M BGN Curncy</t>
  </si>
  <si>
    <t>GBP5M BGN Curncy</t>
  </si>
  <si>
    <t>GBP6M BGN Curncy</t>
  </si>
  <si>
    <t>GBP9M BGN Curncy</t>
  </si>
  <si>
    <t>GBP12M BGN Curncy</t>
  </si>
  <si>
    <t>GBP2Y BGN Curncy</t>
  </si>
  <si>
    <t>GBP3Y BGN Curncy</t>
  </si>
  <si>
    <t>GBP4Y BGN Curncy</t>
  </si>
  <si>
    <t>GBP5Y BGN Curncy</t>
  </si>
  <si>
    <t>GBP6Y BGN Curncy</t>
  </si>
  <si>
    <t>GBP7Y BGN Curncy</t>
  </si>
  <si>
    <t>GBP8Y BGN Curncy</t>
  </si>
  <si>
    <t>GBP9Y BGN Curncy</t>
  </si>
  <si>
    <t>GBP10Y BGN Curncy</t>
  </si>
  <si>
    <t>Forward Rates Adjustments Basis Points</t>
  </si>
  <si>
    <t>JPY1W BGN Curncy</t>
  </si>
  <si>
    <t>JPY1M BGN Curncy</t>
  </si>
  <si>
    <t>JPY2M BGN Curncy</t>
  </si>
  <si>
    <t>JPY3M BGN Curncy</t>
  </si>
  <si>
    <t>JPY4M BGN Curncy</t>
  </si>
  <si>
    <t>JPY5M BGN Curncy</t>
  </si>
  <si>
    <t>JPY6M BGN Curncy</t>
  </si>
  <si>
    <t>JPY9M BGN Curncy</t>
  </si>
  <si>
    <t>JPY12M BGN Curncy</t>
  </si>
  <si>
    <t>JPY2Y BGN Curncy</t>
  </si>
  <si>
    <t>JPY3Y BGN Curncy</t>
  </si>
  <si>
    <t>JPY4Y BGN Curncy</t>
  </si>
  <si>
    <t>JPY5Y BGN Curncy</t>
  </si>
  <si>
    <t>JPY6Y BGN Curncy</t>
  </si>
  <si>
    <t>JPY7Y BGN Curncy</t>
  </si>
  <si>
    <t>JPY8Y BGN Curncy</t>
  </si>
  <si>
    <t>JPY9Y BGN Curncy</t>
  </si>
  <si>
    <t>JPY10Y BGN Curncy</t>
  </si>
  <si>
    <t>CAD1W BGN Curncy</t>
  </si>
  <si>
    <t>CAD1M BGN Curncy</t>
  </si>
  <si>
    <t>CAD2M BGN Curncy</t>
  </si>
  <si>
    <t>CAD3M BGN Curncy</t>
  </si>
  <si>
    <t>CAD4M BGN Curncy</t>
  </si>
  <si>
    <t>CAD5M BGN Curncy</t>
  </si>
  <si>
    <t>CAD6M BGN Curncy</t>
  </si>
  <si>
    <t>CAD9M BGN Curncy</t>
  </si>
  <si>
    <t>CAD12M BGN Curncy</t>
  </si>
  <si>
    <t>CAD2Y BGN Curncy</t>
  </si>
  <si>
    <t>CAD3Y BGN Curncy</t>
  </si>
  <si>
    <t>CAD4Y BGN Curncy</t>
  </si>
  <si>
    <t>CAD5Y BGN Curncy</t>
  </si>
  <si>
    <t>CAD6Y BGN Curncy</t>
  </si>
  <si>
    <t>CAD7Y BGN Curncy</t>
  </si>
  <si>
    <t>CAD8Y BGN Curncy</t>
  </si>
  <si>
    <t>CAD9Y BGN Curncy</t>
  </si>
  <si>
    <t>CAD10Y BGN Curncy</t>
  </si>
  <si>
    <t>CHF1W BGN Curncy</t>
  </si>
  <si>
    <t>CHF1M BGN Curncy</t>
  </si>
  <si>
    <t>CHF2M BGN Curncy</t>
  </si>
  <si>
    <t>CHF3M BGN Curncy</t>
  </si>
  <si>
    <t>CHF4M BGN Curncy</t>
  </si>
  <si>
    <t>CHF5M BGN Curncy</t>
  </si>
  <si>
    <t>CHF6M BGN Curncy</t>
  </si>
  <si>
    <t>CHF9M BGN Curncy</t>
  </si>
  <si>
    <t>CHF12M BGN Curncy</t>
  </si>
  <si>
    <t>CHF2Y BGN Curncy</t>
  </si>
  <si>
    <t>CHF3Y BGN Curncy</t>
  </si>
  <si>
    <t>CHF4Y BGN Curncy</t>
  </si>
  <si>
    <t>CHF5Y BGN Curncy</t>
  </si>
  <si>
    <t>CHF6Y BGN Curncy</t>
  </si>
  <si>
    <t>CHF7Y BGN Curncy</t>
  </si>
  <si>
    <t>CHF8Y BGN Curncy</t>
  </si>
  <si>
    <t>CHF9Y BGN Curncy</t>
  </si>
  <si>
    <t>CHF10Y BGN Curncy</t>
  </si>
  <si>
    <t>Implied Rates</t>
  </si>
  <si>
    <t>Update Daily</t>
  </si>
  <si>
    <t>Swap</t>
  </si>
  <si>
    <t>name</t>
  </si>
  <si>
    <t>leg1_currency</t>
  </si>
  <si>
    <t>leg2_currency</t>
  </si>
  <si>
    <t>leg1_cpn_detail</t>
  </si>
  <si>
    <t>leg2_cpn_detail</t>
  </si>
  <si>
    <t>leg1_pay_convention</t>
  </si>
  <si>
    <t>leg2_pay_convention</t>
  </si>
  <si>
    <t>day_convention</t>
  </si>
  <si>
    <t>Schedule</t>
  </si>
  <si>
    <t>Notional</t>
  </si>
  <si>
    <t>[1000,LIBOR,6M,0,-100,100]</t>
  </si>
  <si>
    <t>[1000,6M]</t>
  </si>
  <si>
    <t>[1000,12M]</t>
  </si>
  <si>
    <t>Live Test</t>
  </si>
  <si>
    <t>[1000,Fix,1,0,-100,100]</t>
  </si>
  <si>
    <t>Live Test 2</t>
  </si>
  <si>
    <t>Live Test 3</t>
  </si>
  <si>
    <t>Live Test 4</t>
  </si>
  <si>
    <t>Details</t>
  </si>
  <si>
    <r>
      <rPr>
        <sz val="20"/>
        <color theme="1"/>
        <rFont val="Calibri"/>
        <family val="2"/>
        <scheme val="minor"/>
      </rPr>
      <t xml:space="preserve">ADVOCATE </t>
    </r>
    <r>
      <rPr>
        <sz val="11"/>
        <color theme="1"/>
        <rFont val="Calibri"/>
        <family val="2"/>
        <scheme val="minor"/>
      </rPr>
      <t>CAPITAL MANAGEMENT, LLC</t>
    </r>
  </si>
  <si>
    <t xml:space="preserve">SWAP Pricing Engine   </t>
  </si>
  <si>
    <t>Value Date</t>
  </si>
  <si>
    <t>General Settings</t>
  </si>
  <si>
    <t>BBG Source</t>
  </si>
  <si>
    <t>Money Market Date</t>
  </si>
  <si>
    <t>Future Market Date</t>
  </si>
  <si>
    <t>Swap Market Date</t>
  </si>
  <si>
    <t>Pricing Results</t>
  </si>
  <si>
    <t>Position Name</t>
  </si>
  <si>
    <t>Fixed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</si>
</sst>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yyyy\-mm\-dd;@"/>
    <numFmt numFmtId="165" formatCode="_(* #,##0_);_(* \(#,##0\);_(* &quot;-&quot;??_);_(@_)"/>
    <numFmt numFmtId="166" formatCode="_(* #,##0.0000_);_(* \(#,##0.0000\);_(* &quot;-&quot;??_);_(@_)"/>
    <numFmt numFmtId="167" formatCode="m/d/yy;@"/>
    <numFmt numFmtId="168" formatCode="mm/dd/yy;@"/>
    <numFmt numFmtId="169" formatCode="_ * #,##0_ ;_ * \-#,##0_ ;_ * &quot;-&quot;??_ ;_ @_ 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rgb="FF002060"/>
      <name val="Arial"/>
      <family val="2"/>
    </font>
    <font>
      <sz val="20"/>
      <color theme="1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2" fillId="0" borderId="0" applyFont="0" applyFill="0" applyBorder="0" applyAlignment="0" applyProtection="0"/>
  </cellStyleXfs>
  <cellXfs count="39">
    <xf numFmtId="0" fontId="0" fillId="0" borderId="0" xfId="0"/>
    <xf numFmtId="167" fontId="0" fillId="0" borderId="0" xfId="0" applyNumberFormat="1"/>
    <xf numFmtId="14" fontId="0" fillId="0" borderId="0" xfId="0" applyNumberFormat="1"/>
    <xf numFmtId="0" fontId="0" fillId="0" borderId="0" xfId="0"/>
    <xf numFmtId="164" fontId="0" fillId="0" borderId="0" xfId="0" applyNumberFormat="1"/>
    <xf numFmtId="0" fontId="0" fillId="3" borderId="0" xfId="0" applyFill="1" applyAlignment="1">
      <alignment vertic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5" fillId="6" borderId="0" xfId="0" applyFont="1" applyFill="1"/>
    <xf numFmtId="0" fontId="0" fillId="6" borderId="0" xfId="0" applyFill="1"/>
    <xf numFmtId="168" fontId="0" fillId="2" borderId="0" xfId="0" applyNumberFormat="1" applyFill="1"/>
    <xf numFmtId="167" fontId="0" fillId="2" borderId="0" xfId="0" applyNumberFormat="1" applyFill="1"/>
    <xf numFmtId="0" fontId="0" fillId="2" borderId="0" xfId="0" applyFill="1"/>
    <xf numFmtId="0" fontId="2" fillId="0" borderId="0" xfId="0" applyFont="1" applyAlignment="1">
      <alignment horizontal="center" vertical="center"/>
    </xf>
    <xf numFmtId="165" fontId="2" fillId="0" borderId="0" xfId="2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6" fontId="4" fillId="0" borderId="0" xfId="2" applyNumberFormat="1" applyFont="1" applyAlignment="1">
      <alignment horizontal="center" vertical="center"/>
    </xf>
    <xf numFmtId="0" fontId="0" fillId="8" borderId="0" xfId="0" applyFill="1"/>
    <xf numFmtId="0" fontId="3" fillId="2" borderId="0" xfId="0" applyFont="1" applyFill="1"/>
    <xf numFmtId="0" fontId="7" fillId="0" borderId="0" xfId="0" applyFont="1"/>
    <xf numFmtId="0" fontId="8" fillId="0" borderId="0" xfId="0" applyFont="1"/>
    <xf numFmtId="169" fontId="0" fillId="0" borderId="0" xfId="2" applyNumberFormat="1" applyFont="1"/>
    <xf numFmtId="0" fontId="0" fillId="10" borderId="0" xfId="0" applyFill="1"/>
    <xf numFmtId="14" fontId="0" fillId="10" borderId="0" xfId="0" applyNumberFormat="1" applyFill="1"/>
    <xf numFmtId="169" fontId="0" fillId="0" borderId="0" xfId="2" applyNumberFormat="1" applyFont="1" applyFill="1"/>
    <xf numFmtId="169" fontId="0" fillId="10" borderId="0" xfId="2" applyNumberFormat="1" applyFont="1" applyFill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0" fontId="6" fillId="11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0" fontId="14" fillId="11" borderId="0" xfId="0" applyFont="1" applyFill="1" applyAlignment="1">
      <alignment horizontal="center" vertical="center" wrapText="1"/>
    </xf>
    <xf numFmtId="0" fontId="16" fillId="12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6" fillId="9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>L U8 Comdty</stp>
        <stp>PX_LAST</stp>
        <stp>[Live Pricing.xlsm]FX_Curve_Upload!R81C4</stp>
        <tr r="D81" s="42"/>
        <tr r="D81" s="42"/>
      </tp>
      <tp t="e">
        <v>#N/A</v>
        <stp/>
        <stp>##V3_BDPV12</stp>
        <stp>HASWDI8Y Index</stp>
        <stp>PX_LAST</stp>
        <stp>[Live Pricing.xlsm]Rate_Upload!R163C6</stp>
        <tr r="F163" s="39"/>
      </tp>
      <tp t="e">
        <v>#N/A</v>
        <stp/>
        <stp>##V3_BDPV12</stp>
        <stp>BPSW4 Index</stp>
        <stp>PX_LAST</stp>
        <stp>[Live Pricing.xlsm]FX_Curve_Upload!R83C6</stp>
        <tr r="F83" s="42"/>
      </tp>
      <tp t="e">
        <v>#N/A</v>
        <stp/>
        <stp>##V3_BDPV12</stp>
        <stp>USSW6 Index</stp>
        <stp>PX_LAST</stp>
        <stp>[Live Pricing.xlsm]FX_Curve_Upload!R10C6</stp>
        <tr r="F10" s="42"/>
      </tp>
      <tp t="e">
        <v>#N/A</v>
        <stp/>
        <stp>##V3_BDPV12</stp>
        <stp>EUSA7 Index</stp>
        <stp>PX_LAST</stp>
        <stp>[Live Pricing.xlsm]FX_Curve_Upload!R36C6</stp>
        <tr r="F36" s="42"/>
      </tp>
      <tp t="e">
        <v>#N/A</v>
        <stp/>
        <stp>##V3_BDPV12</stp>
        <stp>CDSW5 Index</stp>
        <stp>PX_LAST</stp>
        <stp>[Live Pricing.xlsm]Rate_Upload!R134C6</stp>
        <tr r="F134" s="39"/>
      </tp>
      <tp t="e">
        <v>#N/A</v>
        <stp/>
        <stp>##V3_BDPV12</stp>
        <stp>USSW17 Index</stp>
        <stp>PX_LAST</stp>
        <stp>[Live Pricing.xlsm]Rate_Upload!R21C6</stp>
        <tr r="F21" s="39"/>
      </tp>
      <tp t="e">
        <v>#N/A</v>
        <stp/>
        <stp>##V3_BDPV12</stp>
        <stp>JYSW17 Index</stp>
        <stp>PX_LAST</stp>
        <stp>[Live Pricing.xlsm]Rate_Upload!R71C6</stp>
        <tr r="F71" s="39"/>
      </tp>
      <tp t="e">
        <v>#N/A</v>
        <stp/>
        <stp>##V3_BDPV12</stp>
        <stp>BPSW12 Index</stp>
        <stp>PX_LAST</stp>
        <stp>[Live Pricing.xlsm]Rate_Upload!R91C6</stp>
        <tr r="F91" s="39"/>
      </tp>
      <tp t="e">
        <v>#N/A</v>
        <stp/>
        <stp>##V3_BDPV12</stp>
        <stp>EUSA12 Index</stp>
        <stp>PX_LAST</stp>
        <stp>[Live Pricing.xlsm]Rate_Upload!R41C6</stp>
        <tr r="F41" s="39"/>
      </tp>
      <tp t="e">
        <v>#N/A</v>
        <stp/>
        <stp>##V3_BDPV12</stp>
        <stp>HASWDI7Y Index</stp>
        <stp>PX_LAST</stp>
        <stp>[Live Pricing.xlsm]Rate_Upload!R162C6</stp>
        <tr r="F162" s="39"/>
      </tp>
      <tp t="e">
        <v>#N/A</v>
        <stp/>
        <stp>##V3_BDPV12</stp>
        <stp>BPSW3 Index</stp>
        <stp>PX_LAST</stp>
        <stp>[Live Pricing.xlsm]FX_Curve_Upload!R82C6</stp>
        <tr r="F82" s="42"/>
      </tp>
      <tp t="e">
        <v>#N/A</v>
        <stp/>
        <stp>##V3_BDPV12</stp>
        <stp>USSW7 Index</stp>
        <stp>PX_LAST</stp>
        <stp>[Live Pricing.xlsm]FX_Curve_Upload!R11C6</stp>
        <tr r="F11" s="42"/>
      </tp>
      <tp t="e">
        <v>#N/A</v>
        <stp/>
        <stp>##V3_BDPV12</stp>
        <stp>EUSA8 Index</stp>
        <stp>PX_LAST</stp>
        <stp>[Live Pricing.xlsm]FX_Curve_Upload!R37C6</stp>
        <tr r="F37" s="42"/>
      </tp>
      <tp t="e">
        <v>#N/A</v>
        <stp/>
        <stp>##V3_BDPV12</stp>
        <stp>CDSW6 Index</stp>
        <stp>PX_LAST</stp>
        <stp>[Live Pricing.xlsm]Rate_Upload!R135C6</stp>
        <tr r="F135" s="39"/>
      </tp>
      <tp t="e">
        <v>#N/A</v>
        <stp/>
        <stp>##V3_BDPV12</stp>
        <stp>USSW16 Index</stp>
        <stp>PX_LAST</stp>
        <stp>[Live Pricing.xlsm]Rate_Upload!R20C6</stp>
        <tr r="F20" s="39"/>
      </tp>
      <tp t="e">
        <v>#N/A</v>
        <stp/>
        <stp>##V3_BDPV12</stp>
        <stp>JYSW16 Index</stp>
        <stp>PX_LAST</stp>
        <stp>[Live Pricing.xlsm]Rate_Upload!R70C6</stp>
        <tr r="F70" s="39"/>
      </tp>
      <tp t="e">
        <v>#N/A</v>
        <stp/>
        <stp>##V3_BDPV12</stp>
        <stp>BPSW11 Index</stp>
        <stp>PX_LAST</stp>
        <stp>[Live Pricing.xlsm]Rate_Upload!R90C6</stp>
        <tr r="F90" s="39"/>
      </tp>
      <tp t="e">
        <v>#N/A</v>
        <stp/>
        <stp>##V3_BDPV12</stp>
        <stp>EUSA11 Index</stp>
        <stp>PX_LAST</stp>
        <stp>[Live Pricing.xlsm]Rate_Upload!R40C6</stp>
        <tr r="F40" s="39"/>
      </tp>
      <tp t="e">
        <v>#N/A</v>
        <stp/>
        <stp>##V3_BDPV12</stp>
        <stp>EUSA40 Index</stp>
        <stp>PX_LAST</stp>
        <stp>[Live Pricing.xlsm]Rate_Upload!R50C6</stp>
        <tr r="F50" s="39"/>
      </tp>
      <tp t="e">
        <v>#N/A</v>
        <stp/>
        <stp>##V3_BDPV12</stp>
        <stp>L H9 Comdty</stp>
        <stp>PX_LAST</stp>
        <stp>[Live Pricing.xlsm]FX_Curve_Upload!R83C4</stp>
        <tr r="D83" s="42"/>
      </tp>
      <tp t="e">
        <v>#N/A</v>
        <stp/>
        <stp>##V3_BDPV12</stp>
        <stp>HASWDI6Y Index</stp>
        <stp>PX_LAST</stp>
        <stp>[Live Pricing.xlsm]Rate_Upload!R161C6</stp>
        <tr r="F161" s="39"/>
      </tp>
      <tp t="e">
        <v>#N/A</v>
        <stp/>
        <stp>##V3_BDPV12</stp>
        <stp>HASWDI9M Index</stp>
        <stp>PX_LAST</stp>
        <stp>[Live Pricing.xlsm]Rate_Upload!R161C2</stp>
        <tr r="B161" s="39"/>
      </tp>
      <tp t="e">
        <v>#N/A</v>
        <stp/>
        <stp>##V3_BDPV12</stp>
        <stp>JYSW4 Index</stp>
        <stp>PX_LAST</stp>
        <stp>[Live Pricing.xlsm]FX_Curve_Upload!R58C6</stp>
        <tr r="F58" s="42"/>
      </tp>
      <tp t="e">
        <v>#N/A</v>
        <stp/>
        <stp>##V3_BDPV12</stp>
        <stp>BPSW2 Index</stp>
        <stp>PX_LAST</stp>
        <stp>[Live Pricing.xlsm]FX_Curve_Upload!R81C6</stp>
        <tr r="F81" s="42"/>
      </tp>
      <tp t="e">
        <v>#N/A</v>
        <stp/>
        <stp>##V3_BDPV12</stp>
        <stp>USSW8 Index</stp>
        <stp>PX_LAST</stp>
        <stp>[Live Pricing.xlsm]FX_Curve_Upload!R12C6</stp>
        <tr r="F12" s="42"/>
      </tp>
      <tp t="e">
        <v>#N/A</v>
        <stp/>
        <stp>##V3_BDPV12</stp>
        <stp>EUSA5 Index</stp>
        <stp>PX_LAST</stp>
        <stp>[Live Pricing.xlsm]FX_Curve_Upload!R34C6</stp>
        <tr r="F34" s="42"/>
      </tp>
      <tp t="e">
        <v>#N/A</v>
        <stp/>
        <stp>##V3_BDPV12</stp>
        <stp>SFSW2 Index</stp>
        <stp>PX_LAST</stp>
        <stp>[Live Pricing.xlsm]Rate_Upload!R106C6</stp>
        <tr r="F106" s="39"/>
      </tp>
      <tp t="e">
        <v>#N/A</v>
        <stp/>
        <stp>##V3_BDPV12</stp>
        <stp>CDSW7 Index</stp>
        <stp>PX_LAST</stp>
        <stp>[Live Pricing.xlsm]Rate_Upload!R136C6</stp>
        <tr r="F136" s="39"/>
      </tp>
      <tp t="e">
        <v>#N/A</v>
        <stp/>
        <stp>##V3_BDPV12</stp>
        <stp>USSW25 Index</stp>
        <stp>PX_LAST</stp>
        <stp>[Live Pricing.xlsm]Rate_Upload!R23C6</stp>
        <tr r="F23" s="39"/>
      </tp>
      <tp t="e">
        <v>#N/A</v>
        <stp/>
        <stp>##V3_BDPV12</stp>
        <stp>JYSW25 Index</stp>
        <stp>PX_LAST</stp>
        <stp>[Live Pricing.xlsm]Rate_Upload!R73C6</stp>
        <tr r="F73" s="39"/>
      </tp>
      <tp t="e">
        <v>#N/A</v>
        <stp/>
        <stp>##V3_BDPV12</stp>
        <stp>BPSW14 Index</stp>
        <stp>PX_LAST</stp>
        <stp>[Live Pricing.xlsm]Rate_Upload!R93C6</stp>
        <tr r="F93" s="39"/>
      </tp>
      <tp t="e">
        <v>#N/A</v>
        <stp/>
        <stp>##V3_BDPV12</stp>
        <stp>EUSA14 Index</stp>
        <stp>PX_LAST</stp>
        <stp>[Live Pricing.xlsm]Rate_Upload!R43C6</stp>
        <tr r="F43" s="39"/>
      </tp>
      <tp t="e">
        <v>#N/A</v>
        <stp/>
        <stp>##V3_BDPV12</stp>
        <stp>HASWDI6M Index</stp>
        <stp>PX_LAST</stp>
        <stp>[Live Pricing.xlsm]Rate_Upload!R160C2</stp>
        <tr r="B160" s="39"/>
      </tp>
      <tp t="e">
        <v>#N/A</v>
        <stp/>
        <stp>##V3_BDPV12</stp>
        <stp>HASWDI5Y Index</stp>
        <stp>PX_LAST</stp>
        <stp>[Live Pricing.xlsm]Rate_Upload!R160C6</stp>
        <tr r="F160" s="39"/>
      </tp>
      <tp t="e">
        <v>#N/A</v>
        <stp/>
        <stp>##V3_BDPV12</stp>
        <stp>L Z8 Comdty</stp>
        <stp>PX_LAST</stp>
        <stp>[Live Pricing.xlsm]FX_Curve_Upload!R82C4</stp>
        <tr r="D82" s="42"/>
      </tp>
      <tp t="e">
        <v>#N/A</v>
        <stp/>
        <stp>##V3_BDPV12</stp>
        <stp>JYSW5 Index</stp>
        <stp>PX_LAST</stp>
        <stp>[Live Pricing.xlsm]FX_Curve_Upload!R59C6</stp>
        <tr r="F59" s="42"/>
      </tp>
      <tp t="e">
        <v>#N/A</v>
        <stp/>
        <stp>##V3_BDPV12</stp>
        <stp>USSW9 Index</stp>
        <stp>PX_LAST</stp>
        <stp>[Live Pricing.xlsm]FX_Curve_Upload!R13C6</stp>
        <tr r="F13" s="42"/>
      </tp>
      <tp t="e">
        <v>#N/A</v>
        <stp/>
        <stp>##V3_BDPV12</stp>
        <stp>EUSA6 Index</stp>
        <stp>PX_LAST</stp>
        <stp>[Live Pricing.xlsm]FX_Curve_Upload!R35C6</stp>
        <tr r="F35" s="42"/>
      </tp>
      <tp t="e">
        <v>#N/A</v>
        <stp/>
        <stp>##V3_BDPV12</stp>
        <stp>SFSW3 Index</stp>
        <stp>PX_LAST</stp>
        <stp>[Live Pricing.xlsm]Rate_Upload!R107C6</stp>
        <tr r="F107" s="39"/>
      </tp>
      <tp t="e">
        <v>#N/A</v>
        <stp/>
        <stp>##V3_BDPV12</stp>
        <stp>CDSW8 Index</stp>
        <stp>PX_LAST</stp>
        <stp>[Live Pricing.xlsm]Rate_Upload!R137C6</stp>
        <tr r="F137" s="39"/>
      </tp>
      <tp t="e">
        <v>#N/A</v>
        <stp/>
        <stp>##V3_BDPV12</stp>
        <stp>USSW20 Index</stp>
        <stp>PX_LAST</stp>
        <stp>[Live Pricing.xlsm]Rate_Upload!R22C6</stp>
        <tr r="F22" s="39"/>
      </tp>
      <tp t="e">
        <v>#N/A</v>
        <stp/>
        <stp>##V3_BDPV12</stp>
        <stp>JYSW20 Index</stp>
        <stp>PX_LAST</stp>
        <stp>[Live Pricing.xlsm]Rate_Upload!R72C6</stp>
        <tr r="F72" s="39"/>
      </tp>
      <tp t="e">
        <v>#N/A</v>
        <stp/>
        <stp>##V3_BDPV12</stp>
        <stp>BPSW13 Index</stp>
        <stp>PX_LAST</stp>
        <stp>[Live Pricing.xlsm]Rate_Upload!R92C6</stp>
        <tr r="F92" s="39"/>
      </tp>
      <tp t="e">
        <v>#N/A</v>
        <stp/>
        <stp>##V3_BDPV12</stp>
        <stp>EUSA13 Index</stp>
        <stp>PX_LAST</stp>
        <stp>[Live Pricing.xlsm]Rate_Upload!R42C6</stp>
        <tr r="F42" s="39"/>
      </tp>
      <tp t="e">
        <v>#N/A</v>
        <stp/>
        <stp>##V3_BDPV12</stp>
        <stp>HASWDI2Y Index</stp>
        <stp>PX_LAST</stp>
        <stp>[Live Pricing.xlsm]Rate_Upload!R157C6</stp>
        <tr r="F157" s="39"/>
      </tp>
      <tp t="e">
        <v>#N/A</v>
        <stp/>
        <stp>##V3_BDPV12</stp>
        <stp>L U9 Comdty</stp>
        <stp>PX_LAST</stp>
        <stp>[Live Pricing.xlsm]FX_Curve_Upload!R85C4</stp>
        <tr r="D85" s="42"/>
      </tp>
      <tp t="e">
        <v>#N/A</v>
        <stp/>
        <stp>##V3_BDPV12</stp>
        <stp>HASWDI1M Index</stp>
        <stp>PX_LAST</stp>
        <stp>[Live Pricing.xlsm]Rate_Upload!R157C2</stp>
        <tr r="B157" s="39"/>
      </tp>
      <tp t="e">
        <v>#N/A</v>
        <stp/>
        <stp>##V3_BDPV12</stp>
        <stp>BPSW8 Index</stp>
        <stp>PX_LAST</stp>
        <stp>[Live Pricing.xlsm]FX_Curve_Upload!R87C6</stp>
        <tr r="F87" s="42"/>
      </tp>
      <tp t="e">
        <v>#N/A</v>
        <stp/>
        <stp>##V3_BDPV12</stp>
        <stp>EUSA3 Index</stp>
        <stp>PX_LAST</stp>
        <stp>[Live Pricing.xlsm]FX_Curve_Upload!R32C6</stp>
        <tr r="F32" s="42"/>
      </tp>
      <tp t="e">
        <v>#N/A</v>
        <stp/>
        <stp>##V3_BDPV12</stp>
        <stp>SFSW6 Index</stp>
        <stp>PX_LAST</stp>
        <stp>[Live Pricing.xlsm]Rate_Upload!R110C6</stp>
        <tr r="F110" s="39"/>
      </tp>
      <tp t="e">
        <v>#N/A</v>
        <stp/>
        <stp>##V3_BDPV12</stp>
        <stp>USSW11 Index</stp>
        <stp>PX_LAST</stp>
        <stp>[Live Pricing.xlsm]Rate_Upload!R15C6</stp>
        <tr r="F15" s="39"/>
      </tp>
      <tp t="e">
        <v>#N/A</v>
        <stp/>
        <stp>##V3_BDPV12</stp>
        <stp>USSW40 Index</stp>
        <stp>PX_LAST</stp>
        <stp>[Live Pricing.xlsm]Rate_Upload!R25C6</stp>
        <tr r="F25" s="39"/>
      </tp>
      <tp t="e">
        <v>#N/A</v>
        <stp/>
        <stp>##V3_BDPV12</stp>
        <stp>JYSW40 Index</stp>
        <stp>PX_LAST</stp>
        <stp>[Live Pricing.xlsm]Rate_Upload!R75C6</stp>
        <tr r="F75" s="39"/>
      </tp>
      <tp t="e">
        <v>#N/A</v>
        <stp/>
        <stp>##V3_BDPV12</stp>
        <stp>JYSW11 Index</stp>
        <stp>PX_LAST</stp>
        <stp>[Live Pricing.xlsm]Rate_Upload!R65C6</stp>
        <tr r="F65" s="39"/>
      </tp>
      <tp t="e">
        <v>#N/A</v>
        <stp/>
        <stp>##V3_BDPV12</stp>
        <stp>BPSW16 Index</stp>
        <stp>PX_LAST</stp>
        <stp>[Live Pricing.xlsm]Rate_Upload!R95C6</stp>
        <tr r="F95" s="39"/>
      </tp>
      <tp t="e">
        <v>#N/A</v>
        <stp/>
        <stp>##V3_BDPV12</stp>
        <stp>EUSA16 Index</stp>
        <stp>PX_LAST</stp>
        <stp>[Live Pricing.xlsm]Rate_Upload!R45C6</stp>
        <tr r="F45" s="39"/>
      </tp>
      <tp t="e">
        <v>#N/A</v>
        <stp/>
        <stp>##V3_BDPV12</stp>
        <stp>L M9 Comdty</stp>
        <stp>PX_LAST</stp>
        <stp>[Live Pricing.xlsm]FX_Curve_Upload!R84C4</stp>
        <tr r="D84" s="42"/>
      </tp>
      <tp t="e">
        <v>#N/A</v>
        <stp/>
        <stp>##V3_BDPV12</stp>
        <stp>HASWDI1Y Index</stp>
        <stp>PX_LAST</stp>
        <stp>[Live Pricing.xlsm]Rate_Upload!R156C6</stp>
        <tr r="F156" s="39"/>
      </tp>
      <tp t="e">
        <v>#N/A</v>
        <stp/>
        <stp>##V3_BDPV12</stp>
        <stp>BPSW7 Index</stp>
        <stp>PX_LAST</stp>
        <stp>[Live Pricing.xlsm]FX_Curve_Upload!R86C6</stp>
        <tr r="F86" s="42"/>
      </tp>
      <tp t="e">
        <v>#N/A</v>
        <stp/>
        <stp>##V3_BDPV12</stp>
        <stp>EUSA4 Index</stp>
        <stp>PX_LAST</stp>
        <stp>[Live Pricing.xlsm]FX_Curve_Upload!R33C6</stp>
        <tr r="F33" s="42"/>
      </tp>
      <tp t="e">
        <v>#N/A</v>
        <stp/>
        <stp>##V3_BDPV12</stp>
        <stp>SFSW7 Index</stp>
        <stp>PX_LAST</stp>
        <stp>[Live Pricing.xlsm]Rate_Upload!R111C6</stp>
        <tr r="F111" s="39"/>
      </tp>
      <tp t="e">
        <v>#N/A</v>
        <stp/>
        <stp>##V3_BDPV12</stp>
        <stp>CDSW2 Index</stp>
        <stp>PX_LAST</stp>
        <stp>[Live Pricing.xlsm]Rate_Upload!R131C6</stp>
        <tr r="F131" s="39"/>
      </tp>
      <tp t="e">
        <v>#N/A</v>
        <stp/>
        <stp>##V3_BDPV12</stp>
        <stp>USSW30 Index</stp>
        <stp>PX_LAST</stp>
        <stp>[Live Pricing.xlsm]Rate_Upload!R24C6</stp>
        <tr r="F24" s="39"/>
      </tp>
      <tp t="e">
        <v>#N/A</v>
        <stp/>
        <stp>##V3_BDPV12</stp>
        <stp>USSW10 Index</stp>
        <stp>PX_LAST</stp>
        <stp>[Live Pricing.xlsm]Rate_Upload!R14C6</stp>
        <tr r="F14" s="39"/>
      </tp>
      <tp t="e">
        <v>#N/A</v>
        <stp/>
        <stp>##V3_BDPV12</stp>
        <stp>JYSW10 Index</stp>
        <stp>PX_LAST</stp>
        <stp>[Live Pricing.xlsm]Rate_Upload!R64C6</stp>
        <tr r="F64" s="39"/>
      </tp>
      <tp t="e">
        <v>#N/A</v>
        <stp/>
        <stp>##V3_BDPV12</stp>
        <stp>JYSW30 Index</stp>
        <stp>PX_LAST</stp>
        <stp>[Live Pricing.xlsm]Rate_Upload!R74C6</stp>
        <tr r="F74" s="39"/>
      </tp>
      <tp t="e">
        <v>#N/A</v>
        <stp/>
        <stp>##V3_BDPV12</stp>
        <stp>BPSW15 Index</stp>
        <stp>PX_LAST</stp>
        <stp>[Live Pricing.xlsm]Rate_Upload!R94C6</stp>
        <tr r="F94" s="39"/>
      </tp>
      <tp t="e">
        <v>#N/A</v>
        <stp/>
        <stp>##V3_BDPV12</stp>
        <stp>EUSA15 Index</stp>
        <stp>PX_LAST</stp>
        <stp>[Live Pricing.xlsm]Rate_Upload!R44C6</stp>
        <tr r="F44" s="39"/>
      </tp>
      <tp t="e">
        <v>#N/A</v>
        <stp/>
        <stp>##V3_BDPV12</stp>
        <stp>L H0 Comdty</stp>
        <stp>PX_LAST</stp>
        <stp>[Live Pricing.xlsm]FX_Curve_Upload!R87C4</stp>
        <tr r="D87" s="42"/>
      </tp>
      <tp t="e">
        <v>#N/A</v>
        <stp/>
        <stp>##V3_BDPV12</stp>
        <stp>US0002m Index</stp>
        <stp>PX_LAST</stp>
        <stp>[Live Pricing.xlsm]Rate_Upload!R8C2</stp>
        <tr r="B8" s="39"/>
      </tp>
      <tp t="e">
        <v>#N/A</v>
        <stp/>
        <stp>##V3_BDPV12</stp>
        <stp>BPSW6 Index</stp>
        <stp>PX_LAST</stp>
        <stp>[Live Pricing.xlsm]FX_Curve_Upload!R85C6</stp>
        <tr r="F85" s="42"/>
      </tp>
      <tp t="e">
        <v>#N/A</v>
        <stp/>
        <stp>##V3_BDPV12</stp>
        <stp>SFSW8 Index</stp>
        <stp>PX_LAST</stp>
        <stp>[Live Pricing.xlsm]Rate_Upload!R112C6</stp>
        <tr r="F112" s="39"/>
      </tp>
      <tp t="e">
        <v>#N/A</v>
        <stp/>
        <stp>##V3_BDPV12</stp>
        <stp>CDSW3 Index</stp>
        <stp>PX_LAST</stp>
        <stp>[Live Pricing.xlsm]Rate_Upload!R132C6</stp>
        <tr r="F132" s="39"/>
      </tp>
      <tp t="e">
        <v>#N/A</v>
        <stp/>
        <stp>##V3_BDPV12</stp>
        <stp>USSW13 Index</stp>
        <stp>PX_LAST</stp>
        <stp>[Live Pricing.xlsm]Rate_Upload!R17C6</stp>
        <tr r="F17" s="39"/>
      </tp>
      <tp t="e">
        <v>#N/A</v>
        <stp/>
        <stp>##V3_BDPV12</stp>
        <stp>JYSW13 Index</stp>
        <stp>PX_LAST</stp>
        <stp>[Live Pricing.xlsm]Rate_Upload!R67C6</stp>
        <tr r="F67" s="39"/>
      </tp>
      <tp t="e">
        <v>#N/A</v>
        <stp/>
        <stp>##V3_BDPV12</stp>
        <stp>BPSW20 Index</stp>
        <stp>PX_LAST</stp>
        <stp>[Live Pricing.xlsm]Rate_Upload!R97C6</stp>
        <tr r="F97" s="39"/>
      </tp>
      <tp t="e">
        <v>#N/A</v>
        <stp/>
        <stp>##V3_BDPV12</stp>
        <stp>EUSA20 Index</stp>
        <stp>PX_LAST</stp>
        <stp>[Live Pricing.xlsm]Rate_Upload!R47C6</stp>
        <tr r="F47" s="39"/>
      </tp>
      <tp t="e">
        <v>#N/A</v>
        <stp/>
        <stp>##V3_BDPV12</stp>
        <stp>US0003m Index</stp>
        <stp>PX_LAST</stp>
        <stp>[Live Pricing.xlsm]Rate_Upload!R9C2</stp>
        <tr r="B9" s="39"/>
      </tp>
      <tp t="e">
        <v>#N/A</v>
        <stp/>
        <stp>##V3_BDPV12</stp>
        <stp>L Z9 Comdty</stp>
        <stp>PX_LAST</stp>
        <stp>[Live Pricing.xlsm]FX_Curve_Upload!R86C4</stp>
        <tr r="D86" s="42"/>
      </tp>
      <tp t="e">
        <v>#N/A</v>
        <stp/>
        <stp>##V3_BDPV12</stp>
        <stp>HASWDI9Y Index</stp>
        <stp>PX_LAST</stp>
        <stp>[Live Pricing.xlsm]Rate_Upload!R164C6</stp>
        <tr r="F164" s="39"/>
      </tp>
      <tp t="e">
        <v>#N/A</v>
        <stp/>
        <stp>##V3_BDPV12</stp>
        <stp>BPSW5 Index</stp>
        <stp>PX_LAST</stp>
        <stp>[Live Pricing.xlsm]FX_Curve_Upload!R84C6</stp>
        <tr r="F84" s="42"/>
      </tp>
      <tp t="e">
        <v>#N/A</v>
        <stp/>
        <stp>##V3_BDPV12</stp>
        <stp>EUSA2 Index</stp>
        <stp>PX_LAST</stp>
        <stp>[Live Pricing.xlsm]FX_Curve_Upload!R31C6</stp>
        <tr r="F31" s="42"/>
      </tp>
      <tp t="e">
        <v>#N/A</v>
        <stp/>
        <stp>##V3_BDPV12</stp>
        <stp>SFSW9 Index</stp>
        <stp>PX_LAST</stp>
        <stp>[Live Pricing.xlsm]Rate_Upload!R113C6</stp>
        <tr r="F113" s="39"/>
      </tp>
      <tp t="e">
        <v>#N/A</v>
        <stp/>
        <stp>##V3_BDPV12</stp>
        <stp>CDSW4 Index</stp>
        <stp>PX_LAST</stp>
        <stp>[Live Pricing.xlsm]Rate_Upload!R133C6</stp>
        <tr r="F133" s="39"/>
      </tp>
      <tp t="e">
        <v>#N/A</v>
        <stp/>
        <stp>##V3_BDPV12</stp>
        <stp>USSW12 Index</stp>
        <stp>PX_LAST</stp>
        <stp>[Live Pricing.xlsm]Rate_Upload!R16C6</stp>
        <tr r="F16" s="39"/>
      </tp>
      <tp t="e">
        <v>#N/A</v>
        <stp/>
        <stp>##V3_BDPV12</stp>
        <stp>JYSW12 Index</stp>
        <stp>PX_LAST</stp>
        <stp>[Live Pricing.xlsm]Rate_Upload!R66C6</stp>
        <tr r="F66" s="39"/>
      </tp>
      <tp t="e">
        <v>#N/A</v>
        <stp/>
        <stp>##V3_BDPV12</stp>
        <stp>BPSW17 Index</stp>
        <stp>PX_LAST</stp>
        <stp>[Live Pricing.xlsm]Rate_Upload!R96C6</stp>
        <tr r="F96" s="39"/>
      </tp>
      <tp t="e">
        <v>#N/A</v>
        <stp/>
        <stp>##V3_BDPV12</stp>
        <stp>EUSA17 Index</stp>
        <stp>PX_LAST</stp>
        <stp>[Live Pricing.xlsm]Rate_Upload!R46C6</stp>
        <tr r="F46" s="39"/>
      </tp>
      <tp t="e">
        <v>#N/A</v>
        <stp/>
        <stp>##V3_BDPV12</stp>
        <stp>JYSW8 Index</stp>
        <stp>PX_LAST</stp>
        <stp>[Live Pricing.xlsm]FX_Curve_Upload!R62C6</stp>
        <tr r="F62" s="42"/>
      </tp>
      <tp t="e">
        <v>#N/A</v>
        <stp/>
        <stp>##V3_BDPV12</stp>
        <stp>USSW15 Index</stp>
        <stp>PX_LAST</stp>
        <stp>[Live Pricing.xlsm]Rate_Upload!R19C6</stp>
        <tr r="F19" s="39"/>
      </tp>
      <tp t="e">
        <v>#N/A</v>
        <stp/>
        <stp>##V3_BDPV12</stp>
        <stp>JYSW15 Index</stp>
        <stp>PX_LAST</stp>
        <stp>[Live Pricing.xlsm]Rate_Upload!R69C6</stp>
        <tr r="F69" s="39"/>
      </tp>
      <tp t="e">
        <v>#N/A</v>
        <stp/>
        <stp>##V3_BDPV12</stp>
        <stp>BPSW10 Index</stp>
        <stp>PX_LAST</stp>
        <stp>[Live Pricing.xlsm]Rate_Upload!R89C6</stp>
        <tr r="F89" s="39"/>
      </tp>
      <tp t="e">
        <v>#N/A</v>
        <stp/>
        <stp>##V3_BDPV12</stp>
        <stp>BPSW30 Index</stp>
        <stp>PX_LAST</stp>
        <stp>[Live Pricing.xlsm]Rate_Upload!R99C6</stp>
        <tr r="F99" s="39"/>
      </tp>
      <tp t="e">
        <v>#N/A</v>
        <stp/>
        <stp>##V3_BDPV12</stp>
        <stp>EUSA30 Index</stp>
        <stp>PX_LAST</stp>
        <stp>[Live Pricing.xlsm]Rate_Upload!R49C6</stp>
        <tr r="F49" s="39"/>
      </tp>
      <tp t="e">
        <v>#N/A</v>
        <stp/>
        <stp>##V3_BDPV12</stp>
        <stp>EUSA10 Index</stp>
        <stp>PX_LAST</stp>
        <stp>[Live Pricing.xlsm]Rate_Upload!R39C6</stp>
        <tr r="F39" s="39"/>
      </tp>
      <tp t="e">
        <v>#N/A</v>
        <stp/>
        <stp>##V3_BDPV12</stp>
        <stp>US0001m Index</stp>
        <stp>PX_LAST</stp>
        <stp>[Live Pricing.xlsm]Rate_Upload!R7C2</stp>
        <tr r="B7" s="39"/>
      </tp>
      <tp t="e">
        <v>#N/A</v>
        <stp/>
        <stp>##V3_BDPV12</stp>
        <stp>L M0 Comdty</stp>
        <stp>PX_LAST</stp>
        <stp>[Live Pricing.xlsm]FX_Curve_Upload!R88C4</stp>
        <tr r="D88" s="42"/>
      </tp>
      <tp t="e">
        <v>#N/A</v>
        <stp/>
        <stp>##V3_BDPV12</stp>
        <stp>JYSW9 Index</stp>
        <stp>PX_LAST</stp>
        <stp>[Live Pricing.xlsm]FX_Curve_Upload!R63C6</stp>
        <tr r="F63" s="42"/>
      </tp>
      <tp t="e">
        <v>#N/A</v>
        <stp/>
        <stp>##V3_BDPV12</stp>
        <stp>USSW14 Index</stp>
        <stp>PX_LAST</stp>
        <stp>[Live Pricing.xlsm]Rate_Upload!R18C6</stp>
        <tr r="F18" s="39"/>
      </tp>
      <tp t="e">
        <v>#N/A</v>
        <stp/>
        <stp>##V3_BDPV12</stp>
        <stp>JYSW14 Index</stp>
        <stp>PX_LAST</stp>
        <stp>[Live Pricing.xlsm]Rate_Upload!R68C6</stp>
        <tr r="F68" s="39"/>
      </tp>
      <tp t="e">
        <v>#N/A</v>
        <stp/>
        <stp>##V3_BDPV12</stp>
        <stp>BPSW25 Index</stp>
        <stp>PX_LAST</stp>
        <stp>[Live Pricing.xlsm]Rate_Upload!R98C6</stp>
        <tr r="F98" s="39"/>
      </tp>
      <tp t="e">
        <v>#N/A</v>
        <stp/>
        <stp>##V3_BDPV12</stp>
        <stp>EUSA25 Index</stp>
        <stp>PX_LAST</stp>
        <stp>[Live Pricing.xlsm]Rate_Upload!R48C6</stp>
        <tr r="F48" s="39"/>
      </tp>
      <tp t="e">
        <v>#N/A</v>
        <stp/>
        <stp>##V3_BDPV12</stp>
        <stp>HASWDI4Y Index</stp>
        <stp>PX_LAST</stp>
        <stp>[Live Pricing.xlsm]Rate_Upload!R159C6</stp>
        <tr r="F159" s="39"/>
      </tp>
      <tp t="e">
        <v>#N/A</v>
        <stp/>
        <stp>##V3_BDPV12</stp>
        <stp>HASWDI3M Index</stp>
        <stp>PX_LAST</stp>
        <stp>[Live Pricing.xlsm]Rate_Upload!R159C2</stp>
        <tr r="B159" s="39"/>
      </tp>
      <tp t="e">
        <v>#N/A</v>
        <stp/>
        <stp>##V3_BDPV12</stp>
        <stp>JYSW6 Index</stp>
        <stp>PX_LAST</stp>
        <stp>[Live Pricing.xlsm]FX_Curve_Upload!R60C6</stp>
        <tr r="F60" s="42"/>
      </tp>
      <tp t="e">
        <v>#N/A</v>
        <stp/>
        <stp>##V3_BDPV12</stp>
        <stp>US00o/n Index</stp>
        <stp>PX_LAST</stp>
        <stp>[Live Pricing.xlsm]Rate_Upload!R6C2</stp>
        <tr r="B6" s="39"/>
      </tp>
      <tp t="e">
        <v>#N/A</v>
        <stp/>
        <stp>##V3_BDPV12</stp>
        <stp>HASWDI3Y Index</stp>
        <stp>PX_LAST</stp>
        <stp>[Live Pricing.xlsm]Rate_Upload!R158C6</stp>
        <tr r="F158" s="39"/>
      </tp>
      <tp t="e">
        <v>#N/A</v>
        <stp/>
        <stp>##V3_BDPV12</stp>
        <stp>BPSW9 Index</stp>
        <stp>PX_LAST</stp>
        <stp>[Live Pricing.xlsm]FX_Curve_Upload!R88C6</stp>
        <tr r="F88" s="42"/>
      </tp>
      <tp t="e">
        <v>#N/A</v>
        <stp/>
        <stp>##V3_BDPV12</stp>
        <stp>JYSW7 Index</stp>
        <stp>PX_LAST</stp>
        <stp>[Live Pricing.xlsm]FX_Curve_Upload!R61C6</stp>
        <tr r="F61" s="42"/>
      </tp>
      <tp t="e">
        <v>#N/A</v>
        <stp/>
        <stp>##V3_BDPV12</stp>
        <stp>JYSW2 Index</stp>
        <stp>PX_LAST</stp>
        <stp>[Live Pricing.xlsm]FX_Curve_Upload!R56C6</stp>
        <tr r="F56" s="42"/>
      </tp>
      <tp t="e">
        <v>#N/A</v>
        <stp/>
        <stp>##V3_BDPV12</stp>
        <stp>SFSW4 Index</stp>
        <stp>PX_LAST</stp>
        <stp>[Live Pricing.xlsm]Rate_Upload!R108C6</stp>
        <tr r="F108" s="39"/>
      </tp>
      <tp t="e">
        <v>#N/A</v>
        <stp/>
        <stp>##V3_BDPV12</stp>
        <stp>CDSW9 Index</stp>
        <stp>PX_LAST</stp>
        <stp>[Live Pricing.xlsm]Rate_Upload!R138C6</stp>
        <tr r="F138" s="39"/>
      </tp>
      <tp t="e">
        <v>#N/A</v>
        <stp/>
        <stp>##V3_BDPV12</stp>
        <stp>JYSW3 Index</stp>
        <stp>PX_LAST</stp>
        <stp>[Live Pricing.xlsm]FX_Curve_Upload!R57C6</stp>
        <tr r="F57" s="42"/>
      </tp>
      <tp t="e">
        <v>#N/A</v>
        <stp/>
        <stp>##V3_BDPV12</stp>
        <stp>SFSW5 Index</stp>
        <stp>PX_LAST</stp>
        <stp>[Live Pricing.xlsm]Rate_Upload!R109C6</stp>
        <tr r="F109" s="39"/>
      </tp>
      <tp t="e">
        <v>#N/A</v>
        <stp/>
        <stp>##V3_BDPV12</stp>
        <stp>EUSA9 Index</stp>
        <stp>PX_LAST</stp>
        <stp>[Live Pricing.xlsm]FX_Curve_Upload!R38C6</stp>
        <tr r="F38" s="42"/>
      </tp>
      <tp t="e">
        <v>#N/A</v>
        <stp/>
        <stp>##V3_BDHV12</stp>
        <stp>BCN1M BGN Curncy</stp>
        <stp>PX_LAST</stp>
        <stp>12/4/2018</stp>
        <stp>12/4/2018</stp>
        <stp>[Live Pricing.xlsm]FXFR!R5C4</stp>
        <tr r="D5" s="46"/>
      </tp>
      <tp t="e">
        <v>#N/A</v>
        <stp/>
        <stp>##V3_BDPV12</stp>
        <stp>SFSW14 Index</stp>
        <stp>PX_LAST</stp>
        <stp>[Live Pricing.xlsm]Rate_Upload!R118C6</stp>
        <tr r="F118" s="39"/>
      </tp>
      <tp t="e">
        <v>#N/A</v>
        <stp/>
        <stp>##V3_BDHV12</stp>
        <stp>BCN1W BGN Curncy</stp>
        <stp>PX_LAST</stp>
        <stp>12/4/2018</stp>
        <stp>12/4/2018</stp>
        <stp>[Live Pricing.xlsm]FXFR!R4C4</stp>
        <tr r="D4" s="46"/>
      </tp>
      <tp t="e">
        <v>#N/A</v>
        <stp/>
        <stp>##V3_BDPV12</stp>
        <stp>CDSW10 Index</stp>
        <stp>PX_LAST</stp>
        <stp>[Live Pricing.xlsm]Rate_Upload!R139C6</stp>
        <tr r="F139" s="39"/>
      </tp>
      <tp t="e">
        <v>#N/A</v>
        <stp/>
        <stp>##V3_BDPV12</stp>
        <stp>BPBS1 curncy</stp>
        <stp>PX_LAST</stp>
        <stp>[Live Pricing.xlsm]FX_Curve_Upload!R81C16</stp>
        <tr r="P81" s="42"/>
      </tp>
      <tp t="e">
        <v>#N/A</v>
        <stp/>
        <stp>##V3_BDPV12</stp>
        <stp>SFSW15 Index</stp>
        <stp>PX_LAST</stp>
        <stp>[Live Pricing.xlsm]Rate_Upload!R119C6</stp>
        <tr r="F119" s="39"/>
      </tp>
      <tp t="e">
        <v>#N/A</v>
        <stp/>
        <stp>##V3_BDHV12</stp>
        <stp>BCN3M BGN Curncy</stp>
        <stp>PX_LAST</stp>
        <stp>12/4/2018</stp>
        <stp>12/4/2018</stp>
        <stp>[Live Pricing.xlsm]FXFR!R7C4</stp>
        <tr r="D7" s="46"/>
      </tp>
      <tp t="e">
        <v>#N/A</v>
        <stp/>
        <stp>##V3_BDHV12</stp>
        <stp>BCN2M BGN Curncy</stp>
        <stp>PX_LAST</stp>
        <stp>12/4/2018</stp>
        <stp>12/4/2018</stp>
        <stp>[Live Pricing.xlsm]FXFR!R6C4</stp>
        <tr r="D6" s="46"/>
      </tp>
      <tp t="e">
        <v>#N/A</v>
        <stp/>
        <stp>##V3_BDPV12</stp>
        <stp>CDSW30 Index</stp>
        <stp>PX_LAST</stp>
        <stp>[Live Pricing.xlsm]Rate_Upload!R144C6</stp>
        <tr r="F144" s="39"/>
      </tp>
      <tp t="e">
        <v>#N/A</v>
        <stp/>
        <stp>##V3_BDPV12</stp>
        <stp>SFSW10 Index</stp>
        <stp>PX_LAST</stp>
        <stp>[Live Pricing.xlsm]Rate_Upload!R114C6</stp>
        <tr r="F114" s="39"/>
      </tp>
      <tp t="e">
        <v>#N/A</v>
        <stp/>
        <stp>##V3_BDPV12</stp>
        <stp>CDSW40 Index</stp>
        <stp>PX_LAST</stp>
        <stp>[Live Pricing.xlsm]Rate_Upload!R145C6</stp>
        <tr r="F145" s="39"/>
      </tp>
      <tp t="e">
        <v>#N/A</v>
        <stp/>
        <stp>##V3_BDPV12</stp>
        <stp>SFSW11 Index</stp>
        <stp>PX_LAST</stp>
        <stp>[Live Pricing.xlsm]Rate_Upload!R115C6</stp>
        <tr r="F115" s="39"/>
      </tp>
      <tp t="e">
        <v>#N/A</v>
        <stp/>
        <stp>##V3_BDPV12</stp>
        <stp>CDOR02 Index</stp>
        <stp>PX_LAST</stp>
        <stp>[Live Pricing.xlsm]Rate_Upload!R133C2</stp>
        <tr r="B133" s="39"/>
      </tp>
      <tp t="e">
        <v>#N/A</v>
        <stp/>
        <stp>##V3_BDPV12</stp>
        <stp>SFSW12 Index</stp>
        <stp>PX_LAST</stp>
        <stp>[Live Pricing.xlsm]Rate_Upload!R116C6</stp>
        <tr r="F116" s="39"/>
      </tp>
      <tp t="e">
        <v>#N/A</v>
        <stp/>
        <stp>##V3_BDPV12</stp>
        <stp>CDOR01 Index</stp>
        <stp>PX_LAST</stp>
        <stp>[Live Pricing.xlsm]Rate_Upload!R132C2</stp>
        <tr r="B132" s="39"/>
      </tp>
      <tp t="e">
        <v>#N/A</v>
        <stp/>
        <stp>##V3_BDPV12</stp>
        <stp>SFSW13 Index</stp>
        <stp>PX_LAST</stp>
        <stp>[Live Pricing.xlsm]Rate_Upload!R117C6</stp>
        <tr r="F117" s="39"/>
      </tp>
      <tp t="e">
        <v>#N/A</v>
        <stp/>
        <stp>##V3_BDPV12</stp>
        <stp>CDOR06 Index</stp>
        <stp>PX_LAST</stp>
        <stp>[Live Pricing.xlsm]Rate_Upload!R135C2</stp>
        <tr r="B135" s="39"/>
      </tp>
      <tp t="e">
        <v>#N/A</v>
        <stp/>
        <stp>##V3_BDPV12</stp>
        <stp>CDSW12 Index</stp>
        <stp>PX_LAST</stp>
        <stp>[Live Pricing.xlsm]Rate_Upload!R140C6</stp>
        <tr r="F140" s="39"/>
      </tp>
      <tp t="e">
        <v>#N/A</v>
        <stp/>
        <stp>##V3_BDPV12</stp>
        <stp>BPSW40 Index</stp>
        <stp>PX_LAST</stp>
        <stp>[Live Pricing.xlsm]Rate_Upload!R100C6</stp>
        <tr r="F100" s="39"/>
      </tp>
      <tp t="e">
        <v>#N/A</v>
        <stp/>
        <stp>##V3_BDPV12</stp>
        <stp>SFSW20 Index</stp>
        <stp>PX_LAST</stp>
        <stp>[Live Pricing.xlsm]Rate_Upload!R120C6</stp>
        <tr r="F120" s="39"/>
      </tp>
      <tp t="e">
        <v>#N/A</v>
        <stp/>
        <stp>##V3_BDPV12</stp>
        <stp>CDOR03 Index</stp>
        <stp>PX_LAST</stp>
        <stp>[Live Pricing.xlsm]Rate_Upload!R134C2</stp>
        <tr r="B134" s="39"/>
      </tp>
      <tp t="e">
        <v>#N/A</v>
        <stp/>
        <stp>##V3_BDPV12</stp>
        <stp>CDSW15 Index</stp>
        <stp>PX_LAST</stp>
        <stp>[Live Pricing.xlsm]Rate_Upload!R141C6</stp>
        <tr r="F141" s="39"/>
      </tp>
      <tp t="e">
        <v>#N/A</v>
        <stp/>
        <stp>##V3_BDPV12</stp>
        <stp>SFSW25 Index</stp>
        <stp>PX_LAST</stp>
        <stp>[Live Pricing.xlsm]Rate_Upload!R121C6</stp>
        <tr r="F121" s="39"/>
      </tp>
      <tp t="e">
        <v>#N/A</v>
        <stp/>
        <stp>##V3_BDPV12</stp>
        <stp>CABROVER Index</stp>
        <stp>PX_LAST</stp>
        <stp>[Live Pricing.xlsm]Rate_Upload!R131C2</stp>
        <tr r="B131" s="39"/>
      </tp>
      <tp t="e">
        <v>#N/A</v>
        <stp/>
        <stp>##V3_BDPV12</stp>
        <stp>CDSW20 Index</stp>
        <stp>PX_LAST</stp>
        <stp>[Live Pricing.xlsm]Rate_Upload!R142C6</stp>
        <tr r="F142" s="39"/>
      </tp>
      <tp t="e">
        <v>#N/A</v>
        <stp/>
        <stp>##V3_BDPV12</stp>
        <stp>SFSW30 Index</stp>
        <stp>PX_LAST</stp>
        <stp>[Live Pricing.xlsm]Rate_Upload!R122C6</stp>
        <tr r="F122" s="39"/>
      </tp>
      <tp t="e">
        <v>#N/A</v>
        <stp/>
        <stp>##V3_BDPV12</stp>
        <stp>SF00S/N Index</stp>
        <stp>PX_LAST</stp>
        <stp>[Live Pricing.xlsm]Rate_Upload!R106C2</stp>
        <tr r="B106" s="39"/>
      </tp>
      <tp t="e">
        <v>#N/A</v>
        <stp/>
        <stp>##V3_BDPV12</stp>
        <stp>CDOR12 Index</stp>
        <stp>PX_LAST</stp>
        <stp>[Live Pricing.xlsm]Rate_Upload!R136C2</stp>
        <tr r="B136" s="39"/>
      </tp>
      <tp t="e">
        <v>#N/A</v>
        <stp/>
        <stp>##V3_BDPV12</stp>
        <stp>CDSW25 Index</stp>
        <stp>PX_LAST</stp>
        <stp>[Live Pricing.xlsm]Rate_Upload!R143C6</stp>
        <tr r="F143" s="39"/>
      </tp>
      <tp t="e">
        <v>#N/A</v>
        <stp/>
        <stp>##V3_BDPV12</stp>
        <stp>SFSW40 Index</stp>
        <stp>PX_LAST</stp>
        <stp>[Live Pricing.xlsm]Rate_Upload!R123C6</stp>
        <tr r="F123" s="39"/>
      </tp>
      <tp t="e">
        <v>#N/A</v>
        <stp/>
        <stp>##V3_BDPV12</stp>
        <stp>BAU9 Comdty</stp>
        <stp>PX_LAST</stp>
        <stp>[Live Pricing.xlsm]Rate_Upload!R135C4</stp>
        <tr r="D135" s="39"/>
      </tp>
      <tp t="e">
        <v>#N/A</v>
        <stp/>
        <stp>##V3_BDPV12</stp>
        <stp>BP0001M Index</stp>
        <stp>PX_LAST</stp>
        <stp>[Live Pricing.xlsm]FX_Curve_Upload!R82C2</stp>
        <tr r="B82" s="42"/>
      </tp>
      <tp t="e">
        <v>#N/A</v>
        <stp/>
        <stp>##V3_BDPV12</stp>
        <stp>EUR001m Index</stp>
        <stp>PX_LAST</stp>
        <stp>[Live Pricing.xlsm]FX_Curve_Upload!R32C2</stp>
        <tr r="B32" s="42"/>
      </tp>
      <tp t="e">
        <v>#N/A</v>
        <stp/>
        <stp>##V3_BDPV12</stp>
        <stp>USDSAR Curncy</stp>
        <stp>PX_LAST</stp>
        <stp>[Live Pricing.xlsm]FX_Upload!R13C5</stp>
        <tr r="E13" s="44"/>
      </tp>
      <tp t="e">
        <v>#N/A</v>
        <stp/>
        <stp>##V3_BDPV12</stp>
        <stp>EUSWEC Curncy</stp>
        <stp>PX_LAST</stp>
        <stp>[Live Pricing.xlsm]FX_Curve_Upload!R31C2</stp>
        <tr r="B31" s="42"/>
      </tp>
      <tp t="e">
        <v>#N/A</v>
        <stp/>
        <stp>##V3_BDPV12</stp>
        <stp>BP0002M Index</stp>
        <stp>PX_LAST</stp>
        <stp>[Live Pricing.xlsm]FX_Curve_Upload!R83C2</stp>
        <tr r="B83" s="42"/>
      </tp>
      <tp t="e">
        <v>#N/A</v>
        <stp/>
        <stp>##V3_BDPV12</stp>
        <stp>EUR002m Index</stp>
        <stp>PX_LAST</stp>
        <stp>[Live Pricing.xlsm]FX_Curve_Upload!R33C2</stp>
        <tr r="B33" s="42"/>
      </tp>
      <tp t="e">
        <v>#N/A</v>
        <stp/>
        <stp>##V3_BDPV12</stp>
        <stp>US0006m Index</stp>
        <stp>PX_LAST</stp>
        <stp>[Live Pricing.xlsm]FX_Curve_Upload!R10C2</stp>
        <tr r="B10" s="42"/>
      </tp>
      <tp t="e">
        <v>#N/A</v>
        <stp/>
        <stp>##V3_BDPV12</stp>
        <stp>JY0006M Index</stp>
        <stp>PX_LAST</stp>
        <stp>[Live Pricing.xlsm]FX_Curve_Upload!R60C2</stp>
        <tr r="B60" s="42"/>
      </tp>
      <tp t="e">
        <v>#N/A</v>
        <stp/>
        <stp>##V3_BDPV12</stp>
        <stp>BPBS40 Index</stp>
        <stp>PX_LAST</stp>
        <stp>[Live Pricing.xlsm]FX_Curve_Upload!R100C13</stp>
        <tr r="M100" s="42"/>
      </tp>
      <tp t="e">
        <v>#N/A</v>
        <stp/>
        <stp>##V3_BDPV12</stp>
        <stp>BP00O/N Index</stp>
        <stp>PX_LAST</stp>
        <stp>[Live Pricing.xlsm]FX_Curve_Upload!R81C2</stp>
        <tr r="B81" s="42"/>
      </tp>
      <tp t="e">
        <v>#N/A</v>
        <stp/>
        <stp>##V3_BDPV12</stp>
        <stp>US0012m Index</stp>
        <stp>PX_LAST</stp>
        <stp>[Live Pricing.xlsm]FX_Curve_Upload!R11C2</stp>
        <tr r="B11" s="42"/>
      </tp>
      <tp t="e">
        <v>#N/A</v>
        <stp/>
        <stp>##V3_BDPV12</stp>
        <stp>JY0012M Index</stp>
        <stp>PX_LAST</stp>
        <stp>[Live Pricing.xlsm]FX_Curve_Upload!R61C2</stp>
        <tr r="B61" s="42"/>
      </tp>
      <tp t="e">
        <v>#N/A</v>
        <stp/>
        <stp>##V3_BDPV12</stp>
        <stp>ESU8 Comdty</stp>
        <stp>PX_LAST</stp>
        <stp>[Live Pricing.xlsm]Rate_Upload!R106C4</stp>
        <tr r="D106" s="39"/>
        <tr r="D106" s="39"/>
      </tp>
      <tp t="e">
        <v>#N/A</v>
        <stp/>
        <stp>##V3_BDPV12</stp>
        <stp>CDBS20 Index</stp>
        <stp>PX_LAST</stp>
        <stp>[Live Pricing.xlsm]FX_Curve_Upload!R142C13</stp>
        <tr r="M142" s="42"/>
      </tp>
      <tp t="e">
        <v>#N/A</v>
        <stp/>
        <stp>##V3_BDPV12</stp>
        <stp>JY00S/N Index</stp>
        <stp>PX_LAST</stp>
        <stp>[Live Pricing.xlsm]FX_Curve_Upload!R56C2</stp>
        <tr r="B56" s="42"/>
      </tp>
      <tp t="e">
        <v>#N/A</v>
        <stp/>
        <stp>##V3_BDPV12</stp>
        <stp>BAU8 Comdty</stp>
        <stp>PX_LAST</stp>
        <stp>[Live Pricing.xlsm]Rate_Upload!R131C4</stp>
        <tr r="D131" s="39"/>
        <tr r="D131" s="39"/>
      </tp>
      <tp t="e">
        <v>#N/A</v>
        <stp/>
        <stp>##V3_BDPV12</stp>
        <stp>BP0012M Index</stp>
        <stp>PX_LAST</stp>
        <stp>[Live Pricing.xlsm]FX_Curve_Upload!R86C2</stp>
        <tr r="B86" s="42"/>
      </tp>
      <tp t="e">
        <v>#N/A</v>
        <stp/>
        <stp>##V3_BDPV12</stp>
        <stp>EUR012m Index</stp>
        <stp>PX_LAST</stp>
        <stp>[Live Pricing.xlsm]FX_Curve_Upload!R36C2</stp>
        <tr r="B36" s="42"/>
      </tp>
      <tp t="e">
        <v>#N/A</v>
        <stp/>
        <stp>##V3_BDPV12</stp>
        <stp>EUBS3 Index</stp>
        <stp>PX_LAST</stp>
        <stp>[Live Pricing.xlsm]FX_Curve_Upload!R32C13</stp>
        <tr r="M32" s="42"/>
      </tp>
      <tp t="e">
        <v>#N/A</v>
        <stp/>
        <stp>##V3_BDPV12</stp>
        <stp>JYBS9 Index</stp>
        <stp>PX_LAST</stp>
        <stp>[Live Pricing.xlsm]FX_Curve_Upload!R63C13</stp>
        <tr r="M63" s="42"/>
      </tp>
      <tp t="e">
        <v>#N/A</v>
        <stp/>
        <stp>##V3_BDPV12</stp>
        <stp>EUBS2 Index</stp>
        <stp>PX_LAST</stp>
        <stp>[Live Pricing.xlsm]FX_Curve_Upload!R31C13</stp>
        <tr r="M31" s="42"/>
      </tp>
      <tp t="e">
        <v>#N/A</v>
        <stp/>
        <stp>##V3_BDPV12</stp>
        <stp>JYBS8 Index</stp>
        <stp>PX_LAST</stp>
        <stp>[Live Pricing.xlsm]FX_Curve_Upload!R62C13</stp>
        <tr r="M62" s="42"/>
      </tp>
      <tp t="e">
        <v>#N/A</v>
        <stp/>
        <stp>##V3_BDPV12</stp>
        <stp>EUBS7 Index</stp>
        <stp>PX_LAST</stp>
        <stp>[Live Pricing.xlsm]FX_Curve_Upload!R36C13</stp>
        <tr r="M36" s="42"/>
      </tp>
      <tp t="e">
        <v>#N/A</v>
        <stp/>
        <stp>##V3_BDPV12</stp>
        <stp>EUBS6 Index</stp>
        <stp>PX_LAST</stp>
        <stp>[Live Pricing.xlsm]FX_Curve_Upload!R35C13</stp>
        <tr r="M35" s="42"/>
      </tp>
      <tp t="e">
        <v>#N/A</v>
        <stp/>
        <stp>##V3_BDPV12</stp>
        <stp>EUBS5 Index</stp>
        <stp>PX_LAST</stp>
        <stp>[Live Pricing.xlsm]FX_Curve_Upload!R34C13</stp>
        <tr r="M34" s="42"/>
      </tp>
      <tp t="e">
        <v>#N/A</v>
        <stp/>
        <stp>##V3_BDPV12</stp>
        <stp>BPBS9 Index</stp>
        <stp>PX_LAST</stp>
        <stp>[Live Pricing.xlsm]FX_Curve_Upload!R88C13</stp>
        <tr r="M88" s="42"/>
      </tp>
      <tp t="e">
        <v>#N/A</v>
        <stp/>
        <stp>##V3_BDPV12</stp>
        <stp>BPBS8 Index</stp>
        <stp>PX_LAST</stp>
        <stp>[Live Pricing.xlsm]FX_Curve_Upload!R87C13</stp>
        <tr r="M87" s="42"/>
      </tp>
      <tp t="e">
        <v>#N/A</v>
        <stp/>
        <stp>##V3_BDPV12</stp>
        <stp>EUBS4 Index</stp>
        <stp>PX_LAST</stp>
        <stp>[Live Pricing.xlsm]FX_Curve_Upload!R33C13</stp>
        <tr r="M33" s="42"/>
      </tp>
      <tp t="e">
        <v>#N/A</v>
        <stp/>
        <stp>##V3_BDPV12</stp>
        <stp>EUBS1 Index</stp>
        <stp>PX_LAST</stp>
        <stp>[Live Pricing.xlsm]FX_Curve_Upload!R31C16</stp>
        <tr r="P31" s="42"/>
      </tp>
      <tp t="e">
        <v>#N/A</v>
        <stp/>
        <stp>##V3_BDPV12</stp>
        <stp>BPBS7 Index</stp>
        <stp>PX_LAST</stp>
        <stp>[Live Pricing.xlsm]FX_Curve_Upload!R86C13</stp>
        <tr r="M86" s="42"/>
      </tp>
      <tp t="e">
        <v>#N/A</v>
        <stp/>
        <stp>##V3_BDPV12</stp>
        <stp>JYBS2 Index</stp>
        <stp>PX_LAST</stp>
        <stp>[Live Pricing.xlsm]FX_Curve_Upload!R56C13</stp>
        <tr r="M56" s="42"/>
      </tp>
      <tp t="e">
        <v>#N/A</v>
        <stp/>
        <stp>##V3_BDPV12</stp>
        <stp>BPBS6 Index</stp>
        <stp>PX_LAST</stp>
        <stp>[Live Pricing.xlsm]FX_Curve_Upload!R85C13</stp>
        <tr r="M85" s="42"/>
      </tp>
      <tp t="e">
        <v>#N/A</v>
        <stp/>
        <stp>##V3_BDPV12</stp>
        <stp>JYBS3 Index</stp>
        <stp>PX_LAST</stp>
        <stp>[Live Pricing.xlsm]FX_Curve_Upload!R57C13</stp>
        <tr r="M57" s="42"/>
      </tp>
      <tp t="e">
        <v>#N/A</v>
        <stp/>
        <stp>##V3_BDPV12</stp>
        <stp>BPBS5 Index</stp>
        <stp>PX_LAST</stp>
        <stp>[Live Pricing.xlsm]FX_Curve_Upload!R84C13</stp>
        <tr r="M84" s="42"/>
      </tp>
      <tp t="e">
        <v>#N/A</v>
        <stp/>
        <stp>##V3_BDPV12</stp>
        <stp>EUBS9 Index</stp>
        <stp>PX_LAST</stp>
        <stp>[Live Pricing.xlsm]FX_Curve_Upload!R38C13</stp>
        <tr r="M38" s="42"/>
      </tp>
      <tp t="e">
        <v>#N/A</v>
        <stp/>
        <stp>##V3_BDPV12</stp>
        <stp>BPBS4 Index</stp>
        <stp>PX_LAST</stp>
        <stp>[Live Pricing.xlsm]FX_Curve_Upload!R83C13</stp>
        <tr r="M83" s="42"/>
      </tp>
      <tp t="e">
        <v>#N/A</v>
        <stp/>
        <stp>##V3_BDPV12</stp>
        <stp>EUBS8 Index</stp>
        <stp>PX_LAST</stp>
        <stp>[Live Pricing.xlsm]FX_Curve_Upload!R37C13</stp>
        <tr r="M37" s="42"/>
      </tp>
      <tp t="e">
        <v>#N/A</v>
        <stp/>
        <stp>##V3_BDPV12</stp>
        <stp>BPBS2 Index</stp>
        <stp>PX_LAST</stp>
        <stp>[Live Pricing.xlsm]FX_Curve_Upload!R81C13</stp>
        <tr r="M81" s="42"/>
      </tp>
      <tp t="e">
        <v>#N/A</v>
        <stp/>
        <stp>##V3_BDPV12</stp>
        <stp>JYBS4 Index</stp>
        <stp>PX_LAST</stp>
        <stp>[Live Pricing.xlsm]FX_Curve_Upload!R58C13</stp>
        <tr r="M58" s="42"/>
      </tp>
      <tp t="e">
        <v>#N/A</v>
        <stp/>
        <stp>##V3_BDPV12</stp>
        <stp>JYBS7 Index</stp>
        <stp>PX_LAST</stp>
        <stp>[Live Pricing.xlsm]FX_Curve_Upload!R61C13</stp>
        <tr r="M61" s="42"/>
      </tp>
      <tp t="e">
        <v>#N/A</v>
        <stp/>
        <stp>##V3_BDPV12</stp>
        <stp>JYBS1 Index</stp>
        <stp>PX_LAST</stp>
        <stp>[Live Pricing.xlsm]FX_Curve_Upload!R56C16</stp>
        <tr r="P56" s="42"/>
      </tp>
      <tp t="e">
        <v>#N/A</v>
        <stp/>
        <stp>##V3_BDPV12</stp>
        <stp>JYBS5 Index</stp>
        <stp>PX_LAST</stp>
        <stp>[Live Pricing.xlsm]FX_Curve_Upload!R59C13</stp>
        <tr r="M59" s="42"/>
      </tp>
      <tp t="e">
        <v>#N/A</v>
        <stp/>
        <stp>##V3_BDPV12</stp>
        <stp>JYBS6 Index</stp>
        <stp>PX_LAST</stp>
        <stp>[Live Pricing.xlsm]FX_Curve_Upload!R60C13</stp>
        <tr r="M60" s="42"/>
      </tp>
      <tp t="e">
        <v>#N/A</v>
        <stp/>
        <stp>##V3_BDPV12</stp>
        <stp>JY0001M Index</stp>
        <stp>PX_LAST</stp>
        <stp>[Live Pricing.xlsm]FX_Curve_Upload!R57C2</stp>
        <tr r="B57" s="42"/>
      </tp>
      <tp t="e">
        <v>#N/A</v>
        <stp/>
        <stp>##V3_BDPV12</stp>
        <stp>ESU9 Comdty</stp>
        <stp>PX_LAST</stp>
        <stp>[Live Pricing.xlsm]Rate_Upload!R110C4</stp>
        <tr r="D110" s="39"/>
      </tp>
      <tp t="e">
        <v>#N/A</v>
        <stp/>
        <stp>##V3_BDPV12</stp>
        <stp>ERM0 Comdty</stp>
        <stp>PX_LAST</stp>
        <stp>[Live Pricing.xlsm]Rate_Upload!R38C4</stp>
        <tr r="D38" s="39"/>
      </tp>
      <tp t="e">
        <v>#N/A</v>
        <stp/>
        <stp>##V3_BDPV12</stp>
        <stp>BP0003M Index</stp>
        <stp>PX_LAST</stp>
        <stp>[Live Pricing.xlsm]FX_Curve_Upload!R84C2</stp>
        <tr r="B84" s="42"/>
      </tp>
      <tp t="e">
        <v>#N/A</v>
        <stp/>
        <stp>##V3_BDPV12</stp>
        <stp>EUR003m Index</stp>
        <stp>PX_LAST</stp>
        <stp>[Live Pricing.xlsm]FX_Curve_Upload!R34C2</stp>
        <tr r="B34" s="42"/>
      </tp>
      <tp t="e">
        <v>#N/A</v>
        <stp/>
        <stp>##V3_BDPV12</stp>
        <stp>CDBS10 Index</stp>
        <stp>PX_LAST</stp>
        <stp>[Live Pricing.xlsm]FX_Curve_Upload!R139C13</stp>
        <tr r="M139" s="42"/>
      </tp>
      <tp t="e">
        <v>#N/A</v>
        <stp/>
        <stp>##V3_BDPV12</stp>
        <stp>CDBS12 Index</stp>
        <stp>PX_LAST</stp>
        <stp>[Live Pricing.xlsm]FX_Curve_Upload!R140C13</stp>
        <tr r="M140" s="42"/>
      </tp>
      <tp t="e">
        <v>#N/A</v>
        <stp/>
        <stp>##V3_BDPV12</stp>
        <stp>CDBS15 Index</stp>
        <stp>PX_LAST</stp>
        <stp>[Live Pricing.xlsm]FX_Curve_Upload!R141C13</stp>
        <tr r="M141" s="42"/>
      </tp>
      <tp t="e">
        <v>#N/A</v>
        <stp/>
        <stp>##V3_BDPV12</stp>
        <stp>USDNOK Curncy</stp>
        <stp>PX_LAST</stp>
        <stp>[Live Pricing.xlsm]FX_Upload!R5C5</stp>
        <tr r="E5" s="44"/>
      </tp>
      <tp t="e">
        <v>#N/A</v>
        <stp/>
        <stp>##V3_BDPV12</stp>
        <stp>BP0006M Index</stp>
        <stp>PX_LAST</stp>
        <stp>[Live Pricing.xlsm]FX_Curve_Upload!R85C2</stp>
        <tr r="B85" s="42"/>
      </tp>
      <tp t="e">
        <v>#N/A</v>
        <stp/>
        <stp>##V3_BDPV12</stp>
        <stp>EUR006m Index</stp>
        <stp>PX_LAST</stp>
        <stp>[Live Pricing.xlsm]FX_Curve_Upload!R35C2</stp>
        <tr r="B35" s="42"/>
      </tp>
      <tp t="e">
        <v>#N/A</v>
        <stp/>
        <stp>##V3_BDPV12</stp>
        <stp>EUBS10 Index</stp>
        <stp>PX_LAST</stp>
        <stp>[Live Pricing.xlsm]FX_Curve_Upload!R39C13</stp>
        <tr r="M39" s="42"/>
      </tp>
      <tp t="e">
        <v>#N/A</v>
        <stp/>
        <stp>##V3_BDPV12</stp>
        <stp>EUBS15 Index</stp>
        <stp>PX_LAST</stp>
        <stp>[Live Pricing.xlsm]FX_Curve_Upload!R44C13</stp>
        <tr r="M44" s="42"/>
      </tp>
      <tp t="e">
        <v>#N/A</v>
        <stp/>
        <stp>##V3_BDPV12</stp>
        <stp>EUBS12 Index</stp>
        <stp>PX_LAST</stp>
        <stp>[Live Pricing.xlsm]FX_Curve_Upload!R41C13</stp>
        <tr r="M41" s="42"/>
      </tp>
      <tp t="e">
        <v>#N/A</v>
        <stp/>
        <stp>##V3_BDPV12</stp>
        <stp>EUBS11 Index</stp>
        <stp>PX_LAST</stp>
        <stp>[Live Pricing.xlsm]FX_Curve_Upload!R40C13</stp>
        <tr r="M40" s="42"/>
      </tp>
      <tp t="e">
        <v>#N/A</v>
        <stp/>
        <stp>##V3_BDPV12</stp>
        <stp>EUBS30 Index</stp>
        <stp>PX_LAST</stp>
        <stp>[Live Pricing.xlsm]FX_Curve_Upload!R49C13</stp>
        <tr r="M49" s="42"/>
      </tp>
      <tp t="e">
        <v>#N/A</v>
        <stp/>
        <stp>##V3_BDPV12</stp>
        <stp>EUBS25 Index</stp>
        <stp>PX_LAST</stp>
        <stp>[Live Pricing.xlsm]FX_Curve_Upload!R48C13</stp>
        <tr r="M48" s="42"/>
      </tp>
      <tp t="e">
        <v>#N/A</v>
        <stp/>
        <stp>##V3_BDPV12</stp>
        <stp>EUBS20 Index</stp>
        <stp>PX_LAST</stp>
        <stp>[Live Pricing.xlsm]FX_Curve_Upload!R47C13</stp>
        <tr r="M47" s="42"/>
      </tp>
      <tp t="e">
        <v>#N/A</v>
        <stp/>
        <stp>##V3_BDPV12</stp>
        <stp>BPBS25 Index</stp>
        <stp>PX_LAST</stp>
        <stp>[Live Pricing.xlsm]FX_Curve_Upload!R98C13</stp>
        <tr r="M98" s="42"/>
      </tp>
      <tp t="e">
        <v>#N/A</v>
        <stp/>
        <stp>##V3_BDPV12</stp>
        <stp>BPBS20 Index</stp>
        <stp>PX_LAST</stp>
        <stp>[Live Pricing.xlsm]FX_Curve_Upload!R97C13</stp>
        <tr r="M97" s="42"/>
      </tp>
      <tp t="e">
        <v>#N/A</v>
        <stp/>
        <stp>##V3_BDPV12</stp>
        <stp>EUBS40 Index</stp>
        <stp>PX_LAST</stp>
        <stp>[Live Pricing.xlsm]FX_Curve_Upload!R50C13</stp>
        <tr r="M50" s="42"/>
      </tp>
      <tp t="e">
        <v>#N/A</v>
        <stp/>
        <stp>##V3_BDPV12</stp>
        <stp>BAZ8 Comdty</stp>
        <stp>PX_LAST</stp>
        <stp>[Live Pricing.xlsm]Rate_Upload!R132C4</stp>
        <tr r="D132" s="39"/>
      </tp>
      <tp t="e">
        <v>#N/A</v>
        <stp/>
        <stp>##V3_BDPV12</stp>
        <stp>BPBS15 Index</stp>
        <stp>PX_LAST</stp>
        <stp>[Live Pricing.xlsm]FX_Curve_Upload!R94C13</stp>
        <tr r="M94" s="42"/>
      </tp>
      <tp t="e">
        <v>#N/A</v>
        <stp/>
        <stp>##V3_BDPV12</stp>
        <stp>BPBS12 Index</stp>
        <stp>PX_LAST</stp>
        <stp>[Live Pricing.xlsm]FX_Curve_Upload!R91C13</stp>
        <tr r="M91" s="42"/>
      </tp>
      <tp t="e">
        <v>#N/A</v>
        <stp/>
        <stp>##V3_BDPV12</stp>
        <stp>BPBS10 Index</stp>
        <stp>PX_LAST</stp>
        <stp>[Live Pricing.xlsm]FX_Curve_Upload!R89C13</stp>
        <tr r="M89" s="42"/>
      </tp>
      <tp t="e">
        <v>#N/A</v>
        <stp/>
        <stp>##V3_BDPV12</stp>
        <stp>BPBS11 Index</stp>
        <stp>PX_LAST</stp>
        <stp>[Live Pricing.xlsm]FX_Curve_Upload!R90C13</stp>
        <tr r="M90" s="42"/>
      </tp>
      <tp t="e">
        <v>#N/A</v>
        <stp/>
        <stp>##V3_BDPV12</stp>
        <stp>ERZ9 Comdty</stp>
        <stp>PX_LAST</stp>
        <stp>[Live Pricing.xlsm]Rate_Upload!R36C4</stp>
        <tr r="D36" s="39"/>
      </tp>
      <tp t="e">
        <v>#N/A</v>
        <stp/>
        <stp>##V3_BDPV12</stp>
        <stp>JYBS40 Index</stp>
        <stp>PX_LAST</stp>
        <stp>[Live Pricing.xlsm]FX_Curve_Upload!R75C13</stp>
        <tr r="M75" s="42"/>
      </tp>
      <tp t="e">
        <v>#N/A</v>
        <stp/>
        <stp>##V3_BDPV12</stp>
        <stp>JYBS20 Index</stp>
        <stp>PX_LAST</stp>
        <stp>[Live Pricing.xlsm]FX_Curve_Upload!R72C13</stp>
        <tr r="M72" s="42"/>
      </tp>
      <tp t="e">
        <v>#N/A</v>
        <stp/>
        <stp>##V3_BDPV12</stp>
        <stp>JYBS25 Index</stp>
        <stp>PX_LAST</stp>
        <stp>[Live Pricing.xlsm]FX_Curve_Upload!R73C13</stp>
        <tr r="M73" s="42"/>
      </tp>
      <tp t="e">
        <v>#N/A</v>
        <stp/>
        <stp>##V3_BDPV12</stp>
        <stp>JYBS30 Index</stp>
        <stp>PX_LAST</stp>
        <stp>[Live Pricing.xlsm]FX_Curve_Upload!R74C13</stp>
        <tr r="M74" s="42"/>
      </tp>
      <tp t="e">
        <v>#N/A</v>
        <stp/>
        <stp>##V3_BDPV12</stp>
        <stp>JYBS10 Index</stp>
        <stp>PX_LAST</stp>
        <stp>[Live Pricing.xlsm]FX_Curve_Upload!R64C13</stp>
        <tr r="M64" s="42"/>
      </tp>
      <tp t="e">
        <v>#N/A</v>
        <stp/>
        <stp>##V3_BDPV12</stp>
        <stp>JYBS11 Index</stp>
        <stp>PX_LAST</stp>
        <stp>[Live Pricing.xlsm]FX_Curve_Upload!R65C13</stp>
        <tr r="M65" s="42"/>
      </tp>
      <tp t="e">
        <v>#N/A</v>
        <stp/>
        <stp>##V3_BDPV12</stp>
        <stp>JYBS12 Index</stp>
        <stp>PX_LAST</stp>
        <stp>[Live Pricing.xlsm]FX_Curve_Upload!R66C13</stp>
        <tr r="M66" s="42"/>
      </tp>
      <tp t="e">
        <v>#N/A</v>
        <stp/>
        <stp>##V3_BDPV12</stp>
        <stp>JYBS15 Index</stp>
        <stp>PX_LAST</stp>
        <stp>[Live Pricing.xlsm]FX_Curve_Upload!R69C13</stp>
        <tr r="M69" s="42"/>
      </tp>
      <tp t="e">
        <v>#N/A</v>
        <stp/>
        <stp>##V3_BDPV12</stp>
        <stp>ERH0 Comdty</stp>
        <stp>PX_LAST</stp>
        <stp>[Live Pricing.xlsm]Rate_Upload!R37C4</stp>
        <tr r="D37" s="39"/>
      </tp>
      <tp t="e">
        <v>#N/A</v>
        <stp/>
        <stp>##V3_BDPV12</stp>
        <stp>ERM9 Comdty</stp>
        <stp>PX_LAST</stp>
        <stp>[Live Pricing.xlsm]Rate_Upload!R34C4</stp>
        <tr r="D34" s="39"/>
      </tp>
      <tp t="e">
        <v>#N/A</v>
        <stp/>
        <stp>##V3_BDPV12</stp>
        <stp>JY0002M Index</stp>
        <stp>PX_LAST</stp>
        <stp>[Live Pricing.xlsm]FX_Curve_Upload!R58C2</stp>
        <tr r="B58" s="42"/>
      </tp>
      <tp t="e">
        <v>#N/A</v>
        <stp/>
        <stp>##V3_BDPV12</stp>
        <stp>JY0003M Index</stp>
        <stp>PX_LAST</stp>
        <stp>[Live Pricing.xlsm]FX_Curve_Upload!R59C2</stp>
        <tr r="B59" s="42"/>
      </tp>
      <tp t="e">
        <v>#N/A</v>
        <stp/>
        <stp>##V3_BDPV12</stp>
        <stp>ESZ9 Comdty</stp>
        <stp>PX_LAST</stp>
        <stp>[Live Pricing.xlsm]Rate_Upload!R111C4</stp>
        <tr r="D111" s="39"/>
      </tp>
      <tp t="e">
        <v>#N/A</v>
        <stp/>
        <stp>##V3_BDPV12</stp>
        <stp>ERU9 Comdty</stp>
        <stp>PX_LAST</stp>
        <stp>[Live Pricing.xlsm]Rate_Upload!R35C4</stp>
        <tr r="D35" s="39"/>
      </tp>
      <tp t="e">
        <v>#N/A</v>
        <stp/>
        <stp>##V3_BDPV12</stp>
        <stp>USDGBP Curncy</stp>
        <stp>PX_LAST</stp>
        <stp>[Live Pricing.xlsm]FX_Upload!R3C5</stp>
        <tr r="E3" s="44"/>
      </tp>
      <tp t="e">
        <v>#N/A</v>
        <stp/>
        <stp>##V3_BDPV12</stp>
        <stp>BAZ9 Comdty</stp>
        <stp>PX_LAST</stp>
        <stp>[Live Pricing.xlsm]Rate_Upload!R136C4</stp>
        <tr r="D136" s="39"/>
      </tp>
      <tp t="e">
        <v>#N/A</v>
        <stp/>
        <stp>##V3_BDPV12</stp>
        <stp>ERZ8 Comdty</stp>
        <stp>PX_LAST</stp>
        <stp>[Live Pricing.xlsm]Rate_Upload!R32C4</stp>
        <tr r="D32" s="39"/>
      </tp>
      <tp t="e">
        <v>#N/A</v>
        <stp/>
        <stp>##V3_BDPV12</stp>
        <stp>ERH9 Comdty</stp>
        <stp>PX_LAST</stp>
        <stp>[Live Pricing.xlsm]Rate_Upload!R33C4</stp>
        <tr r="D33" s="39"/>
      </tp>
      <tp t="e">
        <v>#N/A</v>
        <stp/>
        <stp>##V3_BDPV12</stp>
        <stp>ESZ8 Comdty</stp>
        <stp>PX_LAST</stp>
        <stp>[Live Pricing.xlsm]Rate_Upload!R107C4</stp>
        <tr r="D107" s="39"/>
      </tp>
      <tp t="e">
        <v>#N/A</v>
        <stp/>
        <stp>##V3_BDPV12</stp>
        <stp>USDSEK Curncy</stp>
        <stp>PX_LAST</stp>
        <stp>[Live Pricing.xlsm]FX_Upload!R6C5</stp>
        <tr r="E6" s="44"/>
      </tp>
      <tp t="e">
        <v>#N/A</v>
        <stp/>
        <stp>##V3_BDPV12</stp>
        <stp>ERU8 Comdty</stp>
        <stp>PX_LAST</stp>
        <stp>[Live Pricing.xlsm]Rate_Upload!R31C4</stp>
        <tr r="D31" s="39"/>
        <tr r="D31" s="39"/>
      </tp>
      <tp t="e">
        <v>#N/A</v>
        <stp/>
        <stp>##V3_BDPV12</stp>
        <stp>HASWDI10Y Index</stp>
        <stp>PX_LAST</stp>
        <stp>[Live Pricing.xlsm]Rate_Upload!R165C6</stp>
        <tr r="F165" s="39"/>
      </tp>
      <tp t="e">
        <v>#N/A</v>
        <stp/>
        <stp>##V3_BDPV12</stp>
        <stp>SF0003M Index</stp>
        <stp>PX_LAST</stp>
        <stp>[Live Pricing.xlsm]FX_Curve_Upload!R109C2</stp>
        <tr r="B109" s="42"/>
      </tp>
      <tp t="e">
        <v>#N/A</v>
        <stp/>
        <stp>##V3_BDPV12</stp>
        <stp>HASWDI1Y Index</stp>
        <stp>PX_LAST</stp>
        <stp>[Live Pricing.xlsm]FX_Curve_Upload!R156C9</stp>
        <stp/>
        <stp/>
        <tr r="I156" s="42"/>
      </tp>
      <tp t="e">
        <v>#N/A</v>
        <stp/>
        <stp>##V3_BDPV12</stp>
        <stp>HASWDI2Y Index</stp>
        <stp>PX_LAST</stp>
        <stp>[Live Pricing.xlsm]FX_Curve_Upload!R157C9</stp>
        <stp/>
        <stp/>
        <tr r="I157" s="42"/>
      </tp>
      <tp t="e">
        <v>#N/A</v>
        <stp/>
        <stp>##V3_BDPV12</stp>
        <stp>HASWDI3Y Index</stp>
        <stp>PX_LAST</stp>
        <stp>[Live Pricing.xlsm]FX_Curve_Upload!R158C9</stp>
        <stp/>
        <stp/>
        <tr r="I158" s="42"/>
      </tp>
      <tp t="e">
        <v>#N/A</v>
        <stp/>
        <stp>##V3_BDPV12</stp>
        <stp>HASWDI4Y Index</stp>
        <stp>PX_LAST</stp>
        <stp>[Live Pricing.xlsm]FX_Curve_Upload!R159C9</stp>
        <stp/>
        <stp/>
        <tr r="I159" s="42"/>
      </tp>
      <tp t="e">
        <v>#N/A</v>
        <stp/>
        <stp>##V3_BDPV12</stp>
        <stp>HASWDI5Y Index</stp>
        <stp>PX_LAST</stp>
        <stp>[Live Pricing.xlsm]FX_Curve_Upload!R160C9</stp>
        <stp/>
        <stp/>
        <tr r="I160" s="42"/>
      </tp>
      <tp t="e">
        <v>#N/A</v>
        <stp/>
        <stp>##V3_BDPV12</stp>
        <stp>HASWDI6Y Index</stp>
        <stp>PX_LAST</stp>
        <stp>[Live Pricing.xlsm]FX_Curve_Upload!R161C9</stp>
        <stp/>
        <stp/>
        <tr r="I161" s="42"/>
      </tp>
      <tp t="e">
        <v>#N/A</v>
        <stp/>
        <stp>##V3_BDPV12</stp>
        <stp>HASWDI7Y Index</stp>
        <stp>PX_LAST</stp>
        <stp>[Live Pricing.xlsm]FX_Curve_Upload!R162C9</stp>
        <stp/>
        <stp/>
        <tr r="I162" s="42"/>
      </tp>
      <tp t="e">
        <v>#N/A</v>
        <stp/>
        <stp>##V3_BDPV12</stp>
        <stp>HASWDI8Y Index</stp>
        <stp>PX_LAST</stp>
        <stp>[Live Pricing.xlsm]FX_Curve_Upload!R163C9</stp>
        <stp/>
        <stp/>
        <tr r="I163" s="42"/>
      </tp>
      <tp t="e">
        <v>#N/A</v>
        <stp/>
        <stp>##V3_BDPV12</stp>
        <stp>HASWDI9Y Index</stp>
        <stp>PX_LAST</stp>
        <stp>[Live Pricing.xlsm]FX_Curve_Upload!R164C9</stp>
        <stp/>
        <stp/>
        <tr r="I164" s="42"/>
      </tp>
      <tp t="e">
        <v>#N/A</v>
        <stp/>
        <stp>##V3_BDPV12</stp>
        <stp>YEM9 Comdty</stp>
        <stp>PX_LAST</stp>
        <stp>[Live Pricing.xlsm]Rate_Upload!R59C4</stp>
        <tr r="D59" s="39"/>
      </tp>
      <tp t="e">
        <v>#N/A</v>
        <stp/>
        <stp>##V3_BDPV12</stp>
        <stp>ESH9 Comdty</stp>
        <stp>PX_LAST</stp>
        <stp>[Live Pricing.xlsm]Rate_Upload!R108C4</stp>
        <tr r="D108" s="39"/>
      </tp>
      <tp t="e">
        <v>#N/A</v>
        <stp/>
        <stp>##V3_BDPV12</stp>
        <stp>SF0002M Index</stp>
        <stp>PX_LAST</stp>
        <stp>[Live Pricing.xlsm]FX_Curve_Upload!R108C2</stp>
        <tr r="B108" s="42"/>
      </tp>
      <tp t="e">
        <v>#N/A</v>
        <stp/>
        <stp>##V3_BDPV12</stp>
        <stp>YEH9 Comdty</stp>
        <stp>PX_LAST</stp>
        <stp>[Live Pricing.xlsm]Rate_Upload!R58C4</stp>
        <tr r="D58" s="39"/>
      </tp>
      <tp t="e">
        <v>#N/A</v>
        <stp/>
        <stp>##V3_BDPV12</stp>
        <stp>USDCHF Curncy</stp>
        <stp>PX_LAST</stp>
        <stp>[Live Pricing.xlsm]FX_Upload!R14C5</stp>
        <tr r="E14" s="44"/>
      </tp>
      <tp t="e">
        <v>#N/A</v>
        <stp/>
        <stp>##V3_BDPV12</stp>
        <stp>SFBS20 Index</stp>
        <stp>PX_LAST</stp>
        <stp>[Live Pricing.xlsm]FX_Curve_Upload!R120C13</stp>
        <tr r="M120" s="42"/>
      </tp>
      <tp t="e">
        <v>#N/A</v>
        <stp/>
        <stp>##V3_BDPV12</stp>
        <stp>USDNZD Curncy</stp>
        <stp>PX_LAST</stp>
        <stp>[Live Pricing.xlsm]FX_Upload!R10C5</stp>
        <tr r="E10" s="44"/>
      </tp>
      <tp t="e">
        <v>#N/A</v>
        <stp/>
        <stp>##V3_BDPV12</stp>
        <stp>EDZ8 Comdty</stp>
        <stp>PX_LAST</stp>
        <stp>[Live Pricing.xlsm]FX_Curve_Upload!R7C4</stp>
        <tr r="D7" s="42"/>
      </tp>
      <tp t="e">
        <v>#N/A</v>
        <stp/>
        <stp>##V3_BDPV12</stp>
        <stp>ESM9 Comdty</stp>
        <stp>PX_LAST</stp>
        <stp>[Live Pricing.xlsm]Rate_Upload!R109C4</stp>
        <tr r="D109" s="39"/>
      </tp>
      <tp t="e">
        <v>#N/A</v>
        <stp/>
        <stp>##V3_BDPV12</stp>
        <stp>USDJPY Curncy</stp>
        <stp>PX_LAST</stp>
        <stp>[Live Pricing.xlsm]FX_Upload!R9C5</stp>
        <tr r="E9" s="44"/>
      </tp>
      <tp t="e">
        <v>#N/A</v>
        <stp/>
        <stp>##V3_BDPV12</stp>
        <stp>SFBS30 Index</stp>
        <stp>PX_LAST</stp>
        <stp>[Live Pricing.xlsm]FX_Curve_Upload!R122C13</stp>
        <tr r="M122" s="42"/>
      </tp>
      <tp t="e">
        <v>#N/A</v>
        <stp/>
        <stp>##V3_BDPV12</stp>
        <stp>USDCAD Curncy</stp>
        <stp>PX_LAST</stp>
        <stp>[Live Pricing.xlsm]FX_Upload!R11C5</stp>
        <tr r="E11" s="44"/>
      </tp>
      <tp t="e">
        <v>#N/A</v>
        <stp/>
        <stp>##V3_BDPV12</stp>
        <stp>EDU8 Comdty</stp>
        <stp>PX_LAST</stp>
        <stp>[Live Pricing.xlsm]FX_Curve_Upload!R6C4</stp>
        <tr r="D6" s="42"/>
        <tr r="D6" s="42"/>
      </tp>
      <tp t="e">
        <v>#N/A</v>
        <stp/>
        <stp>##V3_BDPV12</stp>
        <stp>BAM0 Comdty</stp>
        <stp>PX_LAST</stp>
        <stp>[Live Pricing.xlsm]Rate_Upload!R138C4</stp>
        <tr r="D138" s="39"/>
      </tp>
      <tp t="e">
        <v>#N/A</v>
        <stp/>
        <stp>##V3_BDPV12</stp>
        <stp>USDAUD Curncy</stp>
        <stp>PX_LAST</stp>
        <stp>[Live Pricing.xlsm]FX_Upload!R12C5</stp>
        <tr r="E12" s="44"/>
      </tp>
      <tp t="e">
        <v>#N/A</v>
        <stp/>
        <stp>##V3_BDPV12</stp>
        <stp>SFBS12 Index</stp>
        <stp>PX_LAST</stp>
        <stp>[Live Pricing.xlsm]FX_Curve_Upload!R116C13</stp>
        <tr r="M116" s="42"/>
      </tp>
      <tp t="e">
        <v>#N/A</v>
        <stp/>
        <stp>##V3_BDPV12</stp>
        <stp>SFBS10 Index</stp>
        <stp>PX_LAST</stp>
        <stp>[Live Pricing.xlsm]FX_Curve_Upload!R114C13</stp>
        <tr r="M114" s="42"/>
      </tp>
      <tp t="e">
        <v>#N/A</v>
        <stp/>
        <stp>##V3_BDPV12</stp>
        <stp>SFBS15 Index</stp>
        <stp>PX_LAST</stp>
        <stp>[Live Pricing.xlsm]FX_Curve_Upload!R119C13</stp>
        <tr r="M119" s="42"/>
      </tp>
      <tp t="e">
        <v>#N/A</v>
        <stp/>
        <stp>##V3_BDPV12</stp>
        <stp>USSW2 Index</stp>
        <stp>PX_LAST</stp>
        <stp>[Live Pricing.xlsm]FX_Curve_Upload!R6C6</stp>
        <tr r="F6" s="42"/>
      </tp>
      <tp t="e">
        <v>#N/A</v>
        <stp/>
        <stp>##V3_BDPV12</stp>
        <stp>USSW3 Index</stp>
        <stp>PX_LAST</stp>
        <stp>[Live Pricing.xlsm]FX_Curve_Upload!R7C6</stp>
        <tr r="F7" s="42"/>
      </tp>
      <tp t="e">
        <v>#N/A</v>
        <stp/>
        <stp>##V3_BDPV12</stp>
        <stp>EDU9 Comdty</stp>
        <stp>PX_LAST</stp>
        <stp>[Live Pricing.xlsm]Rate_Upload!R10C4</stp>
        <tr r="D10" s="39"/>
      </tp>
      <tp t="e">
        <v>#N/A</v>
        <stp/>
        <stp>##V3_BDPV12</stp>
        <stp>YEZ9 Comdty</stp>
        <stp>PX_LAST</stp>
        <stp>[Live Pricing.xlsm]Rate_Upload!R61C4</stp>
        <tr r="D61" s="39"/>
      </tp>
      <tp t="e">
        <v>#N/A</v>
        <stp/>
        <stp>##V3_BDPV12</stp>
        <stp>USDBRL Curncy</stp>
        <stp>PX_LAST</stp>
        <stp>[Live Pricing.xlsm]FX_Upload!R15C5</stp>
        <tr r="E15" s="44"/>
      </tp>
      <tp t="e">
        <v>#N/A</v>
        <stp/>
        <stp>##V3_BDPV12</stp>
        <stp>SF0012M Index</stp>
        <stp>PX_LAST</stp>
        <stp>[Live Pricing.xlsm]FX_Curve_Upload!R111C2</stp>
        <tr r="B111" s="42"/>
      </tp>
      <tp t="e">
        <v>#N/A</v>
        <stp/>
        <stp>##V3_BDPV12</stp>
        <stp>SF0006M Index</stp>
        <stp>PX_LAST</stp>
        <stp>[Live Pricing.xlsm]FX_Curve_Upload!R110C2</stp>
        <tr r="B110" s="42"/>
      </tp>
      <tp t="e">
        <v>#N/A</v>
        <stp/>
        <stp>##V3_BDPV12</stp>
        <stp>BAM9 Comdty</stp>
        <stp>PX_LAST</stp>
        <stp>[Live Pricing.xlsm]Rate_Upload!R134C4</stp>
        <tr r="D134" s="39"/>
      </tp>
      <tp t="e">
        <v>#N/A</v>
        <stp/>
        <stp>##V3_BDPV12</stp>
        <stp>YEU9 Comdty</stp>
        <stp>PX_LAST</stp>
        <stp>[Live Pricing.xlsm]Rate_Upload!R60C4</stp>
        <tr r="D60" s="39"/>
      </tp>
      <tp t="e">
        <v>#N/A</v>
        <stp/>
        <stp>##V3_BDPV12</stp>
        <stp>EDZ9 Comdty</stp>
        <stp>PX_LAST</stp>
        <stp>[Live Pricing.xlsm]Rate_Upload!R11C4</stp>
        <tr r="D11" s="39"/>
      </tp>
      <tp t="e">
        <v>#N/A</v>
        <stp/>
        <stp>##V3_BDPV12</stp>
        <stp>BLBS1 Curncy</stp>
        <stp>PX_LAST</stp>
        <stp>[Live Pricing.xlsm]FX_Curve_Upload!R156C16</stp>
        <tr r="P156" s="42"/>
      </tp>
      <tp t="e">
        <v>#N/A</v>
        <stp/>
        <stp>##V3_BDPV12</stp>
        <stp>EDM9 Comdty</stp>
        <stp>PX_LAST</stp>
        <stp>[Live Pricing.xlsm]FX_Curve_Upload!R9C4</stp>
        <tr r="D9" s="42"/>
      </tp>
      <tp t="e">
        <v>#N/A</v>
        <stp/>
        <stp>##V3_BDPV12</stp>
        <stp>EDH0 Comdty</stp>
        <stp>PX_LAST</stp>
        <stp>[Live Pricing.xlsm]Rate_Upload!R12C4</stp>
        <tr r="D12" s="39"/>
      </tp>
      <tp t="e">
        <v>#N/A</v>
        <stp/>
        <stp>##V3_BDPV12</stp>
        <stp>YEM0 Comdty</stp>
        <stp>PX_LAST</stp>
        <stp>[Live Pricing.xlsm]Rate_Upload!R63C4</stp>
        <tr r="D63" s="39"/>
      </tp>
      <tp t="e">
        <v>#N/A</v>
        <stp/>
        <stp>##V3_BDPV12</stp>
        <stp>USDEUR Curncy</stp>
        <stp>PX_LAST</stp>
        <stp>[Live Pricing.xlsm]FX_Upload!R2C5</stp>
        <tr r="E2" s="44"/>
      </tp>
      <tp t="e">
        <v>#N/A</v>
        <stp/>
        <stp>##V3_BDPV12</stp>
        <stp>ESH0 Comdty</stp>
        <stp>PX_LAST</stp>
        <stp>[Live Pricing.xlsm]Rate_Upload!R112C4</stp>
        <tr r="D112" s="39"/>
      </tp>
      <tp t="e">
        <v>#N/A</v>
        <stp/>
        <stp>##V3_BDPV12</stp>
        <stp>EDH9 Comdty</stp>
        <stp>PX_LAST</stp>
        <stp>[Live Pricing.xlsm]FX_Curve_Upload!R8C4</stp>
        <tr r="D8" s="42"/>
      </tp>
      <tp t="e">
        <v>#N/A</v>
        <stp/>
        <stp>##V3_BDPV12</stp>
        <stp>YEH0 Comdty</stp>
        <stp>PX_LAST</stp>
        <stp>[Live Pricing.xlsm]Rate_Upload!R62C4</stp>
        <tr r="D62" s="39"/>
      </tp>
      <tp t="e">
        <v>#N/A</v>
        <stp/>
        <stp>##V3_BDPV12</stp>
        <stp>EDM0 Comdty</stp>
        <stp>PX_LAST</stp>
        <stp>[Live Pricing.xlsm]Rate_Upload!R13C4</stp>
        <tr r="D13" s="39"/>
      </tp>
      <tp t="e">
        <v>#N/A</v>
        <stp/>
        <stp>##V3_BDPV12</stp>
        <stp>BAH9 Comdty</stp>
        <stp>PX_LAST</stp>
        <stp>[Live Pricing.xlsm]Rate_Upload!R133C4</stp>
        <tr r="D133" s="39"/>
      </tp>
      <tp t="e">
        <v>#N/A</v>
        <stp/>
        <stp>##V3_BDPV12</stp>
        <stp>HASWDI10Y Index</stp>
        <stp>PX_LAST</stp>
        <stp>[Live Pricing.xlsm]FX_Curve_Upload!R165C9</stp>
        <stp/>
        <stp/>
        <tr r="I165" s="42"/>
      </tp>
      <tp t="e">
        <v>#N/A</v>
        <stp/>
        <stp>##V3_BDPV12</stp>
        <stp>SF0001M Index</stp>
        <stp>PX_LAST</stp>
        <stp>[Live Pricing.xlsm]FX_Curve_Upload!R107C2</stp>
        <tr r="B107" s="42"/>
      </tp>
      <tp t="e">
        <v>#N/A</v>
        <stp/>
        <stp>##V3_BDPV12</stp>
        <stp>YEZ8 Comdty</stp>
        <stp>PX_LAST</stp>
        <stp>[Live Pricing.xlsm]Rate_Upload!R57C4</stp>
        <tr r="D57" s="39"/>
      </tp>
      <tp t="e">
        <v>#N/A</v>
        <stp/>
        <stp>##V3_BDPV12</stp>
        <stp>ESM0 Comdty</stp>
        <stp>PX_LAST</stp>
        <stp>[Live Pricing.xlsm]Rate_Upload!R113C4</stp>
        <tr r="D113" s="39"/>
      </tp>
      <tp t="e">
        <v>#N/A</v>
        <stp/>
        <stp>##V3_BDPV12</stp>
        <stp>YEU8 Comdty</stp>
        <stp>PX_LAST</stp>
        <stp>[Live Pricing.xlsm]Rate_Upload!R56C4</stp>
        <tr r="D56" s="39"/>
        <tr r="D56" s="39"/>
      </tp>
      <tp t="e">
        <v>#N/A</v>
        <stp/>
        <stp>##V3_BDPV12</stp>
        <stp>BAH0 Comdty</stp>
        <stp>PX_LAST</stp>
        <stp>[Live Pricing.xlsm]Rate_Upload!R137C4</stp>
        <tr r="D137" s="39"/>
      </tp>
      <tp t="e">
        <v>#N/A</v>
        <stp/>
        <stp>##V3_BDPV12</stp>
        <stp>USSW4 Index</stp>
        <stp>PX_LAST</stp>
        <stp>[Live Pricing.xlsm]FX_Curve_Upload!R8C6</stp>
        <tr r="F8" s="42"/>
      </tp>
      <tp t="e">
        <v>#N/A</v>
        <stp/>
        <stp>##V3_BDPV12</stp>
        <stp>USSW5 Index</stp>
        <stp>PX_LAST</stp>
        <stp>[Live Pricing.xlsm]FX_Curve_Upload!R9C6</stp>
        <tr r="F9" s="42"/>
      </tp>
      <tp t="e">
        <v>#N/A</v>
        <stp/>
        <stp>##V3_BDHV12</stp>
        <stp>GBP4M BGN Curncy</stp>
        <stp>PX_LAST</stp>
        <stp>12/4/2018</stp>
        <stp>12/4/2018</stp>
        <stp>[Live Pricing.xlsm]FXFR!R52C4</stp>
        <tr r="D52" s="46"/>
      </tp>
      <tp t="e">
        <v>#N/A</v>
        <stp/>
        <stp>##V3_BDHV12</stp>
        <stp>GBP5M BGN Curncy</stp>
        <stp>PX_LAST</stp>
        <stp>12/4/2018</stp>
        <stp>12/4/2018</stp>
        <stp>[Live Pricing.xlsm]FXFR!R53C4</stp>
        <tr r="D53" s="46"/>
      </tp>
      <tp t="e">
        <v>#N/A</v>
        <stp/>
        <stp>##V3_BDHV12</stp>
        <stp>EUR1M BGN Curncy</stp>
        <stp>PX_LAST</stp>
        <stp>12/4/2018</stp>
        <stp>12/4/2018</stp>
        <stp>[Live Pricing.xlsm]FXFR!R27C4</stp>
        <tr r="D27" s="46"/>
      </tp>
      <tp t="e">
        <v>#N/A</v>
        <stp/>
        <stp>##V3_BDHV12</stp>
        <stp>CAD2M BGN Curncy</stp>
        <stp>PX_LAST</stp>
        <stp>12/4/2018</stp>
        <stp>12/4/2018</stp>
        <stp>[Live Pricing.xlsm]FXFR!R94C4</stp>
        <tr r="D94" s="46"/>
      </tp>
      <tp t="e">
        <v>#N/A</v>
        <stp/>
        <stp>##V3_BDHV12</stp>
        <stp>CAD3M BGN Curncy</stp>
        <stp>PX_LAST</stp>
        <stp>12/4/2018</stp>
        <stp>12/4/2018</stp>
        <stp>[Live Pricing.xlsm]FXFR!R95C4</stp>
        <tr r="D95" s="46"/>
      </tp>
      <tp t="e">
        <v>#N/A</v>
        <stp/>
        <stp>##V3_BDHV12</stp>
        <stp>BCN6M BGN Curncy</stp>
        <stp>PX_LAST</stp>
        <stp>12/4/2018</stp>
        <stp>12/4/2018</stp>
        <stp>[Live Pricing.xlsm]FXFR!R10C4</stp>
        <tr r="D10" s="46"/>
      </tp>
      <tp t="e">
        <v>#N/A</v>
        <stp/>
        <stp>##V3_BDPV12</stp>
        <stp>US00o/n Index</stp>
        <stp>PX_LAST</stp>
        <stp>[Live Pricing.xlsm]FX_Curve_Upload!R6C2</stp>
        <tr r="B6" s="42"/>
      </tp>
      <tp t="e">
        <v>#N/A</v>
        <stp/>
        <stp>##V3_BDPV12</stp>
        <stp>SFSW3 Index</stp>
        <stp>PX_LAST</stp>
        <stp>[Live Pricing.xlsm]FX_Curve_Upload!R107C6</stp>
        <tr r="F107" s="42"/>
      </tp>
      <tp t="e">
        <v>#N/A</v>
        <stp/>
        <stp>##V3_BDPV12</stp>
        <stp>CDSW8 Index</stp>
        <stp>PX_LAST</stp>
        <stp>[Live Pricing.xlsm]FX_Curve_Upload!R137C6</stp>
        <tr r="F137" s="42"/>
      </tp>
      <tp t="e">
        <v>#N/A</v>
        <stp/>
        <stp>##V3_BDHV12</stp>
        <stp>BCN3Y BGN Curncy</stp>
        <stp>PX_LAST</stp>
        <stp>12/4/2018</stp>
        <stp>12/4/2018</stp>
        <stp>[Live Pricing.xlsm]FXFR!R14C4</stp>
        <tr r="D14" s="46"/>
      </tp>
      <tp t="e">
        <v>#N/A</v>
        <stp/>
        <stp>##V3_BDHV12</stp>
        <stp>GBP6Y BGN Curncy</stp>
        <stp>PX_LAST</stp>
        <stp>12/4/2018</stp>
        <stp>12/4/2018</stp>
        <stp>[Live Pricing.xlsm]FXFR!R61C4</stp>
        <tr r="D61" s="46"/>
      </tp>
      <tp t="e">
        <v>#N/A</v>
        <stp/>
        <stp>##V3_BDHV12</stp>
        <stp>EUR7Y BGN Curncy</stp>
        <stp>PX_LAST</stp>
        <stp>12/4/2018</stp>
        <stp>12/4/2018</stp>
        <stp>[Live Pricing.xlsm]FXFR!R40C4</stp>
        <tr r="D40" s="46"/>
      </tp>
      <tp t="e">
        <v>#N/A</v>
        <stp/>
        <stp>##V3_BDHV12</stp>
        <stp>EUR2Y BGN Curncy</stp>
        <stp>PX_LAST</stp>
        <stp>12/4/2018</stp>
        <stp>12/4/2018</stp>
        <stp>[Live Pricing.xlsm]FXFR!R35C4</stp>
        <tr r="D35" s="46"/>
      </tp>
      <tp t="e">
        <v>#N/A</v>
        <stp/>
        <stp>##V3_BDHV12</stp>
        <stp>EUR1W BGN Curncy</stp>
        <stp>PX_LAST</stp>
        <stp>12/4/2018</stp>
        <stp>12/4/2018</stp>
        <stp>[Live Pricing.xlsm]FXFR!R26C4</stp>
        <tr r="D26" s="46"/>
      </tp>
      <tp t="e">
        <v>#N/A</v>
        <stp/>
        <stp>##V3_BDHV12</stp>
        <stp>JPY5Y BGN Curncy</stp>
        <stp>PX_LAST</stp>
        <stp>12/4/2018</stp>
        <stp>12/4/2018</stp>
        <stp>[Live Pricing.xlsm]FXFR!R82C4</stp>
        <tr r="D82" s="46"/>
      </tp>
      <tp t="e">
        <v>#N/A</v>
        <stp/>
        <stp>##V3_BDPV12</stp>
        <stp>SFSW2 Index</stp>
        <stp>PX_LAST</stp>
        <stp>[Live Pricing.xlsm]FX_Curve_Upload!R106C6</stp>
        <tr r="F106" s="42"/>
      </tp>
      <tp t="e">
        <v>#N/A</v>
        <stp/>
        <stp>##V3_BDPV12</stp>
        <stp>CDSW7 Index</stp>
        <stp>PX_LAST</stp>
        <stp>[Live Pricing.xlsm]FX_Curve_Upload!R136C6</stp>
        <tr r="F136" s="42"/>
      </tp>
      <tp t="e">
        <v>#N/A</v>
        <stp/>
        <stp>##V3_BDHV12</stp>
        <stp>EUR4M BGN Curncy</stp>
        <stp>PX_LAST</stp>
        <stp>12/4/2018</stp>
        <stp>12/4/2018</stp>
        <stp>[Live Pricing.xlsm]FXFR!R30C4</stp>
        <tr r="D30" s="46"/>
      </tp>
      <tp t="e">
        <v>#N/A</v>
        <stp/>
        <stp>##V3_BDHV12</stp>
        <stp>EUR5M BGN Curncy</stp>
        <stp>PX_LAST</stp>
        <stp>12/4/2018</stp>
        <stp>12/4/2018</stp>
        <stp>[Live Pricing.xlsm]FXFR!R31C4</stp>
        <tr r="D31" s="46"/>
      </tp>
      <tp t="e">
        <v>#N/A</v>
        <stp/>
        <stp>##V3_BDHV12</stp>
        <stp>EUR6M BGN Curncy</stp>
        <stp>PX_LAST</stp>
        <stp>12/4/2018</stp>
        <stp>12/4/2018</stp>
        <stp>[Live Pricing.xlsm]FXFR!R32C4</stp>
        <tr r="D32" s="46"/>
      </tp>
      <tp t="e">
        <v>#N/A</v>
        <stp/>
        <stp>##V3_BDPV12</stp>
        <stp>US0001m Index</stp>
        <stp>PX_LAST</stp>
        <stp>[Live Pricing.xlsm]FX_Curve_Upload!R7C2</stp>
        <tr r="B7" s="42"/>
      </tp>
      <tp t="e">
        <v>#N/A</v>
        <stp/>
        <stp>##V3_BDPV12</stp>
        <stp>CDSW6 Index</stp>
        <stp>PX_LAST</stp>
        <stp>[Live Pricing.xlsm]FX_Curve_Upload!R135C6</stp>
        <tr r="F135" s="42"/>
      </tp>
      <tp t="e">
        <v>#N/A</v>
        <stp/>
        <stp>##V3_BDHV12</stp>
        <stp>GBP5Y BGN Curncy</stp>
        <stp>PX_LAST</stp>
        <stp>12/4/2018</stp>
        <stp>12/4/2018</stp>
        <stp>[Live Pricing.xlsm]FXFR!R60C4</stp>
        <tr r="D60" s="46"/>
      </tp>
      <tp t="e">
        <v>#N/A</v>
        <stp/>
        <stp>##V3_BDHV12</stp>
        <stp>GBP7Y BGN Curncy</stp>
        <stp>PX_LAST</stp>
        <stp>12/4/2018</stp>
        <stp>12/4/2018</stp>
        <stp>[Live Pricing.xlsm]FXFR!R62C4</stp>
        <tr r="D62" s="46"/>
      </tp>
      <tp t="e">
        <v>#N/A</v>
        <stp/>
        <stp>##V3_BDHV12</stp>
        <stp>GBP2Y BGN Curncy</stp>
        <stp>PX_LAST</stp>
        <stp>12/4/2018</stp>
        <stp>12/4/2018</stp>
        <stp>[Live Pricing.xlsm]FXFR!R57C4</stp>
        <tr r="D57" s="46"/>
      </tp>
      <tp t="e">
        <v>#N/A</v>
        <stp/>
        <stp>##V3_BDHV12</stp>
        <stp>EUR3Y BGN Curncy</stp>
        <stp>PX_LAST</stp>
        <stp>12/4/2018</stp>
        <stp>12/4/2018</stp>
        <stp>[Live Pricing.xlsm]FXFR!R36C4</stp>
        <tr r="D36" s="46"/>
      </tp>
      <tp t="e">
        <v>#N/A</v>
        <stp/>
        <stp>##V3_BDHV12</stp>
        <stp>JPY4Y BGN Curncy</stp>
        <stp>PX_LAST</stp>
        <stp>12/4/2018</stp>
        <stp>12/4/2018</stp>
        <stp>[Live Pricing.xlsm]FXFR!R81C4</stp>
        <tr r="D81" s="46"/>
      </tp>
      <tp t="e">
        <v>#N/A</v>
        <stp/>
        <stp>##V3_BDHV12</stp>
        <stp>JPY6Y BGN Curncy</stp>
        <stp>PX_LAST</stp>
        <stp>12/4/2018</stp>
        <stp>12/4/2018</stp>
        <stp>[Live Pricing.xlsm]FXFR!R83C4</stp>
        <tr r="D83" s="46"/>
      </tp>
      <tp t="e">
        <v>#N/A</v>
        <stp/>
        <stp>##V3_BDPV12</stp>
        <stp>CDSW5 Index</stp>
        <stp>PX_LAST</stp>
        <stp>[Live Pricing.xlsm]FX_Curve_Upload!R134C6</stp>
        <tr r="F134" s="42"/>
      </tp>
      <tp t="e">
        <v>#N/A</v>
        <stp/>
        <stp>##V3_BDHV12</stp>
        <stp>GBP2M BGN Curncy</stp>
        <stp>PX_LAST</stp>
        <stp>12/4/2018</stp>
        <stp>12/4/2018</stp>
        <stp>[Live Pricing.xlsm]FXFR!R50C4</stp>
        <tr r="D50" s="46"/>
      </tp>
      <tp t="e">
        <v>#N/A</v>
        <stp/>
        <stp>##V3_BDHV12</stp>
        <stp>GBP3M BGN Curncy</stp>
        <stp>PX_LAST</stp>
        <stp>12/4/2018</stp>
        <stp>12/4/2018</stp>
        <stp>[Live Pricing.xlsm]FXFR!R51C4</stp>
        <tr r="D51" s="46"/>
      </tp>
      <tp t="e">
        <v>#N/A</v>
        <stp/>
        <stp>##V3_BDHV12</stp>
        <stp>GBP6M BGN Curncy</stp>
        <stp>PX_LAST</stp>
        <stp>12/4/2018</stp>
        <stp>12/4/2018</stp>
        <stp>[Live Pricing.xlsm]FXFR!R54C4</stp>
        <tr r="D54" s="46"/>
      </tp>
      <tp t="e">
        <v>#N/A</v>
        <stp/>
        <stp>##V3_BDHV12</stp>
        <stp>CAD1M BGN Curncy</stp>
        <stp>PX_LAST</stp>
        <stp>12/4/2018</stp>
        <stp>12/4/2018</stp>
        <stp>[Live Pricing.xlsm]FXFR!R93C4</stp>
        <tr r="D93" s="46"/>
      </tp>
      <tp t="e">
        <v>#N/A</v>
        <stp/>
        <stp>##V3_BDHV12</stp>
        <stp>CAD4M BGN Curncy</stp>
        <stp>PX_LAST</stp>
        <stp>12/4/2018</stp>
        <stp>12/4/2018</stp>
        <stp>[Live Pricing.xlsm]FXFR!R96C4</stp>
        <tr r="D96" s="46"/>
      </tp>
      <tp t="e">
        <v>#N/A</v>
        <stp/>
        <stp>##V3_BDHV12</stp>
        <stp>CAD5M BGN Curncy</stp>
        <stp>PX_LAST</stp>
        <stp>12/4/2018</stp>
        <stp>12/4/2018</stp>
        <stp>[Live Pricing.xlsm]FXFR!R97C4</stp>
        <tr r="D97" s="46"/>
      </tp>
      <tp t="e">
        <v>#N/A</v>
        <stp/>
        <stp>##V3_BDPV12</stp>
        <stp>SFSW9 Index</stp>
        <stp>PX_LAST</stp>
        <stp>[Live Pricing.xlsm]FX_Curve_Upload!R113C6</stp>
        <tr r="F113" s="42"/>
      </tp>
      <tp t="e">
        <v>#N/A</v>
        <stp/>
        <stp>##V3_BDPV12</stp>
        <stp>CDSW4 Index</stp>
        <stp>PX_LAST</stp>
        <stp>[Live Pricing.xlsm]FX_Curve_Upload!R133C6</stp>
        <tr r="F133" s="42"/>
      </tp>
      <tp t="e">
        <v>#N/A</v>
        <stp/>
        <stp>##V3_BDHV12</stp>
        <stp>BCN5Y BGN Curncy</stp>
        <stp>PX_LAST</stp>
        <stp>12/4/2018</stp>
        <stp>12/4/2018</stp>
        <stp>[Live Pricing.xlsm]FXFR!R16C4</stp>
        <tr r="D16" s="46"/>
      </tp>
      <tp t="e">
        <v>#N/A</v>
        <stp/>
        <stp>##V3_BDHV12</stp>
        <stp>EUR4Y BGN Curncy</stp>
        <stp>PX_LAST</stp>
        <stp>12/4/2018</stp>
        <stp>12/4/2018</stp>
        <stp>[Live Pricing.xlsm]FXFR!R37C4</stp>
        <tr r="D37" s="46"/>
      </tp>
      <tp t="e">
        <v>#N/A</v>
        <stp/>
        <stp>##V3_BDHV12</stp>
        <stp>JPY3Y BGN Curncy</stp>
        <stp>PX_LAST</stp>
        <stp>12/4/2018</stp>
        <stp>12/4/2018</stp>
        <stp>[Live Pricing.xlsm]FXFR!R80C4</stp>
        <tr r="D80" s="46"/>
      </tp>
      <tp t="e">
        <v>#N/A</v>
        <stp/>
        <stp>##V3_BDHV12</stp>
        <stp>JPY7Y BGN Curncy</stp>
        <stp>PX_LAST</stp>
        <stp>12/4/2018</stp>
        <stp>12/4/2018</stp>
        <stp>[Live Pricing.xlsm]FXFR!R84C4</stp>
        <tr r="D84" s="46"/>
      </tp>
      <tp t="e">
        <v>#N/A</v>
        <stp/>
        <stp>##V3_BDHV12</stp>
        <stp>CAD1W BGN Curncy</stp>
        <stp>PX_LAST</stp>
        <stp>12/4/2018</stp>
        <stp>12/4/2018</stp>
        <stp>[Live Pricing.xlsm]FXFR!R92C4</stp>
        <tr r="D92" s="46"/>
      </tp>
      <tp t="e">
        <v>#N/A</v>
        <stp/>
        <stp>##V3_BDPV12</stp>
        <stp>SFSW8 Index</stp>
        <stp>PX_LAST</stp>
        <stp>[Live Pricing.xlsm]FX_Curve_Upload!R112C6</stp>
        <tr r="F112" s="42"/>
      </tp>
      <tp t="e">
        <v>#N/A</v>
        <stp/>
        <stp>##V3_BDPV12</stp>
        <stp>CDSW3 Index</stp>
        <stp>PX_LAST</stp>
        <stp>[Live Pricing.xlsm]FX_Curve_Upload!R132C6</stp>
        <tr r="F132" s="42"/>
      </tp>
      <tp t="e">
        <v>#N/A</v>
        <stp/>
        <stp>##V3_BDHV12</stp>
        <stp>CAD9M BGN Curncy</stp>
        <stp>PX_LAST</stp>
        <stp>12/4/2018</stp>
        <stp>12/4/2018</stp>
        <stp>[Live Pricing.xlsm]FXFR!R99C4</stp>
        <tr r="D99" s="46"/>
      </tp>
      <tp t="e">
        <v>#N/A</v>
        <stp/>
        <stp>##V3_BDHV12</stp>
        <stp>JPY1M BGN Curncy</stp>
        <stp>PX_LAST</stp>
        <stp>12/4/2018</stp>
        <stp>12/4/2018</stp>
        <stp>[Live Pricing.xlsm]FXFR!R71C4</stp>
        <tr r="D71" s="46"/>
      </tp>
      <tp t="e">
        <v>#N/A</v>
        <stp/>
        <stp>##V3_BDHV12</stp>
        <stp>JPY2M BGN Curncy</stp>
        <stp>PX_LAST</stp>
        <stp>12/4/2018</stp>
        <stp>12/4/2018</stp>
        <stp>[Live Pricing.xlsm]FXFR!R72C4</stp>
        <tr r="D72" s="46"/>
      </tp>
      <tp t="e">
        <v>#N/A</v>
        <stp/>
        <stp>##V3_BDHV12</stp>
        <stp>JPY3M BGN Curncy</stp>
        <stp>PX_LAST</stp>
        <stp>12/4/2018</stp>
        <stp>12/4/2018</stp>
        <stp>[Live Pricing.xlsm]FXFR!R73C4</stp>
        <tr r="D73" s="46"/>
      </tp>
      <tp t="e">
        <v>#N/A</v>
        <stp/>
        <stp>##V3_BDHV12</stp>
        <stp>JPY4M BGN Curncy</stp>
        <stp>PX_LAST</stp>
        <stp>12/4/2018</stp>
        <stp>12/4/2018</stp>
        <stp>[Live Pricing.xlsm]FXFR!R74C4</stp>
        <tr r="D74" s="46"/>
      </tp>
      <tp t="e">
        <v>#N/A</v>
        <stp/>
        <stp>##V3_BDHV12</stp>
        <stp>JPY5M BGN Curncy</stp>
        <stp>PX_LAST</stp>
        <stp>12/4/2018</stp>
        <stp>12/4/2018</stp>
        <stp>[Live Pricing.xlsm]FXFR!R75C4</stp>
        <tr r="D75" s="46"/>
      </tp>
      <tp t="e">
        <v>#N/A</v>
        <stp/>
        <stp>##V3_BDHV12</stp>
        <stp>JPY6M BGN Curncy</stp>
        <stp>PX_LAST</stp>
        <stp>12/4/2018</stp>
        <stp>12/4/2018</stp>
        <stp>[Live Pricing.xlsm]FXFR!R76C4</stp>
        <tr r="D76" s="46"/>
      </tp>
      <tp t="e">
        <v>#N/A</v>
        <stp/>
        <stp>##V3_BDPV12</stp>
        <stp>SFSW7 Index</stp>
        <stp>PX_LAST</stp>
        <stp>[Live Pricing.xlsm]FX_Curve_Upload!R111C6</stp>
        <tr r="F111" s="42"/>
      </tp>
      <tp t="e">
        <v>#N/A</v>
        <stp/>
        <stp>##V3_BDPV12</stp>
        <stp>CDSW2 Index</stp>
        <stp>PX_LAST</stp>
        <stp>[Live Pricing.xlsm]FX_Curve_Upload!R131C6</stp>
        <tr r="F131" s="42"/>
      </tp>
      <tp t="e">
        <v>#N/A</v>
        <stp/>
        <stp>##V3_BDHV12</stp>
        <stp>BCN2Y BGN Curncy</stp>
        <stp>PX_LAST</stp>
        <stp>12/4/2018</stp>
        <stp>12/4/2018</stp>
        <stp>[Live Pricing.xlsm]FXFR!R13C4</stp>
        <tr r="D13" s="46"/>
      </tp>
      <tp t="e">
        <v>#N/A</v>
        <stp/>
        <stp>##V3_BDHV12</stp>
        <stp>BCN4Y BGN Curncy</stp>
        <stp>PX_LAST</stp>
        <stp>12/4/2018</stp>
        <stp>12/4/2018</stp>
        <stp>[Live Pricing.xlsm]FXFR!R15C4</stp>
        <tr r="D15" s="46"/>
      </tp>
      <tp t="e">
        <v>#N/A</v>
        <stp/>
        <stp>##V3_BDHV12</stp>
        <stp>JPY1W BGN Curncy</stp>
        <stp>PX_LAST</stp>
        <stp>12/4/2018</stp>
        <stp>12/4/2018</stp>
        <stp>[Live Pricing.xlsm]FXFR!R70C4</stp>
        <tr r="D70" s="46"/>
      </tp>
      <tp t="e">
        <v>#N/A</v>
        <stp/>
        <stp>##V3_BDPV12</stp>
        <stp>SFSW6 Index</stp>
        <stp>PX_LAST</stp>
        <stp>[Live Pricing.xlsm]FX_Curve_Upload!R110C6</stp>
        <tr r="F110" s="42"/>
      </tp>
      <tp t="e">
        <v>#N/A</v>
        <stp/>
        <stp>##V3_BDHV12</stp>
        <stp>CAD6M BGN Curncy</stp>
        <stp>PX_LAST</stp>
        <stp>12/4/2018</stp>
        <stp>12/4/2018</stp>
        <stp>[Live Pricing.xlsm]FXFR!R98C4</stp>
        <tr r="D98" s="46"/>
      </tp>
      <tp t="e">
        <v>#N/A</v>
        <stp/>
        <stp>##V3_BDHV12</stp>
        <stp>JPY9M BGN Curncy</stp>
        <stp>PX_LAST</stp>
        <stp>12/4/2018</stp>
        <stp>12/4/2018</stp>
        <stp>[Live Pricing.xlsm]FXFR!R77C4</stp>
        <tr r="D77" s="46"/>
      </tp>
      <tp t="e">
        <v>#N/A</v>
        <stp/>
        <stp>##V3_BDHV12</stp>
        <stp>BCN7Y BGN Curncy</stp>
        <stp>PX_LAST</stp>
        <stp>12/4/2018</stp>
        <stp>12/4/2018</stp>
        <stp>[Live Pricing.xlsm]FXFR!R18C4</stp>
        <tr r="D18" s="46"/>
      </tp>
      <tp t="e">
        <v>#N/A</v>
        <stp/>
        <stp>##V3_BDHV12</stp>
        <stp>EUR6Y BGN Curncy</stp>
        <stp>PX_LAST</stp>
        <stp>12/4/2018</stp>
        <stp>12/4/2018</stp>
        <stp>[Live Pricing.xlsm]FXFR!R39C4</stp>
        <tr r="D39" s="46"/>
      </tp>
      <tp t="e">
        <v>#N/A</v>
        <stp/>
        <stp>##V3_BDHV12</stp>
        <stp>JPY9Y BGN Curncy</stp>
        <stp>PX_LAST</stp>
        <stp>12/4/2018</stp>
        <stp>12/4/2018</stp>
        <stp>[Live Pricing.xlsm]FXFR!R86C4</stp>
        <tr r="D86" s="46"/>
      </tp>
      <tp t="e">
        <v>#N/A</v>
        <stp/>
        <stp>##V3_BDHV12</stp>
        <stp>GBP9M BGN Curncy</stp>
        <stp>PX_LAST</stp>
        <stp>12/4/2018</stp>
        <stp>12/4/2018</stp>
        <stp>[Live Pricing.xlsm]FXFR!R55C4</stp>
        <tr r="D55" s="46"/>
      </tp>
      <tp t="e">
        <v>#N/A</v>
        <stp/>
        <stp>##V3_BDHV12</stp>
        <stp>GBP9Y BGN Curncy</stp>
        <stp>PX_LAST</stp>
        <stp>12/4/2018</stp>
        <stp>12/4/2018</stp>
        <stp>[Live Pricing.xlsm]FXFR!R64C4</stp>
        <tr r="D64" s="46"/>
      </tp>
      <tp t="e">
        <v>#N/A</v>
        <stp/>
        <stp>##V3_BDHV12</stp>
        <stp>GBP4Y BGN Curncy</stp>
        <stp>PX_LAST</stp>
        <stp>12/4/2018</stp>
        <stp>12/4/2018</stp>
        <stp>[Live Pricing.xlsm]FXFR!R59C4</stp>
        <tr r="D59" s="46"/>
      </tp>
      <tp t="e">
        <v>#N/A</v>
        <stp/>
        <stp>##V3_BDHV12</stp>
        <stp>EUR5Y BGN Curncy</stp>
        <stp>PX_LAST</stp>
        <stp>12/4/2018</stp>
        <stp>12/4/2018</stp>
        <stp>[Live Pricing.xlsm]FXFR!R38C4</stp>
        <tr r="D38" s="46"/>
      </tp>
      <tp t="e">
        <v>#N/A</v>
        <stp/>
        <stp>##V3_BDHV12</stp>
        <stp>JPY8Y BGN Curncy</stp>
        <stp>PX_LAST</stp>
        <stp>12/4/2018</stp>
        <stp>12/4/2018</stp>
        <stp>[Live Pricing.xlsm]FXFR!R85C4</stp>
        <tr r="D85" s="46"/>
      </tp>
      <tp t="e">
        <v>#N/A</v>
        <stp/>
        <stp>##V3_BDHV12</stp>
        <stp>EUR9M BGN Curncy</stp>
        <stp>PX_LAST</stp>
        <stp>12/4/2018</stp>
        <stp>12/4/2018</stp>
        <stp>[Live Pricing.xlsm]FXFR!R33C4</stp>
        <tr r="D33" s="46"/>
      </tp>
      <tp t="e">
        <v>#N/A</v>
        <stp/>
        <stp>##V3_BDHV12</stp>
        <stp>EUR2M BGN Curncy</stp>
        <stp>PX_LAST</stp>
        <stp>12/4/2018</stp>
        <stp>12/4/2018</stp>
        <stp>[Live Pricing.xlsm]FXFR!R28C4</stp>
        <tr r="D28" s="46"/>
      </tp>
      <tp t="e">
        <v>#N/A</v>
        <stp/>
        <stp>##V3_BDHV12</stp>
        <stp>EUR3M BGN Curncy</stp>
        <stp>PX_LAST</stp>
        <stp>12/4/2018</stp>
        <stp>12/4/2018</stp>
        <stp>[Live Pricing.xlsm]FXFR!R29C4</stp>
        <tr r="D29" s="46"/>
      </tp>
      <tp t="e">
        <v>#N/A</v>
        <stp/>
        <stp>##V3_BDPV12</stp>
        <stp>US0003m Index</stp>
        <stp>PX_LAST</stp>
        <stp>[Live Pricing.xlsm]FX_Curve_Upload!R9C2</stp>
        <tr r="B9" s="42"/>
      </tp>
      <tp t="e">
        <v>#N/A</v>
        <stp/>
        <stp>##V3_BDHV12</stp>
        <stp>GBP8Y BGN Curncy</stp>
        <stp>PX_LAST</stp>
        <stp>12/4/2018</stp>
        <stp>12/4/2018</stp>
        <stp>[Live Pricing.xlsm]FXFR!R63C4</stp>
        <tr r="D63" s="46"/>
      </tp>
      <tp t="e">
        <v>#N/A</v>
        <stp/>
        <stp>##V3_BDHV12</stp>
        <stp>GBP3Y BGN Curncy</stp>
        <stp>PX_LAST</stp>
        <stp>12/4/2018</stp>
        <stp>12/4/2018</stp>
        <stp>[Live Pricing.xlsm]FXFR!R58C4</stp>
        <tr r="D58" s="46"/>
      </tp>
      <tp t="e">
        <v>#N/A</v>
        <stp/>
        <stp>##V3_BDHV12</stp>
        <stp>EUR9Y BGN Curncy</stp>
        <stp>PX_LAST</stp>
        <stp>12/4/2018</stp>
        <stp>12/4/2018</stp>
        <stp>[Live Pricing.xlsm]FXFR!R42C4</stp>
        <tr r="D42" s="46"/>
      </tp>
      <tp t="e">
        <v>#N/A</v>
        <stp/>
        <stp>##V3_BDHV12</stp>
        <stp>JPY2Y BGN Curncy</stp>
        <stp>PX_LAST</stp>
        <stp>12/4/2018</stp>
        <stp>12/4/2018</stp>
        <stp>[Live Pricing.xlsm]FXFR!R79C4</stp>
        <tr r="D79" s="46"/>
      </tp>
      <tp t="e">
        <v>#N/A</v>
        <stp/>
        <stp>##V3_BDPV12</stp>
        <stp>US0002m Index</stp>
        <stp>PX_LAST</stp>
        <stp>[Live Pricing.xlsm]FX_Curve_Upload!R8C2</stp>
        <tr r="B8" s="42"/>
      </tp>
      <tp t="e">
        <v>#N/A</v>
        <stp/>
        <stp>##V3_BDHV12</stp>
        <stp>GBP1M BGN Curncy</stp>
        <stp>PX_LAST</stp>
        <stp>12/4/2018</stp>
        <stp>12/4/2018</stp>
        <stp>[Live Pricing.xlsm]FXFR!R49C4</stp>
        <tr r="D49" s="46"/>
      </tp>
      <tp t="e">
        <v>#N/A</v>
        <stp/>
        <stp>##V3_BDHV12</stp>
        <stp>BCN9M BGN Curncy</stp>
        <stp>PX_LAST</stp>
        <stp>12/4/2018</stp>
        <stp>12/4/2018</stp>
        <stp>[Live Pricing.xlsm]FXFR!R11C4</stp>
        <tr r="D11" s="46"/>
      </tp>
      <tp t="e">
        <v>#N/A</v>
        <stp/>
        <stp>##V3_BDPV12</stp>
        <stp>SFSW5 Index</stp>
        <stp>PX_LAST</stp>
        <stp>[Live Pricing.xlsm]FX_Curve_Upload!R109C6</stp>
        <tr r="F109" s="42"/>
      </tp>
      <tp t="e">
        <v>#N/A</v>
        <stp/>
        <stp>##V3_BDHV12</stp>
        <stp>EUR8Y BGN Curncy</stp>
        <stp>PX_LAST</stp>
        <stp>12/4/2018</stp>
        <stp>12/4/2018</stp>
        <stp>[Live Pricing.xlsm]FXFR!R41C4</stp>
        <tr r="D41" s="46"/>
      </tp>
      <tp t="e">
        <v>#N/A</v>
        <stp/>
        <stp>##V3_BDHV12</stp>
        <stp>GBP1W BGN Curncy</stp>
        <stp>PX_LAST</stp>
        <stp>12/4/2018</stp>
        <stp>12/4/2018</stp>
        <stp>[Live Pricing.xlsm]FXFR!R48C4</stp>
        <tr r="D48" s="46"/>
      </tp>
      <tp t="e">
        <v>#N/A</v>
        <stp/>
        <stp>##V3_BDPV12</stp>
        <stp>SFSW4 Index</stp>
        <stp>PX_LAST</stp>
        <stp>[Live Pricing.xlsm]FX_Curve_Upload!R108C6</stp>
        <tr r="F108" s="42"/>
      </tp>
      <tp t="e">
        <v>#N/A</v>
        <stp/>
        <stp>##V3_BDPV12</stp>
        <stp>CDSW9 Index</stp>
        <stp>PX_LAST</stp>
        <stp>[Live Pricing.xlsm]FX_Curve_Upload!R138C6</stp>
        <tr r="F138" s="42"/>
      </tp>
      <tp t="e">
        <v>#N/A</v>
        <stp/>
        <stp>##V3_BDHV12</stp>
        <stp>JPY12M BGN Curncy</stp>
        <stp>PX_LAST</stp>
        <stp>12/4/2018</stp>
        <stp>12/4/2018</stp>
        <stp>[Live Pricing.xlsm]FXFR!R78C4</stp>
        <tr r="D78" s="46"/>
      </tp>
      <tp t="e">
        <v>#N/A</v>
        <stp/>
        <stp>##V3_BDPV12</stp>
        <stp>JYSW3 Index</stp>
        <stp>PX_LAST</stp>
        <stp>[Live Pricing.xlsm]Rate_Upload!R57C6</stp>
        <tr r="F57" s="39"/>
      </tp>
      <tp t="e">
        <v>#N/A</v>
        <stp/>
        <stp>##V3_BDPV12</stp>
        <stp>JYSW2 Index</stp>
        <stp>PX_LAST</stp>
        <stp>[Live Pricing.xlsm]Rate_Upload!R56C6</stp>
        <tr r="F56" s="39"/>
      </tp>
      <tp t="e">
        <v>#N/A</v>
        <stp/>
        <stp>##V3_BDHV12</stp>
        <stp>GBP10Y BGN Curncy</stp>
        <stp>PX_LAST</stp>
        <stp>12/4/2018</stp>
        <stp>12/4/2018</stp>
        <stp>[Live Pricing.xlsm]FXFR!R65C4</stp>
        <tr r="D65" s="46"/>
      </tp>
      <tp t="e">
        <v>#N/A</v>
        <stp/>
        <stp>##V3_BDHV12</stp>
        <stp>BCN12M BGN Curncy</stp>
        <stp>PX_LAST</stp>
        <stp>12/4/2018</stp>
        <stp>12/4/2018</stp>
        <stp>[Live Pricing.xlsm]FXFR!R12C4</stp>
        <tr r="D12" s="46"/>
      </tp>
      <tp t="e">
        <v>#N/A</v>
        <stp/>
        <stp>##V3_BDPV12</stp>
        <stp>SFBS5 Index</stp>
        <stp>PX_LAST</stp>
        <stp>[Live Pricing.xlsm]FX_Curve_Upload!R109C13</stp>
        <tr r="M109" s="42"/>
      </tp>
      <tp t="e">
        <v>#N/A</v>
        <stp/>
        <stp>##V3_BDHV12</stp>
        <stp>EUR12M BGN Curncy</stp>
        <stp>PX_LAST</stp>
        <stp>12/4/2018</stp>
        <stp>12/4/2018</stp>
        <stp>[Live Pricing.xlsm]FXFR!R34C4</stp>
        <tr r="D34" s="46"/>
      </tp>
      <tp t="e">
        <v>#N/A</v>
        <stp/>
        <stp>##V3_BDPV12</stp>
        <stp>SFBS4 Index</stp>
        <stp>PX_LAST</stp>
        <stp>[Live Pricing.xlsm]FX_Curve_Upload!R108C13</stp>
        <tr r="M108" s="42"/>
      </tp>
      <tp t="e">
        <v>#N/A</v>
        <stp/>
        <stp>##V3_BDPV12</stp>
        <stp>SFBS7 Index</stp>
        <stp>PX_LAST</stp>
        <stp>[Live Pricing.xlsm]FX_Curve_Upload!R111C13</stp>
        <tr r="M111" s="42"/>
      </tp>
      <tp t="e">
        <v>#N/A</v>
        <stp/>
        <stp>##V3_BDHV12</stp>
        <stp>BCN10Y BGN Curncy</stp>
        <stp>PX_LAST</stp>
        <stp>12/4/2018</stp>
        <stp>12/4/2018</stp>
        <stp>[Live Pricing.xlsm]FXFR!R21C4</stp>
        <tr r="D21" s="46"/>
      </tp>
      <tp t="e">
        <v>#N/A</v>
        <stp/>
        <stp>##V3_BDPV12</stp>
        <stp>SFBS6 Index</stp>
        <stp>PX_LAST</stp>
        <stp>[Live Pricing.xlsm]FX_Curve_Upload!R110C13</stp>
        <tr r="M110" s="42"/>
      </tp>
      <tp t="e">
        <v>#N/A</v>
        <stp/>
        <stp>##V3_BDPV12</stp>
        <stp>SFBS1 Index</stp>
        <stp>PX_LAST</stp>
        <stp>[Live Pricing.xlsm]FX_Curve_Upload!R106C16</stp>
        <tr r="P106" s="42"/>
      </tp>
      <tp t="e">
        <v>#N/A</v>
        <stp/>
        <stp>##V3_BDPV12</stp>
        <stp>SFBS2 Index</stp>
        <stp>PX_LAST</stp>
        <stp>[Live Pricing.xlsm]FX_Curve_Upload!R106C13</stp>
        <tr r="M106" s="42"/>
      </tp>
      <tp t="e">
        <v>#N/A</v>
        <stp/>
        <stp>##V3_BDPV12</stp>
        <stp>SFBS9 Index</stp>
        <stp>PX_LAST</stp>
        <stp>[Live Pricing.xlsm]FX_Curve_Upload!R113C13</stp>
        <tr r="M113" s="42"/>
      </tp>
      <tp t="e">
        <v>#N/A</v>
        <stp/>
        <stp>##V3_BDPV12</stp>
        <stp>SFBS8 Index</stp>
        <stp>PX_LAST</stp>
        <stp>[Live Pricing.xlsm]FX_Curve_Upload!R112C13</stp>
        <tr r="M112" s="42"/>
      </tp>
      <tp t="e">
        <v>#N/A</v>
        <stp/>
        <stp>##V3_BDPV12</stp>
        <stp>CDBS5 Index</stp>
        <stp>PX_LAST</stp>
        <stp>[Live Pricing.xlsm]FX_Curve_Upload!R134C13</stp>
        <tr r="M134" s="42"/>
      </tp>
      <tp t="e">
        <v>#N/A</v>
        <stp/>
        <stp>##V3_BDPV12</stp>
        <stp>CDBS4 Index</stp>
        <stp>PX_LAST</stp>
        <stp>[Live Pricing.xlsm]FX_Curve_Upload!R133C13</stp>
        <tr r="M133" s="42"/>
      </tp>
      <tp t="e">
        <v>#N/A</v>
        <stp/>
        <stp>##V3_BDPV12</stp>
        <stp>CDBS7 Index</stp>
        <stp>PX_LAST</stp>
        <stp>[Live Pricing.xlsm]FX_Curve_Upload!R136C13</stp>
        <tr r="M136" s="42"/>
      </tp>
      <tp t="e">
        <v>#N/A</v>
        <stp/>
        <stp>##V3_BDPV12</stp>
        <stp>CDBS6 Index</stp>
        <stp>PX_LAST</stp>
        <stp>[Live Pricing.xlsm]FX_Curve_Upload!R135C13</stp>
        <tr r="M135" s="42"/>
      </tp>
      <tp t="e">
        <v>#N/A</v>
        <stp/>
        <stp>##V3_BDPV12</stp>
        <stp>CDBS1 Index</stp>
        <stp>PX_LAST</stp>
        <stp>[Live Pricing.xlsm]FX_Curve_Upload!R131C16</stp>
        <tr r="P131" s="42"/>
      </tp>
      <tp t="e">
        <v>#N/A</v>
        <stp/>
        <stp>##V3_BDPV12</stp>
        <stp>CDBS2 Index</stp>
        <stp>PX_LAST</stp>
        <stp>[Live Pricing.xlsm]FX_Curve_Upload!R131C13</stp>
        <tr r="M131" s="42"/>
      </tp>
      <tp t="e">
        <v>#N/A</v>
        <stp/>
        <stp>##V3_BDHV12</stp>
        <stp>GBP12M BGN Curncy</stp>
        <stp>PX_LAST</stp>
        <stp>12/4/2018</stp>
        <stp>12/4/2018</stp>
        <stp>[Live Pricing.xlsm]FXFR!R56C4</stp>
        <tr r="D56" s="46"/>
      </tp>
      <tp t="e">
        <v>#N/A</v>
        <stp/>
        <stp>##V3_BDPV12</stp>
        <stp>CDBS9 Index</stp>
        <stp>PX_LAST</stp>
        <stp>[Live Pricing.xlsm]FX_Curve_Upload!R138C13</stp>
        <tr r="M138" s="42"/>
      </tp>
      <tp t="e">
        <v>#N/A</v>
        <stp/>
        <stp>##V3_BDPV12</stp>
        <stp>CDBS8 Index</stp>
        <stp>PX_LAST</stp>
        <stp>[Live Pricing.xlsm]FX_Curve_Upload!R137C13</stp>
        <tr r="M137" s="42"/>
      </tp>
      <tp t="e">
        <v>#N/A</v>
        <stp/>
        <stp>##V3_BDPV12</stp>
        <stp>EUSA9 Index</stp>
        <stp>PX_LAST</stp>
        <stp>[Live Pricing.xlsm]Rate_Upload!R38C6</stp>
        <tr r="F38" s="39"/>
      </tp>
      <tp t="e">
        <v>#N/A</v>
        <stp/>
        <stp>##V3_BDPV12</stp>
        <stp>USSW14 Index</stp>
        <stp>PX_LAST</stp>
        <stp>[Live Pricing.xlsm]FX_Curve_Upload!R18C6</stp>
        <tr r="F18" s="42"/>
      </tp>
      <tp t="e">
        <v>#N/A</v>
        <stp/>
        <stp>##V3_BDPV12</stp>
        <stp>BPSW25 Index</stp>
        <stp>PX_LAST</stp>
        <stp>[Live Pricing.xlsm]FX_Curve_Upload!R98C6</stp>
        <tr r="F98" s="42"/>
      </tp>
      <tp t="e">
        <v>#N/A</v>
        <stp/>
        <stp>##V3_BDPV12</stp>
        <stp>JYSW14 Index</stp>
        <stp>PX_LAST</stp>
        <stp>[Live Pricing.xlsm]FX_Curve_Upload!R68C6</stp>
        <tr r="F68" s="42"/>
      </tp>
      <tp t="e">
        <v>#N/A</v>
        <stp/>
        <stp>##V3_BDPV12</stp>
        <stp>EUSA25 Index</stp>
        <stp>PX_LAST</stp>
        <stp>[Live Pricing.xlsm]FX_Curve_Upload!R48C6</stp>
        <tr r="F48" s="42"/>
      </tp>
      <tp t="e">
        <v>#N/A</v>
        <stp/>
        <stp>##V3_BDPV12</stp>
        <stp>JYSSTL1 index</stp>
        <stp>PX_LAST</stp>
        <stp>[Live Pricing.xlsm]Rate_Upload!R57C14</stp>
        <tr r="N57" s="39"/>
      </tp>
      <tp t="e">
        <v>#N/A</v>
        <stp/>
        <stp>##V3_BDPV12</stp>
        <stp>JYSSTL2 index</stp>
        <stp>PX_LAST</stp>
        <stp>[Live Pricing.xlsm]Rate_Upload!R58C14</stp>
        <tr r="N58" s="39"/>
      </tp>
      <tp t="e">
        <v>#N/A</v>
        <stp/>
        <stp>##V3_BDPV12</stp>
        <stp>L M0 Comdty</stp>
        <stp>PX_LAST</stp>
        <stp>[Live Pricing.xlsm]Rate_Upload!R88C4</stp>
        <tr r="D88" s="39"/>
      </tp>
      <tp t="e">
        <v>#N/A</v>
        <stp/>
        <stp>##V3_BDPV12</stp>
        <stp>JYSW9 Index</stp>
        <stp>PX_LAST</stp>
        <stp>[Live Pricing.xlsm]Rate_Upload!R63C6</stp>
        <tr r="F63" s="39"/>
      </tp>
      <tp t="e">
        <v>#N/A</v>
        <stp/>
        <stp>##V3_BDPV12</stp>
        <stp>USSW15 Index</stp>
        <stp>PX_LAST</stp>
        <stp>[Live Pricing.xlsm]FX_Curve_Upload!R19C6</stp>
        <tr r="F19" s="42"/>
      </tp>
      <tp t="e">
        <v>#N/A</v>
        <stp/>
        <stp>##V3_BDPV12</stp>
        <stp>BPSW10 Index</stp>
        <stp>PX_LAST</stp>
        <stp>[Live Pricing.xlsm]FX_Curve_Upload!R89C6</stp>
        <tr r="F89" s="42"/>
      </tp>
      <tp t="e">
        <v>#N/A</v>
        <stp/>
        <stp>##V3_BDPV12</stp>
        <stp>BPSW30 Index</stp>
        <stp>PX_LAST</stp>
        <stp>[Live Pricing.xlsm]FX_Curve_Upload!R99C6</stp>
        <tr r="F99" s="42"/>
      </tp>
      <tp t="e">
        <v>#N/A</v>
        <stp/>
        <stp>##V3_BDPV12</stp>
        <stp>JYSW15 Index</stp>
        <stp>PX_LAST</stp>
        <stp>[Live Pricing.xlsm]FX_Curve_Upload!R69C6</stp>
        <tr r="F69" s="42"/>
      </tp>
      <tp t="e">
        <v>#N/A</v>
        <stp/>
        <stp>##V3_BDPV12</stp>
        <stp>EUSA30 Index</stp>
        <stp>PX_LAST</stp>
        <stp>[Live Pricing.xlsm]FX_Curve_Upload!R49C6</stp>
        <tr r="F49" s="42"/>
      </tp>
      <tp t="e">
        <v>#N/A</v>
        <stp/>
        <stp>##V3_BDPV12</stp>
        <stp>EUSA10 Index</stp>
        <stp>PX_LAST</stp>
        <stp>[Live Pricing.xlsm]FX_Curve_Upload!R39C6</stp>
        <tr r="F39" s="42"/>
      </tp>
      <tp t="e">
        <v>#N/A</v>
        <stp/>
        <stp>##V3_BDPV12</stp>
        <stp>JYSW8 Index</stp>
        <stp>PX_LAST</stp>
        <stp>[Live Pricing.xlsm]Rate_Upload!R62C6</stp>
        <tr r="F62" s="39"/>
      </tp>
      <tp t="e">
        <v>#N/A</v>
        <stp/>
        <stp>##V3_BDHV12</stp>
        <stp>EUR10Y BGN Curncy</stp>
        <stp>PX_LAST</stp>
        <stp>12/4/2018</stp>
        <stp>12/4/2018</stp>
        <stp>[Live Pricing.xlsm]FXFR!R43C4</stp>
        <tr r="D43" s="46"/>
      </tp>
      <tp t="e">
        <v>#N/A</v>
        <stp/>
        <stp>##V3_BDPV12</stp>
        <stp>CDSW10 Index</stp>
        <stp>PX_LAST</stp>
        <stp>[Live Pricing.xlsm]FX_Curve_Upload!R139C6</stp>
        <tr r="F139" s="42"/>
      </tp>
      <tp t="e">
        <v>#N/A</v>
        <stp/>
        <stp>##V3_BDPV12</stp>
        <stp>SFSW15 Index</stp>
        <stp>PX_LAST</stp>
        <stp>[Live Pricing.xlsm]FX_Curve_Upload!R119C6</stp>
        <tr r="F119" s="42"/>
      </tp>
      <tp t="e">
        <v>#N/A</v>
        <stp/>
        <stp>##V3_BDPV12</stp>
        <stp>JYSW7 Index</stp>
        <stp>PX_LAST</stp>
        <stp>[Live Pricing.xlsm]Rate_Upload!R61C6</stp>
        <tr r="F61" s="39"/>
      </tp>
      <tp t="e">
        <v>#N/A</v>
        <stp/>
        <stp>##V3_BDPV12</stp>
        <stp>BPSW9 Index</stp>
        <stp>PX_LAST</stp>
        <stp>[Live Pricing.xlsm]Rate_Upload!R88C6</stp>
        <tr r="F88" s="39"/>
      </tp>
      <tp t="e">
        <v>#N/A</v>
        <stp/>
        <stp>##V3_BDPV12</stp>
        <stp>SFSW14 Index</stp>
        <stp>PX_LAST</stp>
        <stp>[Live Pricing.xlsm]FX_Curve_Upload!R118C6</stp>
        <tr r="F118" s="42"/>
      </tp>
      <tp t="e">
        <v>#N/A</v>
        <stp/>
        <stp>##V3_BDPV12</stp>
        <stp>JYSW6 Index</stp>
        <stp>PX_LAST</stp>
        <stp>[Live Pricing.xlsm]Rate_Upload!R60C6</stp>
        <tr r="F60" s="39"/>
      </tp>
      <tp t="e">
        <v>#N/A</v>
        <stp/>
        <stp>##V3_BDPV12</stp>
        <stp>CDOR01 Index</stp>
        <stp>PX_LAST</stp>
        <stp>[Live Pricing.xlsm]FX_Curve_Upload!R132C2</stp>
        <tr r="B132" s="42"/>
      </tp>
      <tp t="e">
        <v>#N/A</v>
        <stp/>
        <stp>##V3_BDPV12</stp>
        <stp>USSW30 Index</stp>
        <stp>PX_LAST</stp>
        <stp>[Live Pricing.xlsm]FX_Curve_Upload!R24C6</stp>
        <tr r="F24" s="42"/>
      </tp>
      <tp t="e">
        <v>#N/A</v>
        <stp/>
        <stp>##V3_BDPV12</stp>
        <stp>USSW10 Index</stp>
        <stp>PX_LAST</stp>
        <stp>[Live Pricing.xlsm]FX_Curve_Upload!R14C6</stp>
        <tr r="F14" s="42"/>
      </tp>
      <tp t="e">
        <v>#N/A</v>
        <stp/>
        <stp>##V3_BDPV12</stp>
        <stp>BPSW15 Index</stp>
        <stp>PX_LAST</stp>
        <stp>[Live Pricing.xlsm]FX_Curve_Upload!R94C6</stp>
        <tr r="F94" s="42"/>
      </tp>
      <tp t="e">
        <v>#N/A</v>
        <stp/>
        <stp>##V3_BDPV12</stp>
        <stp>JYSW10 Index</stp>
        <stp>PX_LAST</stp>
        <stp>[Live Pricing.xlsm]FX_Curve_Upload!R64C6</stp>
        <tr r="F64" s="42"/>
      </tp>
      <tp t="e">
        <v>#N/A</v>
        <stp/>
        <stp>##V3_BDPV12</stp>
        <stp>JYSW30 Index</stp>
        <stp>PX_LAST</stp>
        <stp>[Live Pricing.xlsm]FX_Curve_Upload!R74C6</stp>
        <tr r="F74" s="42"/>
      </tp>
      <tp t="e">
        <v>#N/A</v>
        <stp/>
        <stp>##V3_BDPV12</stp>
        <stp>SFSW13 Index</stp>
        <stp>PX_LAST</stp>
        <stp>[Live Pricing.xlsm]FX_Curve_Upload!R117C6</stp>
        <tr r="F117" s="42"/>
      </tp>
      <tp t="e">
        <v>#N/A</v>
        <stp/>
        <stp>##V3_BDPV12</stp>
        <stp>EUSA15 Index</stp>
        <stp>PX_LAST</stp>
        <stp>[Live Pricing.xlsm]FX_Curve_Upload!R44C6</stp>
        <tr r="F44" s="42"/>
      </tp>
      <tp t="e">
        <v>#N/A</v>
        <stp/>
        <stp>##V3_BDPV12</stp>
        <stp>L M9 Comdty</stp>
        <stp>PX_LAST</stp>
        <stp>[Live Pricing.xlsm]Rate_Upload!R84C4</stp>
        <tr r="D84" s="39"/>
      </tp>
      <tp t="e">
        <v>#N/A</v>
        <stp/>
        <stp>##V3_BDPV12</stp>
        <stp>BPSW7 Index</stp>
        <stp>PX_LAST</stp>
        <stp>[Live Pricing.xlsm]Rate_Upload!R86C6</stp>
        <tr r="F86" s="39"/>
      </tp>
      <tp t="e">
        <v>#N/A</v>
        <stp/>
        <stp>##V3_BDPV12</stp>
        <stp>EUSA4 Index</stp>
        <stp>PX_LAST</stp>
        <stp>[Live Pricing.xlsm]Rate_Upload!R33C6</stp>
        <tr r="F33" s="39"/>
      </tp>
      <tp t="e">
        <v>#N/A</v>
        <stp/>
        <stp>##V3_BDPV12</stp>
        <stp>CDOR02 Index</stp>
        <stp>PX_LAST</stp>
        <stp>[Live Pricing.xlsm]FX_Curve_Upload!R133C2</stp>
        <tr r="B133" s="42"/>
      </tp>
      <tp t="e">
        <v>#N/A</v>
        <stp/>
        <stp>##V3_BDPV12</stp>
        <stp>USSW40 Index</stp>
        <stp>PX_LAST</stp>
        <stp>[Live Pricing.xlsm]FX_Curve_Upload!R25C6</stp>
        <tr r="F25" s="42"/>
      </tp>
      <tp t="e">
        <v>#N/A</v>
        <stp/>
        <stp>##V3_BDPV12</stp>
        <stp>USSW11 Index</stp>
        <stp>PX_LAST</stp>
        <stp>[Live Pricing.xlsm]FX_Curve_Upload!R15C6</stp>
        <tr r="F15" s="42"/>
      </tp>
      <tp t="e">
        <v>#N/A</v>
        <stp/>
        <stp>##V3_BDPV12</stp>
        <stp>BPSW16 Index</stp>
        <stp>PX_LAST</stp>
        <stp>[Live Pricing.xlsm]FX_Curve_Upload!R95C6</stp>
        <tr r="F95" s="42"/>
      </tp>
      <tp t="e">
        <v>#N/A</v>
        <stp/>
        <stp>##V3_BDPV12</stp>
        <stp>JYSW11 Index</stp>
        <stp>PX_LAST</stp>
        <stp>[Live Pricing.xlsm]FX_Curve_Upload!R65C6</stp>
        <tr r="F65" s="42"/>
      </tp>
      <tp t="e">
        <v>#N/A</v>
        <stp/>
        <stp>##V3_BDPV12</stp>
        <stp>JYSW40 Index</stp>
        <stp>PX_LAST</stp>
        <stp>[Live Pricing.xlsm]FX_Curve_Upload!R75C6</stp>
        <tr r="F75" s="42"/>
      </tp>
      <tp t="e">
        <v>#N/A</v>
        <stp/>
        <stp>##V3_BDPV12</stp>
        <stp>SFSW12 Index</stp>
        <stp>PX_LAST</stp>
        <stp>[Live Pricing.xlsm]FX_Curve_Upload!R116C6</stp>
        <tr r="F116" s="42"/>
      </tp>
      <tp t="e">
        <v>#N/A</v>
        <stp/>
        <stp>##V3_BDPV12</stp>
        <stp>EUSA16 Index</stp>
        <stp>PX_LAST</stp>
        <stp>[Live Pricing.xlsm]FX_Curve_Upload!R45C6</stp>
        <tr r="F45" s="42"/>
      </tp>
      <tp t="e">
        <v>#N/A</v>
        <stp/>
        <stp>##V3_BDPV12</stp>
        <stp>L U9 Comdty</stp>
        <stp>PX_LAST</stp>
        <stp>[Live Pricing.xlsm]Rate_Upload!R85C4</stp>
        <tr r="D85" s="39"/>
      </tp>
      <tp t="e">
        <v>#N/A</v>
        <stp/>
        <stp>##V3_BDPV12</stp>
        <stp>BPSW8 Index</stp>
        <stp>PX_LAST</stp>
        <stp>[Live Pricing.xlsm]Rate_Upload!R87C6</stp>
        <tr r="F87" s="39"/>
      </tp>
      <tp t="e">
        <v>#N/A</v>
        <stp/>
        <stp>##V3_BDPV12</stp>
        <stp>EUSA3 Index</stp>
        <stp>PX_LAST</stp>
        <stp>[Live Pricing.xlsm]Rate_Upload!R32C6</stp>
        <tr r="F32" s="39"/>
      </tp>
      <tp t="e">
        <v>#N/A</v>
        <stp/>
        <stp>##V3_BDPV12</stp>
        <stp>CDSW40 Index</stp>
        <stp>PX_LAST</stp>
        <stp>[Live Pricing.xlsm]FX_Curve_Upload!R145C6</stp>
        <tr r="F145" s="42"/>
      </tp>
      <tp t="e">
        <v>#N/A</v>
        <stp/>
        <stp>##V3_BDPV12</stp>
        <stp>USSW12 Index</stp>
        <stp>PX_LAST</stp>
        <stp>[Live Pricing.xlsm]FX_Curve_Upload!R16C6</stp>
        <tr r="F16" s="42"/>
      </tp>
      <tp t="e">
        <v>#N/A</v>
        <stp/>
        <stp>##V3_BDPV12</stp>
        <stp>BPSW17 Index</stp>
        <stp>PX_LAST</stp>
        <stp>[Live Pricing.xlsm]FX_Curve_Upload!R96C6</stp>
        <tr r="F96" s="42"/>
      </tp>
      <tp t="e">
        <v>#N/A</v>
        <stp/>
        <stp>##V3_BDPV12</stp>
        <stp>JYSW12 Index</stp>
        <stp>PX_LAST</stp>
        <stp>[Live Pricing.xlsm]FX_Curve_Upload!R66C6</stp>
        <tr r="F66" s="42"/>
      </tp>
      <tp t="e">
        <v>#N/A</v>
        <stp/>
        <stp>##V3_BDPV12</stp>
        <stp>SFSW11 Index</stp>
        <stp>PX_LAST</stp>
        <stp>[Live Pricing.xlsm]FX_Curve_Upload!R115C6</stp>
        <tr r="F115" s="42"/>
      </tp>
      <tp t="e">
        <v>#N/A</v>
        <stp/>
        <stp>##V3_BDPV12</stp>
        <stp>EUSA17 Index</stp>
        <stp>PX_LAST</stp>
        <stp>[Live Pricing.xlsm]FX_Curve_Upload!R46C6</stp>
        <tr r="F46" s="42"/>
      </tp>
      <tp t="e">
        <v>#N/A</v>
        <stp/>
        <stp>##V3_BDPV12</stp>
        <stp>L Z9 Comdty</stp>
        <stp>PX_LAST</stp>
        <stp>[Live Pricing.xlsm]Rate_Upload!R86C4</stp>
        <tr r="D86" s="39"/>
      </tp>
      <tp t="e">
        <v>#N/A</v>
        <stp/>
        <stp>##V3_BDPV12</stp>
        <stp>BPSW5 Index</stp>
        <stp>PX_LAST</stp>
        <stp>[Live Pricing.xlsm]Rate_Upload!R84C6</stp>
        <tr r="F84" s="39"/>
      </tp>
      <tp t="e">
        <v>#N/A</v>
        <stp/>
        <stp>##V3_BDPV12</stp>
        <stp>EUSA2 Index</stp>
        <stp>PX_LAST</stp>
        <stp>[Live Pricing.xlsm]Rate_Upload!R31C6</stp>
        <tr r="F31" s="39"/>
      </tp>
      <tp t="e">
        <v>#N/A</v>
        <stp/>
        <stp>##V3_BDPV12</stp>
        <stp>CDSW30 Index</stp>
        <stp>PX_LAST</stp>
        <stp>[Live Pricing.xlsm]FX_Curve_Upload!R144C6</stp>
        <tr r="F144" s="42"/>
      </tp>
      <tp t="e">
        <v>#N/A</v>
        <stp/>
        <stp>##V3_BDPV12</stp>
        <stp>USSW13 Index</stp>
        <stp>PX_LAST</stp>
        <stp>[Live Pricing.xlsm]FX_Curve_Upload!R17C6</stp>
        <tr r="F17" s="42"/>
      </tp>
      <tp t="e">
        <v>#N/A</v>
        <stp/>
        <stp>##V3_BDPV12</stp>
        <stp>BPSW20 Index</stp>
        <stp>PX_LAST</stp>
        <stp>[Live Pricing.xlsm]FX_Curve_Upload!R97C6</stp>
        <tr r="F97" s="42"/>
      </tp>
      <tp t="e">
        <v>#N/A</v>
        <stp/>
        <stp>##V3_BDPV12</stp>
        <stp>JYSW13 Index</stp>
        <stp>PX_LAST</stp>
        <stp>[Live Pricing.xlsm]FX_Curve_Upload!R67C6</stp>
        <tr r="F67" s="42"/>
      </tp>
      <tp t="e">
        <v>#N/A</v>
        <stp/>
        <stp>##V3_BDPV12</stp>
        <stp>SFSW10 Index</stp>
        <stp>PX_LAST</stp>
        <stp>[Live Pricing.xlsm]FX_Curve_Upload!R114C6</stp>
        <tr r="F114" s="42"/>
      </tp>
      <tp t="e">
        <v>#N/A</v>
        <stp/>
        <stp>##V3_BDPV12</stp>
        <stp>EUSA20 Index</stp>
        <stp>PX_LAST</stp>
        <stp>[Live Pricing.xlsm]FX_Curve_Upload!R47C6</stp>
        <tr r="F47" s="42"/>
      </tp>
      <tp t="e">
        <v>#N/A</v>
        <stp/>
        <stp>##V3_BDPV12</stp>
        <stp>L H0 Comdty</stp>
        <stp>PX_LAST</stp>
        <stp>[Live Pricing.xlsm]Rate_Upload!R87C4</stp>
        <tr r="D87" s="39"/>
      </tp>
      <tp t="e">
        <v>#N/A</v>
        <stp/>
        <stp>##V3_BDPV12</stp>
        <stp>BPSW6 Index</stp>
        <stp>PX_LAST</stp>
        <stp>[Live Pricing.xlsm]Rate_Upload!R85C6</stp>
        <tr r="F85" s="39"/>
      </tp>
      <tp t="e">
        <v>#N/A</v>
        <stp/>
        <stp>##V3_BDPV12</stp>
        <stp>CDOR12 Index</stp>
        <stp>PX_LAST</stp>
        <stp>[Live Pricing.xlsm]FX_Curve_Upload!R136C2</stp>
        <tr r="B136" s="42"/>
      </tp>
      <tp t="e">
        <v>#N/A</v>
        <stp/>
        <stp>##V3_BDPV12</stp>
        <stp>CDSW25 Index</stp>
        <stp>PX_LAST</stp>
        <stp>[Live Pricing.xlsm]FX_Curve_Upload!R143C6</stp>
        <tr r="F143" s="42"/>
      </tp>
      <tp t="e">
        <v>#N/A</v>
        <stp/>
        <stp>##V3_BDPV12</stp>
        <stp>USSW16 Index</stp>
        <stp>PX_LAST</stp>
        <stp>[Live Pricing.xlsm]FX_Curve_Upload!R20C6</stp>
        <tr r="F20" s="42"/>
      </tp>
      <tp t="e">
        <v>#N/A</v>
        <stp/>
        <stp>##V3_BDPV12</stp>
        <stp>BPSW11 Index</stp>
        <stp>PX_LAST</stp>
        <stp>[Live Pricing.xlsm]FX_Curve_Upload!R90C6</stp>
        <tr r="F90" s="42"/>
      </tp>
      <tp t="e">
        <v>#N/A</v>
        <stp/>
        <stp>##V3_BDPV12</stp>
        <stp>JYSW16 Index</stp>
        <stp>PX_LAST</stp>
        <stp>[Live Pricing.xlsm]FX_Curve_Upload!R70C6</stp>
        <tr r="F70" s="42"/>
      </tp>
      <tp t="e">
        <v>#N/A</v>
        <stp/>
        <stp>##V3_BDPV12</stp>
        <stp>SF00S/N Index</stp>
        <stp>PX_LAST</stp>
        <stp>[Live Pricing.xlsm]FX_Curve_Upload!R106C2</stp>
        <tr r="B106" s="42"/>
      </tp>
      <tp t="e">
        <v>#N/A</v>
        <stp/>
        <stp>##V3_BDPV12</stp>
        <stp>SFSW40 Index</stp>
        <stp>PX_LAST</stp>
        <stp>[Live Pricing.xlsm]FX_Curve_Upload!R123C6</stp>
        <tr r="F123" s="42"/>
      </tp>
      <tp t="e">
        <v>#N/A</v>
        <stp/>
        <stp>##V3_BDPV12</stp>
        <stp>EUSA40 Index</stp>
        <stp>PX_LAST</stp>
        <stp>[Live Pricing.xlsm]FX_Curve_Upload!R50C6</stp>
        <tr r="F50" s="42"/>
      </tp>
      <tp t="e">
        <v>#N/A</v>
        <stp/>
        <stp>##V3_BDPV12</stp>
        <stp>EUSA11 Index</stp>
        <stp>PX_LAST</stp>
        <stp>[Live Pricing.xlsm]FX_Curve_Upload!R40C6</stp>
        <tr r="F40" s="42"/>
      </tp>
      <tp t="e">
        <v>#N/A</v>
        <stp/>
        <stp>##V3_BDPV12</stp>
        <stp>BPSW3 Index</stp>
        <stp>PX_LAST</stp>
        <stp>[Live Pricing.xlsm]Rate_Upload!R82C6</stp>
        <tr r="F82" s="39"/>
      </tp>
      <tp t="e">
        <v>#N/A</v>
        <stp/>
        <stp>##V3_BDPV12</stp>
        <stp>USSW7 Index</stp>
        <stp>PX_LAST</stp>
        <stp>[Live Pricing.xlsm]Rate_Upload!R11C6</stp>
        <tr r="F11" s="39"/>
      </tp>
      <tp t="e">
        <v>#N/A</v>
        <stp/>
        <stp>##V3_BDPV12</stp>
        <stp>EUSA8 Index</stp>
        <stp>PX_LAST</stp>
        <stp>[Live Pricing.xlsm]Rate_Upload!R37C6</stp>
        <tr r="F37" s="39"/>
      </tp>
      <tp t="e">
        <v>#N/A</v>
        <stp/>
        <stp>##V3_BDHV12</stp>
        <stp>JPY10Y BGN Curncy</stp>
        <stp>PX_LAST</stp>
        <stp>12/4/2018</stp>
        <stp>12/4/2018</stp>
        <stp>[Live Pricing.xlsm]FXFR!R87C4</stp>
        <tr r="D87" s="46"/>
      </tp>
      <tp t="e">
        <v>#N/A</v>
        <stp/>
        <stp>##V3_BDPV12</stp>
        <stp>CDSW20 Index</stp>
        <stp>PX_LAST</stp>
        <stp>[Live Pricing.xlsm]FX_Curve_Upload!R142C6</stp>
        <tr r="F142" s="42"/>
      </tp>
      <tp t="e">
        <v>#N/A</v>
        <stp/>
        <stp>##V3_BDPV12</stp>
        <stp>USSW17 Index</stp>
        <stp>PX_LAST</stp>
        <stp>[Live Pricing.xlsm]FX_Curve_Upload!R21C6</stp>
        <tr r="F21" s="42"/>
      </tp>
      <tp t="e">
        <v>#N/A</v>
        <stp/>
        <stp>##V3_BDPV12</stp>
        <stp>BPSW12 Index</stp>
        <stp>PX_LAST</stp>
        <stp>[Live Pricing.xlsm]FX_Curve_Upload!R91C6</stp>
        <tr r="F91" s="42"/>
      </tp>
      <tp t="e">
        <v>#N/A</v>
        <stp/>
        <stp>##V3_BDPV12</stp>
        <stp>JYSW17 Index</stp>
        <stp>PX_LAST</stp>
        <stp>[Live Pricing.xlsm]FX_Curve_Upload!R71C6</stp>
        <tr r="F71" s="42"/>
      </tp>
      <tp t="e">
        <v>#N/A</v>
        <stp/>
        <stp>##V3_BDPV12</stp>
        <stp>SFSW30 Index</stp>
        <stp>PX_LAST</stp>
        <stp>[Live Pricing.xlsm]FX_Curve_Upload!R122C6</stp>
        <tr r="F122" s="42"/>
      </tp>
      <tp t="e">
        <v>#N/A</v>
        <stp/>
        <stp>##V3_BDPV12</stp>
        <stp>EUSA12 Index</stp>
        <stp>PX_LAST</stp>
        <stp>[Live Pricing.xlsm]FX_Curve_Upload!R41C6</stp>
        <tr r="F41" s="42"/>
      </tp>
      <tp t="e">
        <v>#N/A</v>
        <stp/>
        <stp>##V3_BDPV12</stp>
        <stp>L U8 Comdty</stp>
        <stp>PX_LAST</stp>
        <stp>[Live Pricing.xlsm]Rate_Upload!R81C4</stp>
        <tr r="D81" s="39"/>
        <tr r="D81" s="39"/>
      </tp>
      <tp t="e">
        <v>#N/A</v>
        <stp/>
        <stp>##V3_BDPV12</stp>
        <stp>BPSW4 Index</stp>
        <stp>PX_LAST</stp>
        <stp>[Live Pricing.xlsm]Rate_Upload!R83C6</stp>
        <tr r="F83" s="39"/>
      </tp>
      <tp t="e">
        <v>#N/A</v>
        <stp/>
        <stp>##V3_BDPV12</stp>
        <stp>USSW6 Index</stp>
        <stp>PX_LAST</stp>
        <stp>[Live Pricing.xlsm]Rate_Upload!R10C6</stp>
        <tr r="F10" s="39"/>
      </tp>
      <tp t="e">
        <v>#N/A</v>
        <stp/>
        <stp>##V3_BDPV12</stp>
        <stp>EUSA7 Index</stp>
        <stp>PX_LAST</stp>
        <stp>[Live Pricing.xlsm]Rate_Upload!R36C6</stp>
        <tr r="F36" s="39"/>
      </tp>
      <tp t="e">
        <v>#N/A</v>
        <stp/>
        <stp>##V3_BDPV12</stp>
        <stp>CABROVER Index</stp>
        <stp>PX_LAST</stp>
        <stp>[Live Pricing.xlsm]FX_Curve_Upload!R131C2</stp>
        <tr r="B131" s="42"/>
      </tp>
      <tp t="e">
        <v>#N/A</v>
        <stp/>
        <stp>##V3_BDPV12</stp>
        <stp>CDSW15 Index</stp>
        <stp>PX_LAST</stp>
        <stp>[Live Pricing.xlsm]FX_Curve_Upload!R141C6</stp>
        <tr r="F141" s="42"/>
      </tp>
      <tp t="e">
        <v>#N/A</v>
        <stp/>
        <stp>##V3_BDPV12</stp>
        <stp>CDOR03 Index</stp>
        <stp>PX_LAST</stp>
        <stp>[Live Pricing.xlsm]FX_Curve_Upload!R134C2</stp>
        <tr r="B134" s="42"/>
      </tp>
      <tp t="e">
        <v>#N/A</v>
        <stp/>
        <stp>##V3_BDPV12</stp>
        <stp>USSW20 Index</stp>
        <stp>PX_LAST</stp>
        <stp>[Live Pricing.xlsm]FX_Curve_Upload!R22C6</stp>
        <tr r="F22" s="42"/>
      </tp>
      <tp t="e">
        <v>#N/A</v>
        <stp/>
        <stp>##V3_BDPV12</stp>
        <stp>BPSW13 Index</stp>
        <stp>PX_LAST</stp>
        <stp>[Live Pricing.xlsm]FX_Curve_Upload!R92C6</stp>
        <tr r="F92" s="42"/>
      </tp>
      <tp t="e">
        <v>#N/A</v>
        <stp/>
        <stp>##V3_BDPV12</stp>
        <stp>JYSW20 Index</stp>
        <stp>PX_LAST</stp>
        <stp>[Live Pricing.xlsm]FX_Curve_Upload!R72C6</stp>
        <tr r="F72" s="42"/>
      </tp>
      <tp t="e">
        <v>#N/A</v>
        <stp/>
        <stp>##V3_BDPV12</stp>
        <stp>SFSW25 Index</stp>
        <stp>PX_LAST</stp>
        <stp>[Live Pricing.xlsm]FX_Curve_Upload!R121C6</stp>
        <tr r="F121" s="42"/>
      </tp>
      <tp t="e">
        <v>#N/A</v>
        <stp/>
        <stp>##V3_BDPV12</stp>
        <stp>EUSA13 Index</stp>
        <stp>PX_LAST</stp>
        <stp>[Live Pricing.xlsm]FX_Curve_Upload!R42C6</stp>
        <tr r="F42" s="42"/>
      </tp>
      <tp t="e">
        <v>#N/A</v>
        <stp/>
        <stp>##V3_BDPV12</stp>
        <stp>L Z8 Comdty</stp>
        <stp>PX_LAST</stp>
        <stp>[Live Pricing.xlsm]Rate_Upload!R82C4</stp>
        <tr r="D82" s="39"/>
      </tp>
      <tp t="e">
        <v>#N/A</v>
        <stp/>
        <stp>##V3_BDPV12</stp>
        <stp>JYSW5 Index</stp>
        <stp>PX_LAST</stp>
        <stp>[Live Pricing.xlsm]Rate_Upload!R59C6</stp>
        <tr r="F59" s="39"/>
      </tp>
      <tp t="e">
        <v>#N/A</v>
        <stp/>
        <stp>##V3_BDPV12</stp>
        <stp>USSW9 Index</stp>
        <stp>PX_LAST</stp>
        <stp>[Live Pricing.xlsm]Rate_Upload!R13C6</stp>
        <tr r="F13" s="39"/>
      </tp>
      <tp t="e">
        <v>#N/A</v>
        <stp/>
        <stp>##V3_BDPV12</stp>
        <stp>EUSA6 Index</stp>
        <stp>PX_LAST</stp>
        <stp>[Live Pricing.xlsm]Rate_Upload!R35C6</stp>
        <tr r="F35" s="39"/>
      </tp>
      <tp t="e">
        <v>#N/A</v>
        <stp/>
        <stp>##V3_BDPV12</stp>
        <stp>BPSW40 Index</stp>
        <stp>PX_LAST</stp>
        <stp>[Live Pricing.xlsm]FX_Curve_Upload!R100C6</stp>
        <tr r="F100" s="42"/>
      </tp>
      <tp t="e">
        <v>#N/A</v>
        <stp/>
        <stp>##V3_BDPV12</stp>
        <stp>CDSW12 Index</stp>
        <stp>PX_LAST</stp>
        <stp>[Live Pricing.xlsm]FX_Curve_Upload!R140C6</stp>
        <tr r="F140" s="42"/>
      </tp>
      <tp t="e">
        <v>#N/A</v>
        <stp/>
        <stp>##V3_BDPV12</stp>
        <stp>CDOR06 Index</stp>
        <stp>PX_LAST</stp>
        <stp>[Live Pricing.xlsm]FX_Curve_Upload!R135C2</stp>
        <tr r="B135" s="42"/>
      </tp>
      <tp t="e">
        <v>#N/A</v>
        <stp/>
        <stp>##V3_BDPV12</stp>
        <stp>USSW25 Index</stp>
        <stp>PX_LAST</stp>
        <stp>[Live Pricing.xlsm]FX_Curve_Upload!R23C6</stp>
        <tr r="F23" s="42"/>
      </tp>
      <tp t="e">
        <v>#N/A</v>
        <stp/>
        <stp>##V3_BDPV12</stp>
        <stp>BPSW14 Index</stp>
        <stp>PX_LAST</stp>
        <stp>[Live Pricing.xlsm]FX_Curve_Upload!R93C6</stp>
        <tr r="F93" s="42"/>
      </tp>
      <tp t="e">
        <v>#N/A</v>
        <stp/>
        <stp>##V3_BDPV12</stp>
        <stp>JYSW25 Index</stp>
        <stp>PX_LAST</stp>
        <stp>[Live Pricing.xlsm]FX_Curve_Upload!R73C6</stp>
        <tr r="F73" s="42"/>
      </tp>
      <tp t="e">
        <v>#N/A</v>
        <stp/>
        <stp>##V3_BDPV12</stp>
        <stp>SFSW20 Index</stp>
        <stp>PX_LAST</stp>
        <stp>[Live Pricing.xlsm]FX_Curve_Upload!R120C6</stp>
        <tr r="F120" s="42"/>
      </tp>
      <tp t="e">
        <v>#N/A</v>
        <stp/>
        <stp>##V3_BDPV12</stp>
        <stp>EUSA14 Index</stp>
        <stp>PX_LAST</stp>
        <stp>[Live Pricing.xlsm]FX_Curve_Upload!R43C6</stp>
        <tr r="F43" s="42"/>
      </tp>
      <tp t="e">
        <v>#N/A</v>
        <stp/>
        <stp>##V3_BDPV12</stp>
        <stp>L H9 Comdty</stp>
        <stp>PX_LAST</stp>
        <stp>[Live Pricing.xlsm]Rate_Upload!R83C4</stp>
        <tr r="D83" s="39"/>
      </tp>
      <tp t="e">
        <v>#N/A</v>
        <stp/>
        <stp>##V3_BDPV12</stp>
        <stp>BPSW2 Index</stp>
        <stp>PX_LAST</stp>
        <stp>[Live Pricing.xlsm]Rate_Upload!R81C6</stp>
        <tr r="F81" s="39"/>
      </tp>
      <tp t="e">
        <v>#N/A</v>
        <stp/>
        <stp>##V3_BDPV12</stp>
        <stp>JYSW4 Index</stp>
        <stp>PX_LAST</stp>
        <stp>[Live Pricing.xlsm]Rate_Upload!R58C6</stp>
        <tr r="F58" s="39"/>
      </tp>
      <tp t="e">
        <v>#N/A</v>
        <stp/>
        <stp>##V3_BDPV12</stp>
        <stp>USSW8 Index</stp>
        <stp>PX_LAST</stp>
        <stp>[Live Pricing.xlsm]Rate_Upload!R12C6</stp>
        <tr r="F12" s="39"/>
      </tp>
      <tp t="e">
        <v>#N/A</v>
        <stp/>
        <stp>##V3_BDPV12</stp>
        <stp>EUSA5 Index</stp>
        <stp>PX_LAST</stp>
        <stp>[Live Pricing.xlsm]Rate_Upload!R34C6</stp>
        <tr r="F34" s="39"/>
      </tp>
      <tp t="e">
        <v>#N/A</v>
        <stp/>
        <stp>##V3_BDPV12</stp>
        <stp>ESU8 Comdty</stp>
        <stp>PX_LAST</stp>
        <stp>[Live Pricing.xlsm]FX_Curve_Upload!R106C4</stp>
        <tr r="D106" s="42"/>
        <tr r="D106" s="42"/>
      </tp>
      <tp t="e">
        <v>#N/A</v>
        <stp/>
        <stp>##V3_BDHV12</stp>
        <stp>CHF9Y BGN Curncy</stp>
        <stp>PX_LAST</stp>
        <stp>12/4/2018</stp>
        <stp>12/4/2018</stp>
        <stp>[Live Pricing.xlsm]FXFR!R130C4</stp>
        <tr r="D130" s="46"/>
      </tp>
      <tp t="e">
        <v>#N/A</v>
        <stp/>
        <stp>##V3_BDHV12</stp>
        <stp>CAD2Y BGN Curncy</stp>
        <stp>PX_LAST</stp>
        <stp>12/4/2018</stp>
        <stp>12/4/2018</stp>
        <stp>[Live Pricing.xlsm]FXFR!R101C4</stp>
        <tr r="D101" s="46"/>
      </tp>
      <tp t="e">
        <v>#N/A</v>
        <stp/>
        <stp>##V3_BDPV12</stp>
        <stp>YEU8 Comdty</stp>
        <stp>PX_LAST</stp>
        <stp>[Live Pricing.xlsm]FX_Curve_Upload!R56C4</stp>
        <tr r="D56" s="42"/>
        <tr r="D56" s="42"/>
      </tp>
      <tp t="e">
        <v>#N/A</v>
        <stp/>
        <stp>##V3_BDHV12</stp>
        <stp>CAD3Y BGN Curncy</stp>
        <stp>PX_LAST</stp>
        <stp>12/4/2018</stp>
        <stp>12/4/2018</stp>
        <stp>[Live Pricing.xlsm]FXFR!R102C4</stp>
        <tr r="D102" s="46"/>
      </tp>
      <tp t="e">
        <v>#N/A</v>
        <stp/>
        <stp>##V3_BDPV12</stp>
        <stp>BLBS2 Index</stp>
        <stp>PX_LAST</stp>
        <stp>[Live Pricing.xlsm]FX_Curve_Upload!R156C13</stp>
        <stp>43430</stp>
        <stp>43430</stp>
        <tr r="M156" s="42"/>
      </tp>
      <tp t="e">
        <v>#N/A</v>
        <stp/>
        <stp>##V3_BDPV12</stp>
        <stp>YEZ8 Comdty</stp>
        <stp>PX_LAST</stp>
        <stp>[Live Pricing.xlsm]FX_Curve_Upload!R57C4</stp>
        <tr r="D57" s="42"/>
      </tp>
      <tp t="e">
        <v>#N/A</v>
        <stp/>
        <stp>##V3_BDPV12</stp>
        <stp>BAU9 Comdty</stp>
        <stp>PX_LAST</stp>
        <stp>[Live Pricing.xlsm]FX_Curve_Upload!R135C4</stp>
        <tr r="D135" s="42"/>
      </tp>
      <tp t="e">
        <v>#N/A</v>
        <stp/>
        <stp>##V3_BDHV12</stp>
        <stp>CAD4Y BGN Curncy</stp>
        <stp>PX_LAST</stp>
        <stp>12/4/2018</stp>
        <stp>12/4/2018</stp>
        <stp>[Live Pricing.xlsm]FXFR!R103C4</stp>
        <tr r="D103" s="46"/>
      </tp>
      <tp t="e">
        <v>#N/A</v>
        <stp/>
        <stp>##V3_BDHV12</stp>
        <stp>CHF2Y BGN Curncy</stp>
        <stp>PX_LAST</stp>
        <stp>12/4/2018</stp>
        <stp>12/4/2018</stp>
        <stp>[Live Pricing.xlsm]FXFR!R123C4</stp>
        <tr r="D123" s="46"/>
      </tp>
      <tp t="e">
        <v>#N/A</v>
        <stp/>
        <stp>##V3_BDHV12</stp>
        <stp>CAD12M BGN Curncy</stp>
        <stp>PX_LAST</stp>
        <stp>12/4/2018</stp>
        <stp>12/4/2018</stp>
        <stp>[Live Pricing.xlsm]FXFR!R100C4</stp>
        <tr r="D100" s="46"/>
      </tp>
      <tp t="e">
        <v>#N/A</v>
        <stp/>
        <stp>##V3_BDPV12</stp>
        <stp>YEU9 Comdty</stp>
        <stp>PX_LAST</stp>
        <stp>[Live Pricing.xlsm]FX_Curve_Upload!R60C4</stp>
        <tr r="D60" s="42"/>
      </tp>
      <tp t="e">
        <v>#N/A</v>
        <stp/>
        <stp>##V3_BDPV12</stp>
        <stp>EDZ9 Comdty</stp>
        <stp>PX_LAST</stp>
        <stp>[Live Pricing.xlsm]FX_Curve_Upload!R11C4</stp>
        <tr r="D11" s="42"/>
      </tp>
      <tp t="e">
        <v>#N/A</v>
        <stp/>
        <stp>##V3_BDHV12</stp>
        <stp>CAD5Y BGN Curncy</stp>
        <stp>PX_LAST</stp>
        <stp>12/4/2018</stp>
        <stp>12/4/2018</stp>
        <stp>[Live Pricing.xlsm]FXFR!R104C4</stp>
        <tr r="D104" s="46"/>
      </tp>
      <tp t="e">
        <v>#N/A</v>
        <stp/>
        <stp>##V3_BDHV12</stp>
        <stp>CHF3Y BGN Curncy</stp>
        <stp>PX_LAST</stp>
        <stp>12/4/2018</stp>
        <stp>12/4/2018</stp>
        <stp>[Live Pricing.xlsm]FXFR!R124C4</stp>
        <tr r="D124" s="46"/>
      </tp>
      <tp t="e">
        <v>#N/A</v>
        <stp/>
        <stp>##V3_BDPV12</stp>
        <stp>EDU9 Comdty</stp>
        <stp>PX_LAST</stp>
        <stp>[Live Pricing.xlsm]FX_Curve_Upload!R10C4</stp>
        <tr r="D10" s="42"/>
      </tp>
      <tp t="e">
        <v>#N/A</v>
        <stp/>
        <stp>##V3_BDPV12</stp>
        <stp>YEZ9 Comdty</stp>
        <stp>PX_LAST</stp>
        <stp>[Live Pricing.xlsm]FX_Curve_Upload!R61C4</stp>
        <tr r="D61" s="42"/>
      </tp>
      <tp t="e">
        <v>#N/A</v>
        <stp/>
        <stp>##V3_BDHV12</stp>
        <stp>CAD6Y BGN Curncy</stp>
        <stp>PX_LAST</stp>
        <stp>12/4/2018</stp>
        <stp>12/4/2018</stp>
        <stp>[Live Pricing.xlsm]FXFR!R105C4</stp>
        <tr r="D105" s="46"/>
      </tp>
      <tp t="e">
        <v>#N/A</v>
        <stp/>
        <stp>##V3_BDHV12</stp>
        <stp>CHF4Y BGN Curncy</stp>
        <stp>PX_LAST</stp>
        <stp>12/4/2018</stp>
        <stp>12/4/2018</stp>
        <stp>[Live Pricing.xlsm]FXFR!R125C4</stp>
        <tr r="D125" s="46"/>
      </tp>
      <tp t="e">
        <v>#N/A</v>
        <stp/>
        <stp>##V3_BDPV12</stp>
        <stp>YEH0 Comdty</stp>
        <stp>PX_LAST</stp>
        <stp>[Live Pricing.xlsm]FX_Curve_Upload!R62C4</stp>
        <tr r="D62" s="42"/>
      </tp>
      <tp t="e">
        <v>#N/A</v>
        <stp/>
        <stp>##V3_BDPV12</stp>
        <stp>EDM0 Comdty</stp>
        <stp>PX_LAST</stp>
        <stp>[Live Pricing.xlsm]FX_Curve_Upload!R13C4</stp>
        <tr r="D13" s="42"/>
      </tp>
      <tp t="e">
        <v>#N/A</v>
        <stp/>
        <stp>##V3_BDPV12</stp>
        <stp>ESU9 Comdty</stp>
        <stp>PX_LAST</stp>
        <stp>[Live Pricing.xlsm]FX_Curve_Upload!R110C4</stp>
        <tr r="D110" s="42"/>
      </tp>
      <tp t="e">
        <v>#N/A</v>
        <stp/>
        <stp>##V3_BDHV12</stp>
        <stp>CAD7Y BGN Curncy</stp>
        <stp>PX_LAST</stp>
        <stp>12/4/2018</stp>
        <stp>12/4/2018</stp>
        <stp>[Live Pricing.xlsm]FXFR!R106C4</stp>
        <tr r="D106" s="46"/>
      </tp>
      <tp t="e">
        <v>#N/A</v>
        <stp/>
        <stp>##V3_BDHV12</stp>
        <stp>CHF5Y BGN Curncy</stp>
        <stp>PX_LAST</stp>
        <stp>12/4/2018</stp>
        <stp>12/4/2018</stp>
        <stp>[Live Pricing.xlsm]FXFR!R126C4</stp>
        <tr r="D126" s="46"/>
      </tp>
      <tp t="e">
        <v>#N/A</v>
        <stp/>
        <stp>##V3_BDPV12</stp>
        <stp>EDH0 Comdty</stp>
        <stp>PX_LAST</stp>
        <stp>[Live Pricing.xlsm]FX_Curve_Upload!R12C4</stp>
        <tr r="D12" s="42"/>
      </tp>
      <tp t="e">
        <v>#N/A</v>
        <stp/>
        <stp>##V3_BDPV12</stp>
        <stp>YEM0 Comdty</stp>
        <stp>PX_LAST</stp>
        <stp>[Live Pricing.xlsm]FX_Curve_Upload!R63C4</stp>
        <tr r="D63" s="42"/>
      </tp>
      <tp t="e">
        <v>#N/A</v>
        <stp/>
        <stp>##V3_BDPV12</stp>
        <stp>BAU8 Comdty</stp>
        <stp>PX_LAST</stp>
        <stp>[Live Pricing.xlsm]FX_Curve_Upload!R131C4</stp>
        <tr r="D131" s="42"/>
        <tr r="D131" s="42"/>
      </tp>
      <tp t="e">
        <v>#N/A</v>
        <stp/>
        <stp>##V3_BDHV12</stp>
        <stp>CAD8Y BGN Curncy</stp>
        <stp>PX_LAST</stp>
        <stp>12/4/2018</stp>
        <stp>12/4/2018</stp>
        <stp>[Live Pricing.xlsm]FXFR!R107C4</stp>
        <tr r="D107" s="46"/>
      </tp>
      <tp t="e">
        <v>#N/A</v>
        <stp/>
        <stp>##V3_BDHV12</stp>
        <stp>CHF6Y BGN Curncy</stp>
        <stp>PX_LAST</stp>
        <stp>12/4/2018</stp>
        <stp>12/4/2018</stp>
        <stp>[Live Pricing.xlsm]FXFR!R127C4</stp>
        <tr r="D127" s="46"/>
      </tp>
      <tp t="e">
        <v>#N/A</v>
        <stp/>
        <stp>##V3_BDPV12</stp>
        <stp>ESZ9 Comdty</stp>
        <stp>PX_LAST</stp>
        <stp>[Live Pricing.xlsm]FX_Curve_Upload!R111C4</stp>
        <tr r="D111" s="42"/>
      </tp>
      <tp t="e">
        <v>#N/A</v>
        <stp/>
        <stp>##V3_BDHV12</stp>
        <stp>CAD9Y BGN Curncy</stp>
        <stp>PX_LAST</stp>
        <stp>12/4/2018</stp>
        <stp>12/4/2018</stp>
        <stp>[Live Pricing.xlsm]FXFR!R108C4</stp>
        <tr r="D108" s="46"/>
      </tp>
      <tp t="e">
        <v>#N/A</v>
        <stp/>
        <stp>##V3_BDHV12</stp>
        <stp>CHF7Y BGN Curncy</stp>
        <stp>PX_LAST</stp>
        <stp>12/4/2018</stp>
        <stp>12/4/2018</stp>
        <stp>[Live Pricing.xlsm]FXFR!R128C4</stp>
        <tr r="D128" s="46"/>
      </tp>
      <tp t="e">
        <v>#N/A</v>
        <stp/>
        <stp>##V3_BDHV12</stp>
        <stp>CHF8Y BGN Curncy</stp>
        <stp>PX_LAST</stp>
        <stp>12/4/2018</stp>
        <stp>12/4/2018</stp>
        <stp>[Live Pricing.xlsm]FXFR!R129C4</stp>
        <tr r="D129" s="46"/>
      </tp>
      <tp t="e">
        <v>#N/A</v>
        <stp/>
        <stp>##V3_BDPV12</stp>
        <stp>USDTWD CMPN Curncy</stp>
        <stp>PX_LAST</stp>
        <stp>[Live Pricing.xlsm]FX_Upload!R7C5</stp>
        <tr r="E7" s="44"/>
      </tp>
      <tp t="e">
        <v>#N/A</v>
        <stp/>
        <stp>##V3_BDHV12</stp>
        <stp>CHF1W BGN Curncy</stp>
        <stp>PX_LAST</stp>
        <stp>12/4/2018</stp>
        <stp>12/4/2018</stp>
        <stp>[Live Pricing.xlsm]FXFR!R114C4</stp>
        <tr r="D114" s="46"/>
      </tp>
      <tp t="e">
        <v>#N/A</v>
        <stp/>
        <stp>##V3_BDPV12</stp>
        <stp>BAZ8 Comdty</stp>
        <stp>PX_LAST</stp>
        <stp>[Live Pricing.xlsm]FX_Curve_Upload!R132C4</stp>
        <tr r="D132" s="42"/>
      </tp>
      <tp t="e">
        <v>#N/A</v>
        <stp/>
        <stp>##V3_BDPV12</stp>
        <stp>YEH9 Comdty</stp>
        <stp>PX_LAST</stp>
        <stp>[Live Pricing.xlsm]FX_Curve_Upload!R58C4</stp>
        <tr r="D58" s="42"/>
      </tp>
      <tp t="e">
        <v>#N/A</v>
        <stp/>
        <stp>##V3_BDPV12</stp>
        <stp>BLBS3 Index</stp>
        <stp>PX_LAST</stp>
        <stp>[Live Pricing.xlsm]FX_Curve_Upload!R157C13</stp>
        <stp>B.S. Adjustments</stp>
        <stp>B.S. Adjustments</stp>
        <tr r="M157" s="42"/>
      </tp>
      <tp t="e">
        <v>#N/A</v>
        <stp/>
        <stp>##V3_BDPV12</stp>
        <stp>YEM9 Comdty</stp>
        <stp>PX_LAST</stp>
        <stp>[Live Pricing.xlsm]FX_Curve_Upload!R59C4</stp>
        <tr r="D59" s="42"/>
      </tp>
      <tp t="e">
        <v>#N/A</v>
        <stp/>
        <stp>##V3_BDPV12</stp>
        <stp>ESZ8 Comdty</stp>
        <stp>PX_LAST</stp>
        <stp>[Live Pricing.xlsm]FX_Curve_Upload!R107C4</stp>
        <tr r="D107" s="42"/>
      </tp>
      <tp t="e">
        <v>#N/A</v>
        <stp/>
        <stp>##V3_BDHV12</stp>
        <stp>CHF12M BGN Curncy</stp>
        <stp>PX_LAST</stp>
        <stp>12/4/2018</stp>
        <stp>12/4/2018</stp>
        <stp>[Live Pricing.xlsm]FXFR!R122C4</stp>
        <tr r="D122" s="46"/>
      </tp>
      <tp t="e">
        <v>#N/A</v>
        <stp/>
        <stp>##V3_BDPV12</stp>
        <stp>BAZ9 Comdty</stp>
        <stp>PX_LAST</stp>
        <stp>[Live Pricing.xlsm]FX_Curve_Upload!R136C4</stp>
        <tr r="D136" s="42"/>
      </tp>
      <tp t="e">
        <v>#N/A</v>
        <stp/>
        <stp>##V3_BDPV12</stp>
        <stp>ERH9 Comdty</stp>
        <stp>PX_LAST</stp>
        <stp>[Live Pricing.xlsm]FX_Curve_Upload!R33C4</stp>
        <tr r="D33" s="42"/>
      </tp>
      <tp t="e">
        <v>#N/A</v>
        <stp/>
        <stp>##V3_BDPV12</stp>
        <stp>EDH9 Comdty</stp>
        <stp>PX_LAST</stp>
        <stp>[Live Pricing.xlsm]Rate_Upload!R8C4</stp>
        <tr r="D8" s="39"/>
      </tp>
      <tp t="e">
        <v>#N/A</v>
        <stp/>
        <stp>##V3_BDPV12</stp>
        <stp>ERZ8 Comdty</stp>
        <stp>PX_LAST</stp>
        <stp>[Live Pricing.xlsm]FX_Curve_Upload!R32C4</stp>
        <tr r="D32" s="42"/>
      </tp>
      <tp t="e">
        <v>#N/A</v>
        <stp/>
        <stp>##V3_BDPV12</stp>
        <stp>HASWDI9M Index</stp>
        <stp>PX_LAST</stp>
        <stp>[Live Pricing.xlsm]FX_Curve_Upload!R161C22</stp>
        <tr r="V161" s="42"/>
      </tp>
      <tp t="e">
        <v>#N/A</v>
        <stp/>
        <stp>##V3_BDPV12</stp>
        <stp>EDM9 Comdty</stp>
        <stp>PX_LAST</stp>
        <stp>[Live Pricing.xlsm]Rate_Upload!R9C4</stp>
        <tr r="D9" s="39"/>
      </tp>
      <tp t="e">
        <v>#N/A</v>
        <stp/>
        <stp>##V3_BDHV12</stp>
        <stp>CHF1M BGN Curncy</stp>
        <stp>PX_LAST</stp>
        <stp>12/4/2018</stp>
        <stp>12/4/2018</stp>
        <stp>[Live Pricing.xlsm]FXFR!R115C4</stp>
        <tr r="D115" s="46"/>
      </tp>
      <tp t="e">
        <v>#N/A</v>
        <stp/>
        <stp>##V3_BDPV12</stp>
        <stp>ERU8 Comdty</stp>
        <stp>PX_LAST</stp>
        <stp>[Live Pricing.xlsm]FX_Curve_Upload!R31C4</stp>
        <tr r="D31" s="42"/>
        <tr r="D31" s="42"/>
      </tp>
      <tp t="e">
        <v>#N/A</v>
        <stp/>
        <stp>##V3_BDHV12</stp>
        <stp>CHF2M BGN Curncy</stp>
        <stp>PX_LAST</stp>
        <stp>12/4/2018</stp>
        <stp>12/4/2018</stp>
        <stp>[Live Pricing.xlsm]FXFR!R116C4</stp>
        <tr r="D116" s="46"/>
      </tp>
      <tp t="e">
        <v>#N/A</v>
        <stp/>
        <stp>##V3_BDPV12</stp>
        <stp>SF0002M Index</stp>
        <stp>PX_LAST</stp>
        <stp>[Live Pricing.xlsm]Rate_Upload!R108C2</stp>
        <tr r="B108" s="39"/>
      </tp>
      <tp t="e">
        <v>#N/A</v>
        <stp/>
        <stp>##V3_BDPV12</stp>
        <stp>ESH9 Comdty</stp>
        <stp>PX_LAST</stp>
        <stp>[Live Pricing.xlsm]FX_Curve_Upload!R108C4</stp>
        <tr r="D108" s="42"/>
      </tp>
      <tp t="e">
        <v>#N/A</v>
        <stp/>
        <stp>##V3_BDHV12</stp>
        <stp>CHF3M BGN Curncy</stp>
        <stp>PX_LAST</stp>
        <stp>12/4/2018</stp>
        <stp>12/4/2018</stp>
        <stp>[Live Pricing.xlsm]FXFR!R117C4</stp>
        <tr r="D117" s="46"/>
      </tp>
      <tp t="e">
        <v>#N/A</v>
        <stp/>
        <stp>##V3_BDPV12</stp>
        <stp>SF0003M Index</stp>
        <stp>PX_LAST</stp>
        <stp>[Live Pricing.xlsm]Rate_Upload!R109C2</stp>
        <tr r="B109" s="39"/>
      </tp>
      <tp t="e">
        <v>#N/A</v>
        <stp/>
        <stp>##V3_BDPV12</stp>
        <stp>ERH0 Comdty</stp>
        <stp>PX_LAST</stp>
        <stp>[Live Pricing.xlsm]FX_Curve_Upload!R37C4</stp>
        <tr r="D37" s="42"/>
      </tp>
      <tp t="e">
        <v>#N/A</v>
        <stp/>
        <stp>##V3_BDPV12</stp>
        <stp>USSW4 Index</stp>
        <stp>PX_LAST</stp>
        <stp>[Live Pricing.xlsm]Rate_Upload!R8C6</stp>
        <tr r="F8" s="39"/>
      </tp>
      <tp t="e">
        <v>#N/A</v>
        <stp/>
        <stp>##V3_BDPV12</stp>
        <stp>USSW5 Index</stp>
        <stp>PX_LAST</stp>
        <stp>[Live Pricing.xlsm]Rate_Upload!R9C6</stp>
        <tr r="F9" s="39"/>
      </tp>
      <tp t="e">
        <v>#N/A</v>
        <stp/>
        <stp>##V3_BDHV12</stp>
        <stp>CHF6M BGN Curncy</stp>
        <stp>PX_LAST</stp>
        <stp>12/4/2018</stp>
        <stp>12/4/2018</stp>
        <stp>[Live Pricing.xlsm]FXFR!R120C4</stp>
        <tr r="D120" s="46"/>
      </tp>
      <tp t="e">
        <v>#N/A</v>
        <stp/>
        <stp>##V3_BDPV12</stp>
        <stp>ERZ9 Comdty</stp>
        <stp>PX_LAST</stp>
        <stp>[Live Pricing.xlsm]FX_Curve_Upload!R36C4</stp>
        <tr r="D36" s="42"/>
      </tp>
      <tp t="e">
        <v>#N/A</v>
        <stp/>
        <stp>##V3_BDHV12</stp>
        <stp>CHF9M BGN Curncy</stp>
        <stp>PX_LAST</stp>
        <stp>12/4/2018</stp>
        <stp>12/4/2018</stp>
        <stp>[Live Pricing.xlsm]FXFR!R121C4</stp>
        <tr r="D121" s="46"/>
      </tp>
      <tp t="e">
        <v>#N/A</v>
        <stp/>
        <stp>##V3_BDPV12</stp>
        <stp>JY0003M Index</stp>
        <stp>PX_LAST</stp>
        <stp>[Live Pricing.xlsm]Rate_Upload!R59C2</stp>
        <tr r="B59" s="39"/>
      </tp>
      <tp t="e">
        <v>#N/A</v>
        <stp/>
        <stp>##V3_BDPV12</stp>
        <stp>ERU9 Comdty</stp>
        <stp>PX_LAST</stp>
        <stp>[Live Pricing.xlsm]FX_Curve_Upload!R35C4</stp>
        <tr r="D35" s="42"/>
      </tp>
      <tp t="e">
        <v>#N/A</v>
        <stp/>
        <stp>##V3_BDPV12</stp>
        <stp>BAM0 Comdty</stp>
        <stp>PX_LAST</stp>
        <stp>[Live Pricing.xlsm]FX_Curve_Upload!R138C4</stp>
        <tr r="D138" s="42"/>
      </tp>
      <tp t="e">
        <v>#N/A</v>
        <stp/>
        <stp>##V3_BDPV12</stp>
        <stp>ERM9 Comdty</stp>
        <stp>PX_LAST</stp>
        <stp>[Live Pricing.xlsm]FX_Curve_Upload!R34C4</stp>
        <tr r="D34" s="42"/>
      </tp>
      <tp t="e">
        <v>#N/A</v>
        <stp/>
        <stp>##V3_BDPV12</stp>
        <stp>JY0002M Index</stp>
        <stp>PX_LAST</stp>
        <stp>[Live Pricing.xlsm]Rate_Upload!R58C2</stp>
        <tr r="B58" s="39"/>
      </tp>
      <tp t="e">
        <v>#N/A</v>
        <stp/>
        <stp>##V3_BDPV12</stp>
        <stp>ESM9 Comdty</stp>
        <stp>PX_LAST</stp>
        <stp>[Live Pricing.xlsm]FX_Curve_Upload!R109C4</stp>
        <tr r="D109" s="42"/>
      </tp>
      <tp t="e">
        <v>#N/A</v>
        <stp/>
        <stp>##V3_BDHV12</stp>
        <stp>CHF10Y BGN Curncy</stp>
        <stp>PX_LAST</stp>
        <stp>12/4/2018</stp>
        <stp>12/4/2018</stp>
        <stp>[Live Pricing.xlsm]FXFR!R131C4</stp>
        <tr r="D131" s="46"/>
      </tp>
      <tp t="e">
        <v>#N/A</v>
        <stp/>
        <stp>##V3_BDPV12</stp>
        <stp>JY0001M Index</stp>
        <stp>PX_LAST</stp>
        <stp>[Live Pricing.xlsm]Rate_Upload!R57C2</stp>
        <tr r="B57" s="39"/>
      </tp>
      <tp t="e">
        <v>#N/A</v>
        <stp/>
        <stp>##V3_BDPV12</stp>
        <stp>BAH9 Comdty</stp>
        <stp>PX_LAST</stp>
        <stp>[Live Pricing.xlsm]FX_Curve_Upload!R133C4</stp>
        <tr r="D133" s="42"/>
      </tp>
      <tp t="e">
        <v>#N/A</v>
        <stp/>
        <stp>##V3_BDHV12</stp>
        <stp>CAD10Y BGN Curncy</stp>
        <stp>PX_LAST</stp>
        <stp>12/4/2018</stp>
        <stp>12/4/2018</stp>
        <stp>[Live Pricing.xlsm]FXFR!R109C4</stp>
        <tr r="D109" s="46"/>
      </tp>
      <tp t="e">
        <v>#N/A</v>
        <stp/>
        <stp>##V3_BDPV12</stp>
        <stp>BP0012M Index</stp>
        <stp>PX_LAST</stp>
        <stp>[Live Pricing.xlsm]Rate_Upload!R86C2</stp>
        <tr r="B86" s="39"/>
      </tp>
      <tp t="e">
        <v>#N/A</v>
        <stp/>
        <stp>##V3_BDPV12</stp>
        <stp>EUR012m Index</stp>
        <stp>PX_LAST</stp>
        <stp>[Live Pricing.xlsm]Rate_Upload!R36C2</stp>
        <tr r="B36" s="39"/>
      </tp>
      <tp t="e">
        <v>#N/A</v>
        <stp/>
        <stp>##V3_BDPV12</stp>
        <stp>HASWDI1M Index</stp>
        <stp>PX_LAST</stp>
        <stp>[Live Pricing.xlsm]FX_Curve_Upload!R157C22</stp>
        <tr r="V157" s="42"/>
      </tp>
      <tp t="e">
        <v>#N/A</v>
        <stp/>
        <stp>##V3_BDPV12</stp>
        <stp>ESH0 Comdty</stp>
        <stp>PX_LAST</stp>
        <stp>[Live Pricing.xlsm]FX_Curve_Upload!R112C4</stp>
        <tr r="D112" s="42"/>
      </tp>
      <tp t="e">
        <v>#N/A</v>
        <stp/>
        <stp>##V3_BDPV12</stp>
        <stp>JY00S/N Index</stp>
        <stp>PX_LAST</stp>
        <stp>[Live Pricing.xlsm]Rate_Upload!R56C2</stp>
        <tr r="B56" s="39"/>
      </tp>
      <tp t="e">
        <v>#N/A</v>
        <stp/>
        <stp>##V3_BDPV12</stp>
        <stp>BP0006M Index</stp>
        <stp>PX_LAST</stp>
        <stp>[Live Pricing.xlsm]Rate_Upload!R85C2</stp>
        <tr r="B85" s="39"/>
      </tp>
      <tp t="e">
        <v>#N/A</v>
        <stp/>
        <stp>##V3_BDPV12</stp>
        <stp>EUR006m Index</stp>
        <stp>PX_LAST</stp>
        <stp>[Live Pricing.xlsm]Rate_Upload!R35C2</stp>
        <tr r="B35" s="39"/>
      </tp>
      <tp t="e">
        <v>#N/A</v>
        <stp/>
        <stp>##V3_BDPV12</stp>
        <stp>USDKRW CMPN Curncy</stp>
        <stp>PX_LAST</stp>
        <stp>[Live Pricing.xlsm]FX_Upload!R4C5</stp>
        <tr r="E4" s="44"/>
      </tp>
      <tp t="e">
        <v>#N/A</v>
        <stp/>
        <stp>##V3_BDPV12</stp>
        <stp>BAM9 Comdty</stp>
        <stp>PX_LAST</stp>
        <stp>[Live Pricing.xlsm]FX_Curve_Upload!R134C4</stp>
        <tr r="D134" s="42"/>
      </tp>
      <tp t="e">
        <v>#N/A</v>
        <stp/>
        <stp>##V3_BDPV12</stp>
        <stp>SF0006M Index</stp>
        <stp>PX_LAST</stp>
        <stp>[Live Pricing.xlsm]Rate_Upload!R110C2</stp>
        <tr r="B110" s="39"/>
      </tp>
      <tp t="e">
        <v>#N/A</v>
        <stp/>
        <stp>##V3_BDPV12</stp>
        <stp>SF0012M Index</stp>
        <stp>PX_LAST</stp>
        <stp>[Live Pricing.xlsm]Rate_Upload!R111C2</stp>
        <tr r="B111" s="39"/>
      </tp>
      <tp t="e">
        <v>#N/A</v>
        <stp/>
        <stp>##V3_BDPV12</stp>
        <stp>ERM0 Comdty</stp>
        <stp>PX_LAST</stp>
        <stp>[Live Pricing.xlsm]FX_Curve_Upload!R38C4</stp>
        <tr r="D38" s="42"/>
      </tp>
      <tp t="e">
        <v>#N/A</v>
        <stp/>
        <stp>##V3_BDPV12</stp>
        <stp>BP0003M Index</stp>
        <stp>PX_LAST</stp>
        <stp>[Live Pricing.xlsm]Rate_Upload!R84C2</stp>
        <tr r="B84" s="39"/>
      </tp>
      <tp t="e">
        <v>#N/A</v>
        <stp/>
        <stp>##V3_BDPV12</stp>
        <stp>EUR003m Index</stp>
        <stp>PX_LAST</stp>
        <stp>[Live Pricing.xlsm]Rate_Upload!R34C2</stp>
        <tr r="B34" s="39"/>
      </tp>
      <tp t="e">
        <v>#N/A</v>
        <stp/>
        <stp>##V3_BDPV12</stp>
        <stp>HASWDI3M Index</stp>
        <stp>PX_LAST</stp>
        <stp>[Live Pricing.xlsm]FX_Curve_Upload!R159C22</stp>
        <tr r="V159" s="42"/>
      </tp>
      <tp t="e">
        <v>#N/A</v>
        <stp/>
        <stp>##V3_BDPV12</stp>
        <stp>BP0002M Index</stp>
        <stp>PX_LAST</stp>
        <stp>[Live Pricing.xlsm]Rate_Upload!R83C2</stp>
        <tr r="B83" s="39"/>
      </tp>
      <tp t="e">
        <v>#N/A</v>
        <stp/>
        <stp>##V3_BDPV12</stp>
        <stp>EUR002m Index</stp>
        <stp>PX_LAST</stp>
        <stp>[Live Pricing.xlsm]Rate_Upload!R33C2</stp>
        <tr r="B33" s="39"/>
        <tr r="B33" s="39"/>
      </tp>
      <tp t="e">
        <v>#N/A</v>
        <stp/>
        <stp>##V3_BDPV12</stp>
        <stp>USSW2 Index</stp>
        <stp>PX_LAST</stp>
        <stp>[Live Pricing.xlsm]Rate_Upload!R6C6</stp>
        <tr r="F6" s="39"/>
      </tp>
      <tp t="e">
        <v>#N/A</v>
        <stp/>
        <stp>##V3_BDPV12</stp>
        <stp>USSW3 Index</stp>
        <stp>PX_LAST</stp>
        <stp>[Live Pricing.xlsm]Rate_Upload!R7C6</stp>
        <tr r="F7" s="39"/>
      </tp>
      <tp t="e">
        <v>#N/A</v>
        <stp/>
        <stp>##V3_BDPV12</stp>
        <stp>BAH0 Comdty</stp>
        <stp>PX_LAST</stp>
        <stp>[Live Pricing.xlsm]FX_Curve_Upload!R137C4</stp>
        <tr r="D137" s="42"/>
      </tp>
      <tp t="e">
        <v>#N/A</v>
        <stp/>
        <stp>##V3_BDPV12</stp>
        <stp>EUSWEC Curncy</stp>
        <stp>PX_LAST</stp>
        <stp>[Live Pricing.xlsm]Rate_Upload!R31C2</stp>
        <tr r="B31" s="39"/>
      </tp>
      <tp t="e">
        <v>#N/A</v>
        <stp/>
        <stp>##V3_BDHV12</stp>
        <stp>CHF4M BGN Curncy</stp>
        <stp>PX_LAST</stp>
        <stp>12/4/2018</stp>
        <stp>12/4/2018</stp>
        <stp>[Live Pricing.xlsm]FXFR!R118C4</stp>
        <tr r="D118" s="46"/>
      </tp>
      <tp t="e">
        <v>#N/A</v>
        <stp/>
        <stp>##V3_BDPV12</stp>
        <stp>BP0001M Index</stp>
        <stp>PX_LAST</stp>
        <stp>[Live Pricing.xlsm]Rate_Upload!R82C2</stp>
        <tr r="B82" s="39"/>
      </tp>
      <tp t="e">
        <v>#N/A</v>
        <stp/>
        <stp>##V3_BDPV12</stp>
        <stp>EUR001m Index</stp>
        <stp>PX_LAST</stp>
        <stp>[Live Pricing.xlsm]Rate_Upload!R32C2</stp>
        <tr r="B32" s="39"/>
      </tp>
      <tp t="e">
        <v>#N/A</v>
        <stp/>
        <stp>##V3_BDPV12</stp>
        <stp>ESM0 Comdty</stp>
        <stp>PX_LAST</stp>
        <stp>[Live Pricing.xlsm]FX_Curve_Upload!R113C4</stp>
        <tr r="D113" s="42"/>
      </tp>
      <tp t="e">
        <v>#N/A</v>
        <stp/>
        <stp>##V3_BDHV12</stp>
        <stp>CHF5M BGN Curncy</stp>
        <stp>PX_LAST</stp>
        <stp>12/4/2018</stp>
        <stp>12/4/2018</stp>
        <stp>[Live Pricing.xlsm]FXFR!R119C4</stp>
        <tr r="D119" s="46"/>
      </tp>
      <tp t="e">
        <v>#N/A</v>
        <stp/>
        <stp>##V3_BDPV12</stp>
        <stp>SF0001M Index</stp>
        <stp>PX_LAST</stp>
        <stp>[Live Pricing.xlsm]Rate_Upload!R107C2</stp>
        <tr r="B107" s="39"/>
      </tp>
      <tp t="e">
        <v>#N/A</v>
        <stp/>
        <stp>##V3_BDPV12</stp>
        <stp>US0012m Index</stp>
        <stp>PX_LAST</stp>
        <stp>[Live Pricing.xlsm]Rate_Upload!R11C2</stp>
        <tr r="B11" s="39"/>
      </tp>
      <tp t="e">
        <v>#N/A</v>
        <stp/>
        <stp>##V3_BDPV12</stp>
        <stp>JY0012M Index</stp>
        <stp>PX_LAST</stp>
        <stp>[Live Pricing.xlsm]Rate_Upload!R61C2</stp>
        <tr r="B61" s="39"/>
      </tp>
      <tp t="e">
        <v>#N/A</v>
        <stp/>
        <stp>##V3_BDPV12</stp>
        <stp>HASWDI6M Index</stp>
        <stp>PX_LAST</stp>
        <stp>[Live Pricing.xlsm]FX_Curve_Upload!R160C22</stp>
        <tr r="V160" s="42"/>
      </tp>
      <tp t="e">
        <v>#N/A</v>
        <stp/>
        <stp>##V3_BDPV12</stp>
        <stp>EDU8 Comdty</stp>
        <stp>PX_LAST</stp>
        <stp>[Live Pricing.xlsm]Rate_Upload!R6C4</stp>
        <tr r="D6" s="39"/>
        <tr r="D6" s="39"/>
      </tp>
      <tp t="e">
        <v>#N/A</v>
        <stp/>
        <stp>##V3_BDPV12</stp>
        <stp>BP00O/N Index</stp>
        <stp>PX_LAST</stp>
        <stp>[Live Pricing.xlsm]Rate_Upload!R81C2</stp>
        <tr r="B81" s="39"/>
      </tp>
      <tp t="e">
        <v>#N/A</v>
        <stp/>
        <stp>##V3_BDPV12</stp>
        <stp>US0006m Index</stp>
        <stp>PX_LAST</stp>
        <stp>[Live Pricing.xlsm]Rate_Upload!R10C2</stp>
        <tr r="B10" s="39"/>
      </tp>
      <tp t="e">
        <v>#N/A</v>
        <stp/>
        <stp>##V3_BDPV12</stp>
        <stp>JY0006M Index</stp>
        <stp>PX_LAST</stp>
        <stp>[Live Pricing.xlsm]Rate_Upload!R60C2</stp>
        <tr r="B60" s="39"/>
      </tp>
      <tp t="e">
        <v>#N/A</v>
        <stp/>
        <stp>##V3_BDPV12</stp>
        <stp>EDZ8 Comdty</stp>
        <stp>PX_LAST</stp>
        <stp>[Live Pricing.xlsm]Rate_Upload!R7C4</stp>
        <tr r="D7" s="3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0</xdr:rowOff>
    </xdr:from>
    <xdr:to>
      <xdr:col>0</xdr:col>
      <xdr:colOff>704850</xdr:colOff>
      <xdr:row>1</xdr:row>
      <xdr:rowOff>0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0"/>
          <a:ext cx="676276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0</xdr:row>
          <xdr:rowOff>304800</xdr:rowOff>
        </xdr:from>
        <xdr:to>
          <xdr:col>11</xdr:col>
          <xdr:colOff>523875</xdr:colOff>
          <xdr:row>2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4C105-1FBD-441A-9673-6DCEDF2F6984}">
  <sheetPr codeName="Sheet2">
    <tabColor rgb="FFFFC000"/>
  </sheetPr>
  <dimension ref="A1:O12"/>
  <sheetViews>
    <sheetView showGridLines="0" workbookViewId="0">
      <selection activeCell="D51" sqref="D51"/>
    </sheetView>
  </sheetViews>
  <sheetFormatPr defaultRowHeight="15" x14ac:dyDescent="0.25"/>
  <cols>
    <col min="1" max="1" width="17.5703125" customWidth="1"/>
    <col min="2" max="2" width="16.28515625" customWidth="1"/>
    <col min="3" max="3" width="11" customWidth="1"/>
    <col min="4" max="4" width="11.85546875" customWidth="1"/>
    <col min="5" max="5" width="10.85546875" customWidth="1"/>
  </cols>
  <sheetData>
    <row r="1" spans="1:15" s="3" customFormat="1" ht="32.25" customHeight="1" x14ac:dyDescent="0.25">
      <c r="A1" s="32" t="s">
        <v>504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5" s="3" customFormat="1" ht="28.5" x14ac:dyDescent="0.45">
      <c r="A2" s="33" t="s">
        <v>505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1:15" s="3" customFormat="1" ht="28.5" customHeight="1" x14ac:dyDescent="0.45">
      <c r="A3" s="34" t="s">
        <v>507</v>
      </c>
      <c r="B3" s="3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</row>
    <row r="4" spans="1:15" ht="15.75" x14ac:dyDescent="0.25">
      <c r="A4" s="28" t="s">
        <v>506</v>
      </c>
      <c r="B4" s="29">
        <f ca="1">TODAY()</f>
        <v>43439</v>
      </c>
      <c r="C4" s="28"/>
    </row>
    <row r="5" spans="1:15" ht="15.75" x14ac:dyDescent="0.25">
      <c r="A5" s="28" t="s">
        <v>508</v>
      </c>
    </row>
    <row r="6" spans="1:15" ht="15.75" x14ac:dyDescent="0.25">
      <c r="A6" s="30" t="s">
        <v>509</v>
      </c>
      <c r="B6" s="29">
        <f ca="1">Today-1</f>
        <v>43438</v>
      </c>
    </row>
    <row r="7" spans="1:15" ht="15.75" x14ac:dyDescent="0.25">
      <c r="A7" s="30" t="s">
        <v>510</v>
      </c>
      <c r="B7" s="29">
        <f ca="1">Today-1</f>
        <v>43438</v>
      </c>
    </row>
    <row r="8" spans="1:15" ht="15.75" x14ac:dyDescent="0.25">
      <c r="A8" s="30" t="s">
        <v>511</v>
      </c>
      <c r="B8" s="29">
        <f ca="1">Today-1</f>
        <v>43438</v>
      </c>
    </row>
    <row r="11" spans="1:15" ht="21" x14ac:dyDescent="0.35">
      <c r="A11" s="35" t="s">
        <v>512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</row>
    <row r="12" spans="1:15" ht="15.75" x14ac:dyDescent="0.25">
      <c r="A12" s="31" t="s">
        <v>513</v>
      </c>
      <c r="B12" s="31" t="s">
        <v>506</v>
      </c>
      <c r="C12" s="31" t="s">
        <v>229</v>
      </c>
      <c r="D12" s="31" t="s">
        <v>514</v>
      </c>
      <c r="E12" s="31" t="s">
        <v>503</v>
      </c>
    </row>
  </sheetData>
  <mergeCells count="4">
    <mergeCell ref="A1:O1"/>
    <mergeCell ref="A2:O2"/>
    <mergeCell ref="A3:B3"/>
    <mergeCell ref="A11:N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ricing">
                <anchor moveWithCells="1" sizeWithCells="1">
                  <from>
                    <xdr:col>10</xdr:col>
                    <xdr:colOff>161925</xdr:colOff>
                    <xdr:row>0</xdr:row>
                    <xdr:rowOff>304800</xdr:rowOff>
                  </from>
                  <to>
                    <xdr:col>11</xdr:col>
                    <xdr:colOff>523875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2F90F-6A21-4D14-9F35-DAA1DC340DBB}">
  <sheetPr codeName="Sheet1"/>
  <dimension ref="A1:K26"/>
  <sheetViews>
    <sheetView workbookViewId="0">
      <selection activeCell="D27" sqref="D27"/>
    </sheetView>
  </sheetViews>
  <sheetFormatPr defaultRowHeight="15" x14ac:dyDescent="0.25"/>
  <cols>
    <col min="1" max="1" width="20.140625" style="4" customWidth="1"/>
    <col min="2" max="2" width="17.85546875" style="22" customWidth="1"/>
    <col min="3" max="3" width="9.28515625" customWidth="1"/>
    <col min="4" max="4" width="20.140625" style="4" customWidth="1"/>
    <col min="5" max="5" width="17.85546875" style="22" customWidth="1"/>
    <col min="7" max="7" width="20.140625" style="4" customWidth="1"/>
    <col min="8" max="8" width="17.85546875" style="22" customWidth="1"/>
    <col min="10" max="10" width="20.140625" style="4" customWidth="1"/>
    <col min="11" max="11" width="17.85546875" style="22" customWidth="1"/>
  </cols>
  <sheetData>
    <row r="1" spans="1:11" x14ac:dyDescent="0.25">
      <c r="A1" s="4" t="s">
        <v>25</v>
      </c>
      <c r="B1" s="22" t="s">
        <v>484</v>
      </c>
      <c r="D1" s="4" t="s">
        <v>25</v>
      </c>
      <c r="E1" s="22" t="s">
        <v>484</v>
      </c>
      <c r="G1" s="4" t="s">
        <v>25</v>
      </c>
      <c r="H1" s="22" t="s">
        <v>484</v>
      </c>
      <c r="J1" s="4" t="s">
        <v>25</v>
      </c>
      <c r="K1" s="22" t="s">
        <v>484</v>
      </c>
    </row>
    <row r="2" spans="1:11" x14ac:dyDescent="0.25">
      <c r="A2" s="4" t="s">
        <v>485</v>
      </c>
      <c r="B2" s="23" t="s">
        <v>498</v>
      </c>
      <c r="D2" s="4" t="s">
        <v>485</v>
      </c>
      <c r="E2" s="23" t="s">
        <v>500</v>
      </c>
      <c r="G2" s="4" t="s">
        <v>485</v>
      </c>
      <c r="H2" s="23" t="s">
        <v>501</v>
      </c>
      <c r="J2" s="4" t="s">
        <v>485</v>
      </c>
      <c r="K2" s="23" t="s">
        <v>502</v>
      </c>
    </row>
    <row r="3" spans="1:11" x14ac:dyDescent="0.25">
      <c r="A3" s="4" t="s">
        <v>486</v>
      </c>
      <c r="B3" s="22" t="s">
        <v>13</v>
      </c>
      <c r="D3" s="4" t="s">
        <v>486</v>
      </c>
      <c r="E3" s="22" t="s">
        <v>13</v>
      </c>
      <c r="G3" s="4" t="s">
        <v>486</v>
      </c>
      <c r="H3" s="22" t="s">
        <v>13</v>
      </c>
      <c r="J3" s="4" t="s">
        <v>486</v>
      </c>
      <c r="K3" s="22" t="s">
        <v>13</v>
      </c>
    </row>
    <row r="4" spans="1:11" x14ac:dyDescent="0.25">
      <c r="A4" s="4" t="s">
        <v>487</v>
      </c>
      <c r="B4" s="22" t="s">
        <v>13</v>
      </c>
      <c r="D4" s="4" t="s">
        <v>487</v>
      </c>
      <c r="E4" s="22" t="s">
        <v>13</v>
      </c>
      <c r="G4" s="4" t="s">
        <v>487</v>
      </c>
      <c r="H4" s="22" t="s">
        <v>13</v>
      </c>
      <c r="J4" s="4" t="s">
        <v>487</v>
      </c>
      <c r="K4" s="22" t="s">
        <v>13</v>
      </c>
    </row>
    <row r="5" spans="1:11" x14ac:dyDescent="0.25">
      <c r="A5" s="4" t="s">
        <v>488</v>
      </c>
      <c r="B5" s="22" t="s">
        <v>495</v>
      </c>
      <c r="D5" s="4" t="s">
        <v>488</v>
      </c>
      <c r="E5" s="22" t="s">
        <v>495</v>
      </c>
      <c r="G5" s="4" t="s">
        <v>488</v>
      </c>
      <c r="H5" s="22" t="s">
        <v>495</v>
      </c>
      <c r="J5" s="4" t="s">
        <v>488</v>
      </c>
      <c r="K5" s="22" t="s">
        <v>495</v>
      </c>
    </row>
    <row r="6" spans="1:11" x14ac:dyDescent="0.25">
      <c r="A6" s="4" t="s">
        <v>489</v>
      </c>
      <c r="B6" s="22" t="s">
        <v>499</v>
      </c>
      <c r="D6" s="4" t="s">
        <v>489</v>
      </c>
      <c r="E6" s="22" t="s">
        <v>499</v>
      </c>
      <c r="G6" s="4" t="s">
        <v>489</v>
      </c>
      <c r="H6" s="22" t="s">
        <v>499</v>
      </c>
      <c r="J6" s="4" t="s">
        <v>489</v>
      </c>
      <c r="K6" s="22" t="s">
        <v>499</v>
      </c>
    </row>
    <row r="7" spans="1:11" x14ac:dyDescent="0.25">
      <c r="A7" s="4" t="s">
        <v>490</v>
      </c>
      <c r="B7" s="22" t="s">
        <v>496</v>
      </c>
      <c r="D7" s="4" t="s">
        <v>490</v>
      </c>
      <c r="E7" s="22" t="s">
        <v>496</v>
      </c>
      <c r="G7" s="4" t="s">
        <v>490</v>
      </c>
      <c r="H7" s="22" t="s">
        <v>496</v>
      </c>
      <c r="J7" s="4" t="s">
        <v>490</v>
      </c>
      <c r="K7" s="22" t="s">
        <v>496</v>
      </c>
    </row>
    <row r="8" spans="1:11" x14ac:dyDescent="0.25">
      <c r="A8" s="4" t="s">
        <v>491</v>
      </c>
      <c r="B8" s="22" t="s">
        <v>497</v>
      </c>
      <c r="D8" s="4" t="s">
        <v>491</v>
      </c>
      <c r="E8" s="22" t="s">
        <v>497</v>
      </c>
      <c r="G8" s="4" t="s">
        <v>491</v>
      </c>
      <c r="H8" s="22" t="s">
        <v>497</v>
      </c>
      <c r="J8" s="4" t="s">
        <v>491</v>
      </c>
      <c r="K8" s="22" t="s">
        <v>497</v>
      </c>
    </row>
    <row r="9" spans="1:11" x14ac:dyDescent="0.25">
      <c r="A9" s="4" t="s">
        <v>492</v>
      </c>
      <c r="B9" s="22" t="s">
        <v>230</v>
      </c>
      <c r="D9" s="4" t="s">
        <v>492</v>
      </c>
      <c r="E9" s="22" t="s">
        <v>230</v>
      </c>
      <c r="G9" s="4" t="s">
        <v>492</v>
      </c>
      <c r="H9" s="22" t="s">
        <v>230</v>
      </c>
      <c r="J9" s="4" t="s">
        <v>492</v>
      </c>
      <c r="K9" s="22" t="s">
        <v>230</v>
      </c>
    </row>
    <row r="11" spans="1:11" x14ac:dyDescent="0.25">
      <c r="A11" s="16" t="s">
        <v>493</v>
      </c>
      <c r="B11" s="16" t="s">
        <v>494</v>
      </c>
      <c r="D11" s="16" t="s">
        <v>493</v>
      </c>
      <c r="E11" s="16" t="s">
        <v>494</v>
      </c>
      <c r="G11" s="16" t="s">
        <v>493</v>
      </c>
      <c r="H11" s="16" t="s">
        <v>494</v>
      </c>
      <c r="J11" s="16" t="s">
        <v>493</v>
      </c>
      <c r="K11" s="16" t="s">
        <v>494</v>
      </c>
    </row>
    <row r="12" spans="1:11" x14ac:dyDescent="0.25">
      <c r="A12" s="24">
        <v>43465</v>
      </c>
      <c r="B12" s="22">
        <v>49900000</v>
      </c>
      <c r="D12" s="24">
        <v>43465</v>
      </c>
      <c r="E12" s="22">
        <v>49900000</v>
      </c>
      <c r="G12" s="24">
        <v>43465</v>
      </c>
      <c r="H12" s="22">
        <v>49900000</v>
      </c>
      <c r="J12" s="24">
        <v>43465</v>
      </c>
      <c r="K12" s="22">
        <v>49900000</v>
      </c>
    </row>
    <row r="13" spans="1:11" x14ac:dyDescent="0.25">
      <c r="A13" s="24">
        <v>43646</v>
      </c>
      <c r="B13" s="25">
        <v>46441629.661865525</v>
      </c>
      <c r="D13" s="24">
        <v>43646</v>
      </c>
      <c r="E13" s="25">
        <v>46441629.661865525</v>
      </c>
      <c r="G13" s="24">
        <v>43646</v>
      </c>
      <c r="H13" s="25">
        <v>46441629.661865525</v>
      </c>
      <c r="J13" s="24">
        <v>43646</v>
      </c>
      <c r="K13" s="25">
        <v>46441629.661865525</v>
      </c>
    </row>
    <row r="14" spans="1:11" x14ac:dyDescent="0.25">
      <c r="A14" s="24">
        <v>43830</v>
      </c>
      <c r="B14" s="25">
        <v>42999124.538467027</v>
      </c>
      <c r="D14" s="24">
        <v>43830</v>
      </c>
      <c r="E14" s="25">
        <v>42999124.538467027</v>
      </c>
      <c r="G14" s="24">
        <v>43830</v>
      </c>
      <c r="H14" s="25">
        <v>42999124.538467027</v>
      </c>
      <c r="J14" s="24">
        <v>43830</v>
      </c>
      <c r="K14" s="25">
        <v>42999124.538467027</v>
      </c>
    </row>
    <row r="15" spans="1:11" x14ac:dyDescent="0.25">
      <c r="A15" s="24">
        <v>44012</v>
      </c>
      <c r="B15" s="25">
        <v>39239899.176705301</v>
      </c>
      <c r="D15" s="24">
        <v>44012</v>
      </c>
      <c r="E15" s="25">
        <v>39239899.176705301</v>
      </c>
      <c r="G15" s="24">
        <v>44012</v>
      </c>
      <c r="H15" s="25">
        <v>39239899.176705301</v>
      </c>
      <c r="J15" s="24">
        <v>44012</v>
      </c>
      <c r="K15" s="25">
        <v>39239899.176705301</v>
      </c>
    </row>
    <row r="16" spans="1:11" x14ac:dyDescent="0.25">
      <c r="A16" s="24">
        <v>44196</v>
      </c>
      <c r="B16" s="25">
        <v>35498107.503724754</v>
      </c>
      <c r="D16" s="24">
        <v>44196</v>
      </c>
      <c r="E16" s="25">
        <v>35498107.503724754</v>
      </c>
      <c r="G16" s="24">
        <v>44196</v>
      </c>
      <c r="H16" s="25">
        <v>35498107.503724754</v>
      </c>
      <c r="J16" s="24">
        <v>44196</v>
      </c>
      <c r="K16" s="25">
        <v>35498107.503724754</v>
      </c>
    </row>
    <row r="17" spans="1:11" x14ac:dyDescent="0.25">
      <c r="A17" s="24">
        <v>44377</v>
      </c>
      <c r="B17" s="26">
        <v>31721059.047164425</v>
      </c>
      <c r="D17" s="24">
        <v>44377</v>
      </c>
      <c r="E17" s="26">
        <v>31721059.047164425</v>
      </c>
      <c r="G17" s="24">
        <v>44377</v>
      </c>
      <c r="H17" s="26">
        <v>31721059.047164425</v>
      </c>
      <c r="J17" s="24">
        <v>44377</v>
      </c>
      <c r="K17" s="26">
        <v>31721059.047164425</v>
      </c>
    </row>
    <row r="18" spans="1:11" x14ac:dyDescent="0.25">
      <c r="A18" s="24">
        <v>44561</v>
      </c>
      <c r="B18" s="26">
        <v>27966386.943713039</v>
      </c>
      <c r="D18" s="24">
        <v>44561</v>
      </c>
      <c r="E18" s="26">
        <v>27966386.943713039</v>
      </c>
      <c r="G18" s="24">
        <v>44561</v>
      </c>
      <c r="H18" s="26">
        <v>27966386.943713039</v>
      </c>
      <c r="J18" s="24">
        <v>44561</v>
      </c>
      <c r="K18" s="26">
        <v>27966386.943713039</v>
      </c>
    </row>
    <row r="19" spans="1:11" x14ac:dyDescent="0.25">
      <c r="A19" s="24">
        <v>44742</v>
      </c>
      <c r="B19" s="26">
        <v>24171460.166542199</v>
      </c>
      <c r="D19" s="24">
        <v>44742</v>
      </c>
      <c r="E19" s="26">
        <v>24171460.166542199</v>
      </c>
      <c r="G19" s="24">
        <v>44742</v>
      </c>
      <c r="H19" s="26">
        <v>24171460.166542199</v>
      </c>
      <c r="J19" s="24">
        <v>44742</v>
      </c>
      <c r="K19" s="26">
        <v>24171460.166542199</v>
      </c>
    </row>
    <row r="20" spans="1:11" x14ac:dyDescent="0.25">
      <c r="A20" s="24">
        <v>44926</v>
      </c>
      <c r="B20" s="25">
        <v>20405367.371120051</v>
      </c>
      <c r="D20" s="24">
        <v>44926</v>
      </c>
      <c r="E20" s="25">
        <v>20405367.371120051</v>
      </c>
      <c r="G20" s="24">
        <v>44926</v>
      </c>
      <c r="H20" s="25">
        <v>20405367.371120051</v>
      </c>
      <c r="J20" s="24">
        <v>44926</v>
      </c>
      <c r="K20" s="25">
        <v>20405367.371120051</v>
      </c>
    </row>
    <row r="21" spans="1:11" x14ac:dyDescent="0.25">
      <c r="A21" s="24">
        <v>45107</v>
      </c>
      <c r="B21" s="25">
        <v>16595025.818444904</v>
      </c>
      <c r="D21" s="24">
        <v>45107</v>
      </c>
      <c r="E21" s="25">
        <v>16595025.818444904</v>
      </c>
      <c r="G21" s="24">
        <v>45107</v>
      </c>
      <c r="H21" s="25">
        <v>16595025.818444904</v>
      </c>
      <c r="J21" s="24">
        <v>45107</v>
      </c>
      <c r="K21" s="25">
        <v>16595025.818444904</v>
      </c>
    </row>
    <row r="22" spans="1:11" x14ac:dyDescent="0.25">
      <c r="A22" s="24">
        <v>45291</v>
      </c>
      <c r="B22" s="25">
        <v>12809200.415864158</v>
      </c>
      <c r="D22" s="24">
        <v>45291</v>
      </c>
      <c r="E22" s="25">
        <v>12809200.415864158</v>
      </c>
      <c r="G22" s="24">
        <v>45291</v>
      </c>
      <c r="H22" s="25">
        <v>12809200.415864158</v>
      </c>
      <c r="J22" s="24">
        <v>45291</v>
      </c>
      <c r="K22" s="25">
        <v>12809200.415864158</v>
      </c>
    </row>
    <row r="23" spans="1:11" x14ac:dyDescent="0.25">
      <c r="A23" s="24">
        <v>45473</v>
      </c>
      <c r="B23" s="25">
        <v>8971482.8636924401</v>
      </c>
      <c r="D23" s="24">
        <v>45473</v>
      </c>
      <c r="E23" s="25">
        <v>8971482.8636924401</v>
      </c>
      <c r="G23" s="24">
        <v>45473</v>
      </c>
      <c r="H23" s="25">
        <v>8971482.8636924401</v>
      </c>
      <c r="J23" s="24">
        <v>45473</v>
      </c>
      <c r="K23" s="25">
        <v>8971482.8636924401</v>
      </c>
    </row>
    <row r="24" spans="1:11" x14ac:dyDescent="0.25">
      <c r="A24" s="24">
        <v>45657</v>
      </c>
      <c r="B24" s="25">
        <v>5153240.4000036316</v>
      </c>
      <c r="D24" s="24">
        <v>45657</v>
      </c>
      <c r="E24" s="25">
        <v>5153240.4000036316</v>
      </c>
      <c r="G24" s="24">
        <v>45657</v>
      </c>
      <c r="H24" s="25">
        <v>5153240.4000036316</v>
      </c>
      <c r="J24" s="24">
        <v>45657</v>
      </c>
      <c r="K24" s="25">
        <v>5153240.4000036316</v>
      </c>
    </row>
    <row r="25" spans="1:11" x14ac:dyDescent="0.25">
      <c r="A25" s="24">
        <v>45838</v>
      </c>
      <c r="B25" s="25">
        <v>1277373.7610629511</v>
      </c>
      <c r="D25" s="24">
        <v>45838</v>
      </c>
      <c r="E25" s="25">
        <v>1277373.7610629511</v>
      </c>
      <c r="G25" s="24">
        <v>45838</v>
      </c>
      <c r="H25" s="25">
        <v>1277373.7610629511</v>
      </c>
      <c r="J25" s="24">
        <v>45838</v>
      </c>
      <c r="K25" s="25">
        <v>1277373.7610629511</v>
      </c>
    </row>
    <row r="26" spans="1:11" x14ac:dyDescent="0.25">
      <c r="A26" s="24">
        <v>45930</v>
      </c>
      <c r="B26" s="22">
        <v>0</v>
      </c>
      <c r="D26" s="24">
        <v>45930</v>
      </c>
      <c r="E26" s="22">
        <v>0</v>
      </c>
      <c r="G26" s="24">
        <v>45930</v>
      </c>
      <c r="H26" s="22">
        <v>0</v>
      </c>
      <c r="J26" s="24">
        <v>45930</v>
      </c>
      <c r="K26" s="2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E506E-78DC-4CD4-A6C0-2353E7DABEC5}">
  <sheetPr codeName="Sheet37"/>
  <dimension ref="A1:E17"/>
  <sheetViews>
    <sheetView workbookViewId="0">
      <selection activeCell="H10" sqref="H10"/>
    </sheetView>
  </sheetViews>
  <sheetFormatPr defaultColWidth="6.85546875" defaultRowHeight="15" x14ac:dyDescent="0.25"/>
  <cols>
    <col min="1" max="2" width="6.85546875" style="16"/>
    <col min="3" max="3" width="11.7109375" style="16" customWidth="1"/>
    <col min="4" max="4" width="23.42578125" style="16" customWidth="1"/>
    <col min="5" max="5" width="11.7109375" style="16" customWidth="1"/>
    <col min="6" max="16384" width="6.85546875" style="16"/>
  </cols>
  <sheetData>
    <row r="1" spans="1:5" x14ac:dyDescent="0.25">
      <c r="A1" s="13" t="s">
        <v>7</v>
      </c>
      <c r="B1" s="13" t="s">
        <v>8</v>
      </c>
      <c r="C1" s="14" t="s">
        <v>9</v>
      </c>
      <c r="D1" s="14" t="s">
        <v>10</v>
      </c>
      <c r="E1" s="14" t="s">
        <v>11</v>
      </c>
    </row>
    <row r="2" spans="1:5" x14ac:dyDescent="0.25">
      <c r="A2" s="13" t="s">
        <v>12</v>
      </c>
      <c r="B2" s="13" t="s">
        <v>13</v>
      </c>
      <c r="C2" s="14" t="str">
        <f>""&amp;A2&amp;B2</f>
        <v>USDEUR</v>
      </c>
      <c r="D2" s="14" t="str">
        <f>""&amp;C2&amp;" Curncy"</f>
        <v>USDEUR Curncy</v>
      </c>
      <c r="E2" s="17">
        <f ca="1">_xll.BDP($D2, "PX_LAST")</f>
        <v>0.88300000000000001</v>
      </c>
    </row>
    <row r="3" spans="1:5" x14ac:dyDescent="0.25">
      <c r="A3" s="13" t="str">
        <f t="shared" ref="A3:A8" si="0">A2</f>
        <v>USD</v>
      </c>
      <c r="B3" s="13" t="s">
        <v>14</v>
      </c>
      <c r="C3" s="14" t="str">
        <f t="shared" ref="C3:C10" si="1">""&amp;A3&amp;B3</f>
        <v>USDGBP</v>
      </c>
      <c r="D3" s="14" t="str">
        <f t="shared" ref="D3:D10" si="2">""&amp;C3&amp;" Curncy"</f>
        <v>USDGBP Curncy</v>
      </c>
      <c r="E3" s="17">
        <f ca="1">_xll.BDP($D3, "PX_LAST")</f>
        <v>0.78620000000000001</v>
      </c>
    </row>
    <row r="4" spans="1:5" x14ac:dyDescent="0.25">
      <c r="A4" s="13" t="str">
        <f t="shared" si="0"/>
        <v>USD</v>
      </c>
      <c r="B4" s="13" t="s">
        <v>15</v>
      </c>
      <c r="C4" s="14" t="str">
        <f t="shared" si="1"/>
        <v>USDKRW</v>
      </c>
      <c r="D4" s="14" t="str">
        <f>""&amp;C4&amp;" CMPN Curncy"</f>
        <v>USDKRW CMPN Curncy</v>
      </c>
      <c r="E4" s="17">
        <f ca="1">_xll.BDP($D4, "PX_LAST")</f>
        <v>1113.79</v>
      </c>
    </row>
    <row r="5" spans="1:5" x14ac:dyDescent="0.25">
      <c r="A5" s="13" t="str">
        <f t="shared" si="0"/>
        <v>USD</v>
      </c>
      <c r="B5" s="13" t="s">
        <v>16</v>
      </c>
      <c r="C5" s="14" t="str">
        <f t="shared" si="1"/>
        <v>USDNOK</v>
      </c>
      <c r="D5" s="14" t="str">
        <f t="shared" si="2"/>
        <v>USDNOK Curncy</v>
      </c>
      <c r="E5" s="17">
        <f ca="1">_xll.BDP($D5, "PX_LAST")</f>
        <v>8.5174000000000003</v>
      </c>
    </row>
    <row r="6" spans="1:5" x14ac:dyDescent="0.25">
      <c r="A6" s="13" t="str">
        <f t="shared" si="0"/>
        <v>USD</v>
      </c>
      <c r="B6" s="13" t="s">
        <v>17</v>
      </c>
      <c r="C6" s="14" t="str">
        <f t="shared" si="1"/>
        <v>USDSEK</v>
      </c>
      <c r="D6" s="14" t="str">
        <f t="shared" si="2"/>
        <v>USDSEK Curncy</v>
      </c>
      <c r="E6" s="17">
        <f ca="1">_xll.BDP($D6, "PX_LAST")</f>
        <v>8.9878</v>
      </c>
    </row>
    <row r="7" spans="1:5" x14ac:dyDescent="0.25">
      <c r="A7" s="13" t="str">
        <f t="shared" si="0"/>
        <v>USD</v>
      </c>
      <c r="B7" s="13" t="s">
        <v>18</v>
      </c>
      <c r="C7" s="14" t="str">
        <f t="shared" si="1"/>
        <v>USDTWD</v>
      </c>
      <c r="D7" s="14" t="str">
        <f>""&amp;C7&amp;" CMPN Curncy"</f>
        <v>USDTWD CMPN Curncy</v>
      </c>
      <c r="E7" s="17">
        <f ca="1">_xll.BDP($D7, "PX_LAST")</f>
        <v>30.818000000000001</v>
      </c>
    </row>
    <row r="8" spans="1:5" x14ac:dyDescent="0.25">
      <c r="A8" s="13" t="str">
        <f t="shared" si="0"/>
        <v>USD</v>
      </c>
      <c r="B8" s="13" t="s">
        <v>12</v>
      </c>
      <c r="C8" s="14" t="str">
        <f t="shared" si="1"/>
        <v>USDUSD</v>
      </c>
      <c r="D8" s="14" t="str">
        <f t="shared" si="2"/>
        <v>USDUSD Curncy</v>
      </c>
      <c r="E8" s="17">
        <v>1</v>
      </c>
    </row>
    <row r="9" spans="1:5" x14ac:dyDescent="0.25">
      <c r="A9" s="13" t="s">
        <v>12</v>
      </c>
      <c r="B9" s="13" t="s">
        <v>19</v>
      </c>
      <c r="C9" s="14" t="str">
        <f t="shared" si="1"/>
        <v>USDJPY</v>
      </c>
      <c r="D9" s="14" t="str">
        <f t="shared" si="2"/>
        <v>USDJPY Curncy</v>
      </c>
      <c r="E9" s="17">
        <f ca="1">_xll.BDP($D9, "PX_LAST")</f>
        <v>113.14</v>
      </c>
    </row>
    <row r="10" spans="1:5" x14ac:dyDescent="0.25">
      <c r="A10" s="13" t="s">
        <v>12</v>
      </c>
      <c r="B10" s="13" t="s">
        <v>20</v>
      </c>
      <c r="C10" s="14" t="str">
        <f t="shared" si="1"/>
        <v>USDNZD</v>
      </c>
      <c r="D10" s="14" t="str">
        <f t="shared" si="2"/>
        <v>USDNZD Curncy</v>
      </c>
      <c r="E10" s="17">
        <f ca="1">_xll.BDP($D10, "PX_LAST")</f>
        <v>1.4472</v>
      </c>
    </row>
    <row r="11" spans="1:5" x14ac:dyDescent="0.25">
      <c r="A11" s="13" t="s">
        <v>12</v>
      </c>
      <c r="B11" s="13" t="s">
        <v>21</v>
      </c>
      <c r="C11" s="14" t="str">
        <f>""&amp;A11&amp;B11</f>
        <v>USDCAD</v>
      </c>
      <c r="D11" s="14" t="str">
        <f>""&amp;C11&amp;" Curncy"</f>
        <v>USDCAD Curncy</v>
      </c>
      <c r="E11" s="17">
        <f ca="1">_xll.BDP($D11, "PX_LAST")</f>
        <v>1.3286</v>
      </c>
    </row>
    <row r="12" spans="1:5" x14ac:dyDescent="0.25">
      <c r="A12" s="13" t="s">
        <v>12</v>
      </c>
      <c r="B12" s="13" t="s">
        <v>22</v>
      </c>
      <c r="C12" s="14" t="str">
        <f>""&amp;A12&amp;B12</f>
        <v>USDAUD</v>
      </c>
      <c r="D12" s="14" t="str">
        <f>""&amp;C12&amp;" Curncy"</f>
        <v>USDAUD Curncy</v>
      </c>
      <c r="E12" s="17">
        <f ca="1">_xll.BDP($D12, "PX_LAST")</f>
        <v>1.3746</v>
      </c>
    </row>
    <row r="13" spans="1:5" x14ac:dyDescent="0.25">
      <c r="A13" s="13" t="s">
        <v>12</v>
      </c>
      <c r="B13" s="13" t="s">
        <v>23</v>
      </c>
      <c r="C13" s="14" t="str">
        <f>""&amp;A13&amp;B13</f>
        <v>USDSAR</v>
      </c>
      <c r="D13" s="14" t="str">
        <f>""&amp;C13&amp;" Curncy"</f>
        <v>USDSAR Curncy</v>
      </c>
      <c r="E13" s="17">
        <f ca="1">_xll.BDP($D13, "PX_LAST")</f>
        <v>3.7515999999999998</v>
      </c>
    </row>
    <row r="14" spans="1:5" x14ac:dyDescent="0.25">
      <c r="A14" s="13" t="s">
        <v>12</v>
      </c>
      <c r="B14" s="15" t="s">
        <v>248</v>
      </c>
      <c r="C14" s="14" t="str">
        <f>""&amp;A14&amp;B14</f>
        <v>USDCHF</v>
      </c>
      <c r="D14" s="14" t="str">
        <f>""&amp;C14&amp;" Curncy"</f>
        <v>USDCHF Curncy</v>
      </c>
      <c r="E14" s="17">
        <f ca="1">_xll.BDP($D14, "PX_LAST")</f>
        <v>0.99980000000000002</v>
      </c>
    </row>
    <row r="15" spans="1:5" x14ac:dyDescent="0.25">
      <c r="A15" s="15" t="s">
        <v>12</v>
      </c>
      <c r="B15" s="15" t="s">
        <v>231</v>
      </c>
      <c r="C15" s="14" t="str">
        <f>""&amp;A15&amp;B15</f>
        <v>USDBRL</v>
      </c>
      <c r="D15" s="14" t="str">
        <f>""&amp;C15&amp;" Curncy"</f>
        <v>USDBRL Curncy</v>
      </c>
      <c r="E15" s="17">
        <f ca="1">_xll.BDP($D15, "PX_LAST")</f>
        <v>3.8824999999999998</v>
      </c>
    </row>
    <row r="16" spans="1:5" x14ac:dyDescent="0.25">
      <c r="A16" s="13"/>
      <c r="B16" s="13"/>
      <c r="C16" s="13"/>
      <c r="D16" s="13"/>
      <c r="E16" s="13"/>
    </row>
    <row r="17" spans="1:5" x14ac:dyDescent="0.25">
      <c r="A17" s="13"/>
      <c r="B17" s="13"/>
      <c r="C17" s="13"/>
      <c r="D17" s="13"/>
      <c r="E17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42AB6-2B76-40A4-9C06-C0C737F1B139}">
  <sheetPr codeName="Sheet32"/>
  <dimension ref="A1:P172"/>
  <sheetViews>
    <sheetView tabSelected="1" workbookViewId="0">
      <selection activeCell="D39" sqref="D39"/>
    </sheetView>
  </sheetViews>
  <sheetFormatPr defaultRowHeight="15" x14ac:dyDescent="0.25"/>
  <cols>
    <col min="3" max="3" width="10.85546875" customWidth="1"/>
    <col min="5" max="5" width="9.5703125" bestFit="1" customWidth="1"/>
    <col min="6" max="6" width="10.85546875" customWidth="1"/>
    <col min="9" max="9" width="11.7109375" customWidth="1"/>
    <col min="11" max="11" width="14.28515625" customWidth="1"/>
  </cols>
  <sheetData>
    <row r="1" spans="1:13" s="3" customFormat="1" x14ac:dyDescent="0.25">
      <c r="A1" s="37" t="s">
        <v>69</v>
      </c>
      <c r="B1" s="37"/>
      <c r="C1" s="10"/>
    </row>
    <row r="2" spans="1:13" s="3" customFormat="1" x14ac:dyDescent="0.25">
      <c r="A2" s="37" t="s">
        <v>70</v>
      </c>
      <c r="B2" s="37"/>
      <c r="C2" s="10"/>
    </row>
    <row r="3" spans="1:13" s="3" customFormat="1" x14ac:dyDescent="0.25">
      <c r="A3" s="37" t="s">
        <v>71</v>
      </c>
      <c r="B3" s="37"/>
      <c r="C3" s="4">
        <v>43438</v>
      </c>
      <c r="E3" s="2"/>
      <c r="F3" s="4"/>
      <c r="I3" s="4"/>
    </row>
    <row r="4" spans="1:13" x14ac:dyDescent="0.25">
      <c r="A4" t="s">
        <v>12</v>
      </c>
      <c r="B4">
        <v>6</v>
      </c>
      <c r="D4">
        <v>8</v>
      </c>
      <c r="F4">
        <v>21</v>
      </c>
      <c r="H4" t="s">
        <v>35</v>
      </c>
    </row>
    <row r="5" spans="1:13" x14ac:dyDescent="0.25">
      <c r="A5" t="s">
        <v>29</v>
      </c>
      <c r="B5" t="s">
        <v>30</v>
      </c>
      <c r="C5" t="s">
        <v>31</v>
      </c>
      <c r="D5" t="s">
        <v>32</v>
      </c>
      <c r="E5" t="s">
        <v>33</v>
      </c>
      <c r="F5" t="s">
        <v>34</v>
      </c>
    </row>
    <row r="6" spans="1:13" x14ac:dyDescent="0.25">
      <c r="A6" s="1">
        <f ca="1">WORKDAY(Swap_Date,1)</f>
        <v>43439</v>
      </c>
      <c r="B6" s="3">
        <f ca="1">_xll.BDP(H6,"PX_LAST")</f>
        <v>2.18188</v>
      </c>
      <c r="C6" s="1">
        <f ca="1">nextimm(Swap_Date)</f>
        <v>43453</v>
      </c>
      <c r="D6">
        <f ca="1">100-IF(_xll.BDP(I6,"PX_LAST")="#N/A N/A",100-B9,_xll.BDP(I6,"PX_LAST"))</f>
        <v>3.2900000000000063</v>
      </c>
      <c r="E6" s="1">
        <f ca="1">EDATE(Swap_Date,24)</f>
        <v>44169</v>
      </c>
      <c r="F6">
        <f ca="1">_xll.BDP(J6,"PX_LAST")</f>
        <v>2.9609999999999999</v>
      </c>
      <c r="H6" t="s">
        <v>36</v>
      </c>
      <c r="I6" t="s">
        <v>42</v>
      </c>
      <c r="J6" t="s">
        <v>50</v>
      </c>
      <c r="M6">
        <v>2.1825000000000001</v>
      </c>
    </row>
    <row r="7" spans="1:13" x14ac:dyDescent="0.25">
      <c r="A7" s="1">
        <f ca="1">EDATE(Swap_Date,1)</f>
        <v>43469</v>
      </c>
      <c r="B7" s="3">
        <f ca="1">_xll.BDP(H7,"PX_LAST")</f>
        <v>2.3788800000000001</v>
      </c>
      <c r="C7" s="1">
        <f ca="1">nextimm(C6+1)</f>
        <v>43544</v>
      </c>
      <c r="D7" s="3">
        <f ca="1">100-_xll.BDP(I7,"PX_LAST")</f>
        <v>2.8024999999999949</v>
      </c>
      <c r="E7" s="1">
        <f ca="1">EDATE(E6,12)</f>
        <v>44534</v>
      </c>
      <c r="F7" s="3">
        <f ca="1">_xll.BDP(J7,"PX_LAST")</f>
        <v>2.9489999999999998</v>
      </c>
      <c r="H7" t="s">
        <v>37</v>
      </c>
      <c r="I7" t="s">
        <v>43</v>
      </c>
      <c r="J7" t="s">
        <v>51</v>
      </c>
      <c r="M7">
        <v>2.34463</v>
      </c>
    </row>
    <row r="8" spans="1:13" x14ac:dyDescent="0.25">
      <c r="A8" s="1">
        <f ca="1">EDATE(Swap_Date,2)</f>
        <v>43500</v>
      </c>
      <c r="B8" s="3">
        <f ca="1">_xll.BDP(H8,"PX_LAST")</f>
        <v>2.5365600000000001</v>
      </c>
      <c r="C8" s="1">
        <f t="shared" ref="C8:C13" ca="1" si="0">nextimm(C7+1)</f>
        <v>43635</v>
      </c>
      <c r="D8" s="3">
        <f ca="1">100-_xll.BDP(I8,"PX_LAST")</f>
        <v>2.855000000000004</v>
      </c>
      <c r="E8" s="1">
        <f t="shared" ref="E8:E21" ca="1" si="1">EDATE(E7,12)</f>
        <v>44899</v>
      </c>
      <c r="F8" s="3">
        <f ca="1">_xll.BDP(J8,"PX_LAST")</f>
        <v>2.9420000000000002</v>
      </c>
      <c r="H8" t="s">
        <v>38</v>
      </c>
      <c r="I8" t="s">
        <v>44</v>
      </c>
      <c r="J8" s="3" t="s">
        <v>52</v>
      </c>
      <c r="M8">
        <v>2.4950000000000001</v>
      </c>
    </row>
    <row r="9" spans="1:13" x14ac:dyDescent="0.25">
      <c r="A9" s="1">
        <f ca="1">EDATE(Swap_Date,3)</f>
        <v>43528</v>
      </c>
      <c r="B9" s="3">
        <f ca="1">_xll.BDP(H9,"PX_LAST")</f>
        <v>2.7512499999999998</v>
      </c>
      <c r="C9" s="1">
        <f t="shared" ca="1" si="0"/>
        <v>43726</v>
      </c>
      <c r="D9" s="3">
        <f ca="1">100-_xll.BDP(I9,"PX_LAST")</f>
        <v>2.9249999999999972</v>
      </c>
      <c r="E9" s="1">
        <f t="shared" ca="1" si="1"/>
        <v>45264</v>
      </c>
      <c r="F9" s="3">
        <f ca="1">_xll.BDP(J9,"PX_LAST")</f>
        <v>2.9226000000000001</v>
      </c>
      <c r="H9" t="s">
        <v>39</v>
      </c>
      <c r="I9" t="s">
        <v>45</v>
      </c>
      <c r="J9" s="3" t="s">
        <v>53</v>
      </c>
      <c r="M9">
        <v>2.7066300000000001</v>
      </c>
    </row>
    <row r="10" spans="1:13" x14ac:dyDescent="0.25">
      <c r="A10" s="1">
        <f ca="1">EDATE(Swap_Date,6)</f>
        <v>43620</v>
      </c>
      <c r="B10" s="3">
        <f ca="1">_xll.BDP(H10,"PX_LAST")</f>
        <v>2.8952499999999999</v>
      </c>
      <c r="C10" s="1">
        <f t="shared" ca="1" si="0"/>
        <v>43817</v>
      </c>
      <c r="D10" s="3">
        <f ca="1">100-_xll.BDP(I10,"PX_LAST")</f>
        <v>2.9749999999999943</v>
      </c>
      <c r="E10" s="1">
        <f t="shared" ca="1" si="1"/>
        <v>45630</v>
      </c>
      <c r="F10" s="3">
        <f ca="1">_xll.BDP(J10,"PX_LAST")</f>
        <v>2.9235000000000002</v>
      </c>
      <c r="H10" t="s">
        <v>40</v>
      </c>
      <c r="I10" t="s">
        <v>46</v>
      </c>
      <c r="J10" s="3" t="s">
        <v>54</v>
      </c>
      <c r="M10">
        <v>2.8866300000000003</v>
      </c>
    </row>
    <row r="11" spans="1:13" x14ac:dyDescent="0.25">
      <c r="A11" s="1">
        <f ca="1">EDATE(Swap_Date,12)</f>
        <v>43803</v>
      </c>
      <c r="B11" s="3">
        <f ca="1">_xll.BDP(H11,"PX_LAST")</f>
        <v>3.1381899999999998</v>
      </c>
      <c r="C11" s="1">
        <f t="shared" ca="1" si="0"/>
        <v>43908</v>
      </c>
      <c r="D11" s="3">
        <f ca="1">100-_xll.BDP(I11,"PX_LAST")</f>
        <v>3.0250000000000057</v>
      </c>
      <c r="E11" s="1">
        <f t="shared" ca="1" si="1"/>
        <v>45995</v>
      </c>
      <c r="F11" s="3">
        <f ca="1">_xll.BDP(J11,"PX_LAST")</f>
        <v>2.9317000000000002</v>
      </c>
      <c r="H11" t="s">
        <v>41</v>
      </c>
      <c r="I11" t="s">
        <v>47</v>
      </c>
      <c r="J11" s="3" t="s">
        <v>55</v>
      </c>
      <c r="M11">
        <v>3.1341299999999999</v>
      </c>
    </row>
    <row r="12" spans="1:13" x14ac:dyDescent="0.25">
      <c r="C12" s="1">
        <f t="shared" ca="1" si="0"/>
        <v>43999</v>
      </c>
      <c r="D12" s="3">
        <f ca="1">100-_xll.BDP(I12,"PX_LAST")</f>
        <v>3</v>
      </c>
      <c r="E12" s="1">
        <f t="shared" ca="1" si="1"/>
        <v>46360</v>
      </c>
      <c r="F12" s="3">
        <f ca="1">_xll.BDP(J12,"PX_LAST")</f>
        <v>2.9430000000000001</v>
      </c>
      <c r="I12" t="s">
        <v>48</v>
      </c>
      <c r="J12" s="3" t="s">
        <v>56</v>
      </c>
    </row>
    <row r="13" spans="1:13" x14ac:dyDescent="0.25">
      <c r="C13" s="1">
        <f t="shared" ca="1" si="0"/>
        <v>44090</v>
      </c>
      <c r="D13" s="3">
        <f ca="1">100-_xll.BDP(I13,"PX_LAST")</f>
        <v>2.9749999999999943</v>
      </c>
      <c r="E13" s="1">
        <f t="shared" ca="1" si="1"/>
        <v>46725</v>
      </c>
      <c r="F13" s="3">
        <f ca="1">_xll.BDP(J13,"PX_LAST")</f>
        <v>2.9592999999999998</v>
      </c>
      <c r="I13" t="s">
        <v>49</v>
      </c>
      <c r="J13" s="3" t="s">
        <v>57</v>
      </c>
    </row>
    <row r="14" spans="1:13" x14ac:dyDescent="0.25">
      <c r="E14" s="1">
        <f t="shared" ca="1" si="1"/>
        <v>47091</v>
      </c>
      <c r="F14" s="3">
        <f ca="1">_xll.BDP(J14,"PX_LAST")</f>
        <v>2.9752000000000001</v>
      </c>
      <c r="J14" s="3" t="s">
        <v>26</v>
      </c>
    </row>
    <row r="15" spans="1:13" x14ac:dyDescent="0.25">
      <c r="E15" s="1">
        <f t="shared" ca="1" si="1"/>
        <v>47456</v>
      </c>
      <c r="F15" s="3">
        <f ca="1">_xll.BDP(J15,"PX_LAST")</f>
        <v>2.9910000000000001</v>
      </c>
      <c r="J15" s="3" t="s">
        <v>58</v>
      </c>
    </row>
    <row r="16" spans="1:13" x14ac:dyDescent="0.25">
      <c r="E16" s="1">
        <f t="shared" ca="1" si="1"/>
        <v>47821</v>
      </c>
      <c r="F16" s="3">
        <f ca="1">_xll.BDP(J16,"PX_LAST")</f>
        <v>3.0101</v>
      </c>
      <c r="J16" s="3" t="s">
        <v>59</v>
      </c>
    </row>
    <row r="17" spans="1:13" x14ac:dyDescent="0.25">
      <c r="E17" s="1">
        <f t="shared" ca="1" si="1"/>
        <v>48186</v>
      </c>
      <c r="F17" s="3">
        <f ca="1">_xll.BDP(J17,"PX_LAST")</f>
        <v>3.0179999999999998</v>
      </c>
      <c r="J17" s="3" t="s">
        <v>60</v>
      </c>
    </row>
    <row r="18" spans="1:13" x14ac:dyDescent="0.25">
      <c r="E18" s="1">
        <f t="shared" ca="1" si="1"/>
        <v>48552</v>
      </c>
      <c r="F18" s="3">
        <f ca="1">_xll.BDP(J18,"PX_LAST")</f>
        <v>3.0379999999999998</v>
      </c>
      <c r="J18" s="3" t="s">
        <v>61</v>
      </c>
    </row>
    <row r="19" spans="1:13" x14ac:dyDescent="0.25">
      <c r="E19" s="1">
        <f t="shared" ca="1" si="1"/>
        <v>48917</v>
      </c>
      <c r="F19" s="3">
        <f ca="1">_xll.BDP(J19,"PX_LAST")</f>
        <v>3.0415999999999999</v>
      </c>
      <c r="J19" s="3" t="s">
        <v>62</v>
      </c>
    </row>
    <row r="20" spans="1:13" x14ac:dyDescent="0.25">
      <c r="E20" s="1">
        <f t="shared" ca="1" si="1"/>
        <v>49282</v>
      </c>
      <c r="F20" s="3">
        <f ca="1">_xll.BDP(J20,"PX_LAST")</f>
        <v>3.0495000000000001</v>
      </c>
      <c r="J20" s="3" t="s">
        <v>63</v>
      </c>
    </row>
    <row r="21" spans="1:13" x14ac:dyDescent="0.25">
      <c r="E21" s="1">
        <f t="shared" ca="1" si="1"/>
        <v>49647</v>
      </c>
      <c r="F21" s="3">
        <f ca="1">_xll.BDP(J21,"PX_LAST")</f>
        <v>3.0545</v>
      </c>
      <c r="J21" s="3" t="s">
        <v>64</v>
      </c>
    </row>
    <row r="22" spans="1:13" x14ac:dyDescent="0.25">
      <c r="E22" s="1">
        <f ca="1">EDATE(E21,36)</f>
        <v>50743</v>
      </c>
      <c r="F22" s="3">
        <f ca="1">_xll.BDP(J22,"PX_LAST")</f>
        <v>3.0632999999999999</v>
      </c>
      <c r="J22" s="3" t="s">
        <v>65</v>
      </c>
    </row>
    <row r="23" spans="1:13" x14ac:dyDescent="0.25">
      <c r="E23" s="1">
        <f ca="1">EDATE(E22,60)</f>
        <v>52569</v>
      </c>
      <c r="F23" s="3">
        <f ca="1">_xll.BDP(J23,"PX_LAST")</f>
        <v>3.0611000000000002</v>
      </c>
      <c r="J23" s="3" t="s">
        <v>66</v>
      </c>
    </row>
    <row r="24" spans="1:13" x14ac:dyDescent="0.25">
      <c r="E24" s="1">
        <f ca="1">EDATE(E23,60)</f>
        <v>54396</v>
      </c>
      <c r="F24" s="3">
        <f ca="1">_xll.BDP(J24,"PX_LAST")</f>
        <v>3.0527000000000002</v>
      </c>
      <c r="J24" s="3" t="s">
        <v>67</v>
      </c>
    </row>
    <row r="25" spans="1:13" x14ac:dyDescent="0.25">
      <c r="E25" s="1">
        <f ca="1">EDATE(E24,120)</f>
        <v>58048</v>
      </c>
      <c r="F25" s="3">
        <f ca="1">_xll.BDP(J25,"PX_LAST")</f>
        <v>3.0150999999999999</v>
      </c>
      <c r="J25" s="3" t="s">
        <v>68</v>
      </c>
    </row>
    <row r="26" spans="1:13" x14ac:dyDescent="0.25">
      <c r="E26" s="1">
        <f ca="1">EDATE(E25,12)</f>
        <v>58413</v>
      </c>
      <c r="F26" s="3">
        <f ca="1">F25</f>
        <v>3.0150999999999999</v>
      </c>
    </row>
    <row r="29" spans="1:13" x14ac:dyDescent="0.25">
      <c r="A29" t="s">
        <v>13</v>
      </c>
      <c r="B29">
        <v>6</v>
      </c>
      <c r="D29">
        <v>8</v>
      </c>
      <c r="F29">
        <v>21</v>
      </c>
    </row>
    <row r="30" spans="1:13" x14ac:dyDescent="0.25">
      <c r="A30" t="s">
        <v>29</v>
      </c>
      <c r="B30" t="s">
        <v>30</v>
      </c>
      <c r="C30" t="s">
        <v>31</v>
      </c>
      <c r="D30" t="s">
        <v>32</v>
      </c>
      <c r="E30" t="s">
        <v>33</v>
      </c>
      <c r="F30" t="s">
        <v>34</v>
      </c>
    </row>
    <row r="31" spans="1:13" x14ac:dyDescent="0.25">
      <c r="A31" s="1">
        <f ca="1">WORKDAY(Swap_Date,1)</f>
        <v>43439</v>
      </c>
      <c r="B31" s="3">
        <f ca="1">_xll.BDP(H31,"PX_LAST")</f>
        <v>-0.35</v>
      </c>
      <c r="C31" s="1">
        <f ca="1">nextimm(Swap_Date)</f>
        <v>43453</v>
      </c>
      <c r="D31" s="3" t="e">
        <f ca="1">-IF(_xll.BDP(I31,"PX_LAST")="#N/A N/A",-B34+100,_xll.BDP(I31,"PX_LAST"))+100</f>
        <v>#VALUE!</v>
      </c>
      <c r="E31" s="1">
        <f ca="1">EDATE(Swap_Date,24)</f>
        <v>44169</v>
      </c>
      <c r="F31" s="3">
        <f ca="1">_xll.BDP(J31,"PX_LAST")</f>
        <v>-0.14699999999999999</v>
      </c>
      <c r="H31" t="s">
        <v>6</v>
      </c>
      <c r="I31" t="s">
        <v>77</v>
      </c>
      <c r="J31" t="s">
        <v>85</v>
      </c>
      <c r="M31">
        <v>-0.34960000000000002</v>
      </c>
    </row>
    <row r="32" spans="1:13" x14ac:dyDescent="0.25">
      <c r="A32" s="1">
        <f ca="1">EDATE(Swap_Date,1)</f>
        <v>43469</v>
      </c>
      <c r="B32" s="3">
        <f ca="1">_xll.BDP(H32,"PX_LAST")</f>
        <v>-0.36699999999999999</v>
      </c>
      <c r="C32" s="1">
        <f ca="1">nextimm(C31+1)</f>
        <v>43544</v>
      </c>
      <c r="D32" s="3">
        <f ca="1">100-_xll.BDP(I32,"PX_LAST")</f>
        <v>-0.31000000000000227</v>
      </c>
      <c r="E32" s="1">
        <f ca="1">EDATE(E31,12)</f>
        <v>44534</v>
      </c>
      <c r="F32" s="3">
        <f ca="1">_xll.BDP(J32,"PX_LAST")</f>
        <v>-1.7000000000000001E-2</v>
      </c>
      <c r="H32" t="s">
        <v>72</v>
      </c>
      <c r="I32" t="s">
        <v>78</v>
      </c>
      <c r="J32" s="3" t="s">
        <v>86</v>
      </c>
      <c r="M32">
        <v>-0.36799999999999999</v>
      </c>
    </row>
    <row r="33" spans="1:13" x14ac:dyDescent="0.25">
      <c r="A33" s="1">
        <f ca="1">EDATE(Swap_Date,2)</f>
        <v>43500</v>
      </c>
      <c r="B33" s="3">
        <f ca="1">IF(_xll.BDP(H33,"PX_LAST")="#N/A N/A",0.5*(B32+B34),_xll.BDP(H33,"PX_LAST"))</f>
        <v>-0.33600000000000002</v>
      </c>
      <c r="C33" s="1">
        <f t="shared" ref="C33:C38" ca="1" si="2">nextimm(C32+1)</f>
        <v>43635</v>
      </c>
      <c r="D33" s="3">
        <f ca="1">100-_xll.BDP(I33,"PX_LAST")</f>
        <v>-0.29999999999999716</v>
      </c>
      <c r="E33" s="1">
        <f t="shared" ref="E33:E46" ca="1" si="3">EDATE(E32,12)</f>
        <v>44899</v>
      </c>
      <c r="F33" s="3">
        <f ca="1">_xll.BDP(J33,"PX_LAST")</f>
        <v>0.124</v>
      </c>
      <c r="H33" t="s">
        <v>73</v>
      </c>
      <c r="I33" t="s">
        <v>79</v>
      </c>
      <c r="J33" s="3" t="s">
        <v>89</v>
      </c>
      <c r="M33">
        <v>-0.33600000000000002</v>
      </c>
    </row>
    <row r="34" spans="1:13" x14ac:dyDescent="0.25">
      <c r="A34" s="1">
        <f ca="1">EDATE(Swap_Date,3)</f>
        <v>43528</v>
      </c>
      <c r="B34" s="3">
        <f ca="1">_xll.BDP(H34,"PX_LAST")</f>
        <v>-0.316</v>
      </c>
      <c r="C34" s="1">
        <f t="shared" ca="1" si="2"/>
        <v>43726</v>
      </c>
      <c r="D34" s="3">
        <f ca="1">100-_xll.BDP(I34,"PX_LAST")</f>
        <v>-0.29000000000000625</v>
      </c>
      <c r="E34" s="1">
        <f t="shared" ca="1" si="3"/>
        <v>45264</v>
      </c>
      <c r="F34" s="3">
        <f ca="1">_xll.BDP(J34,"PX_LAST")</f>
        <v>0.26400000000000001</v>
      </c>
      <c r="H34" t="s">
        <v>74</v>
      </c>
      <c r="I34" t="s">
        <v>80</v>
      </c>
      <c r="J34" s="3" t="s">
        <v>87</v>
      </c>
      <c r="M34">
        <v>-0.316</v>
      </c>
    </row>
    <row r="35" spans="1:13" x14ac:dyDescent="0.25">
      <c r="A35" s="1">
        <f ca="1">EDATE(Swap_Date,6)</f>
        <v>43620</v>
      </c>
      <c r="B35" s="3">
        <f ca="1">_xll.BDP(H35,"PX_LAST")</f>
        <v>-0.247</v>
      </c>
      <c r="C35" s="1">
        <f t="shared" ca="1" si="2"/>
        <v>43817</v>
      </c>
      <c r="D35" s="3">
        <f ca="1">100-_xll.BDP(I35,"PX_LAST")</f>
        <v>-0.25499999999999545</v>
      </c>
      <c r="E35" s="1">
        <f t="shared" ca="1" si="3"/>
        <v>45630</v>
      </c>
      <c r="F35" s="3">
        <f ca="1">_xll.BDP(J35,"PX_LAST")</f>
        <v>0.39850000000000002</v>
      </c>
      <c r="H35" t="s">
        <v>75</v>
      </c>
      <c r="I35" t="s">
        <v>81</v>
      </c>
      <c r="J35" s="3" t="s">
        <v>90</v>
      </c>
      <c r="M35">
        <v>-0.25600000000000001</v>
      </c>
    </row>
    <row r="36" spans="1:13" x14ac:dyDescent="0.25">
      <c r="A36" s="1">
        <f ca="1">EDATE(Swap_Date,12)</f>
        <v>43803</v>
      </c>
      <c r="B36" s="3">
        <f ca="1">_xll.BDP(H36,"PX_LAST")</f>
        <v>-0.14199999999999999</v>
      </c>
      <c r="C36" s="1">
        <f t="shared" ca="1" si="2"/>
        <v>43908</v>
      </c>
      <c r="D36" s="3">
        <f ca="1">100-_xll.BDP(I36,"PX_LAST")</f>
        <v>-0.20499999999999829</v>
      </c>
      <c r="E36" s="1">
        <f t="shared" ca="1" si="3"/>
        <v>45995</v>
      </c>
      <c r="F36" s="3">
        <f ca="1">_xll.BDP(J36,"PX_LAST")</f>
        <v>0.52700000000000002</v>
      </c>
      <c r="H36" t="s">
        <v>76</v>
      </c>
      <c r="I36" t="s">
        <v>82</v>
      </c>
      <c r="J36" s="3" t="s">
        <v>88</v>
      </c>
      <c r="M36">
        <v>-0.14599999999999999</v>
      </c>
    </row>
    <row r="37" spans="1:13" x14ac:dyDescent="0.25">
      <c r="C37" s="1">
        <f t="shared" ca="1" si="2"/>
        <v>43999</v>
      </c>
      <c r="D37" s="3">
        <f ca="1">100-_xll.BDP(I37,"PX_LAST")</f>
        <v>-0.15000000000000568</v>
      </c>
      <c r="E37" s="1">
        <f t="shared" ca="1" si="3"/>
        <v>46360</v>
      </c>
      <c r="F37" s="3">
        <f ca="1">_xll.BDP(J37,"PX_LAST")</f>
        <v>0.64600000000000002</v>
      </c>
      <c r="I37" t="s">
        <v>83</v>
      </c>
      <c r="J37" s="3" t="s">
        <v>91</v>
      </c>
    </row>
    <row r="38" spans="1:13" x14ac:dyDescent="0.25">
      <c r="C38" s="1">
        <f t="shared" ca="1" si="2"/>
        <v>44090</v>
      </c>
      <c r="D38" s="3">
        <f ca="1">100-_xll.BDP(I38,"PX_LAST")</f>
        <v>-7.5000000000002842E-2</v>
      </c>
      <c r="E38" s="1">
        <f t="shared" ca="1" si="3"/>
        <v>46725</v>
      </c>
      <c r="F38" s="3">
        <f ca="1">_xll.BDP(J38,"PX_LAST")</f>
        <v>0.7581</v>
      </c>
      <c r="I38" t="s">
        <v>84</v>
      </c>
      <c r="J38" s="3" t="s">
        <v>92</v>
      </c>
    </row>
    <row r="39" spans="1:13" x14ac:dyDescent="0.25">
      <c r="E39" s="1">
        <f t="shared" ca="1" si="3"/>
        <v>47091</v>
      </c>
      <c r="F39" s="3">
        <f ca="1">_xll.BDP(J39,"PX_LAST")</f>
        <v>0.85699999999999998</v>
      </c>
      <c r="J39" s="3" t="s">
        <v>27</v>
      </c>
    </row>
    <row r="40" spans="1:13" x14ac:dyDescent="0.25">
      <c r="E40" s="1">
        <f t="shared" ca="1" si="3"/>
        <v>47456</v>
      </c>
      <c r="F40" s="3">
        <f ca="1">_xll.BDP(J40,"PX_LAST")</f>
        <v>0.94869999999999999</v>
      </c>
      <c r="J40" s="3" t="s">
        <v>93</v>
      </c>
    </row>
    <row r="41" spans="1:13" x14ac:dyDescent="0.25">
      <c r="E41" s="1">
        <f t="shared" ca="1" si="3"/>
        <v>47821</v>
      </c>
      <c r="F41" s="3">
        <f ca="1">_xll.BDP(J41,"PX_LAST")</f>
        <v>1.0283</v>
      </c>
      <c r="J41" s="3" t="s">
        <v>94</v>
      </c>
    </row>
    <row r="42" spans="1:13" x14ac:dyDescent="0.25">
      <c r="E42" s="1">
        <f t="shared" ca="1" si="3"/>
        <v>48186</v>
      </c>
      <c r="F42" s="3">
        <f ca="1">_xll.BDP(J42,"PX_LAST")</f>
        <v>1.0989</v>
      </c>
      <c r="J42" s="3" t="s">
        <v>95</v>
      </c>
    </row>
    <row r="43" spans="1:13" x14ac:dyDescent="0.25">
      <c r="E43" s="1">
        <f t="shared" ca="1" si="3"/>
        <v>48552</v>
      </c>
      <c r="F43" s="3">
        <f ca="1">_xll.BDP(J43,"PX_LAST")</f>
        <v>1.1571</v>
      </c>
      <c r="J43" s="3" t="s">
        <v>96</v>
      </c>
    </row>
    <row r="44" spans="1:13" x14ac:dyDescent="0.25">
      <c r="E44" s="1">
        <f t="shared" ca="1" si="3"/>
        <v>48917</v>
      </c>
      <c r="F44" s="3">
        <f ca="1">_xll.BDP(J44,"PX_LAST")</f>
        <v>1.2098</v>
      </c>
      <c r="J44" s="3" t="s">
        <v>97</v>
      </c>
    </row>
    <row r="45" spans="1:13" x14ac:dyDescent="0.25">
      <c r="E45" s="1">
        <f t="shared" ca="1" si="3"/>
        <v>49282</v>
      </c>
      <c r="F45" s="3">
        <f ca="1">_xll.BDP(J45,"PX_LAST")</f>
        <v>1.258</v>
      </c>
      <c r="J45" s="3" t="s">
        <v>98</v>
      </c>
    </row>
    <row r="46" spans="1:13" x14ac:dyDescent="0.25">
      <c r="E46" s="1">
        <f t="shared" ca="1" si="3"/>
        <v>49647</v>
      </c>
      <c r="F46" s="3">
        <f ca="1">_xll.BDP(J46,"PX_LAST")</f>
        <v>1.2929999999999999</v>
      </c>
      <c r="J46" s="3" t="s">
        <v>99</v>
      </c>
    </row>
    <row r="47" spans="1:13" x14ac:dyDescent="0.25">
      <c r="E47" s="1">
        <f ca="1">EDATE(E46,36)</f>
        <v>50743</v>
      </c>
      <c r="F47" s="3">
        <f ca="1">_xll.BDP(J47,"PX_LAST")</f>
        <v>1.3658999999999999</v>
      </c>
      <c r="J47" s="3" t="s">
        <v>100</v>
      </c>
    </row>
    <row r="48" spans="1:13" x14ac:dyDescent="0.25">
      <c r="E48" s="1">
        <f ca="1">EDATE(E47,60)</f>
        <v>52569</v>
      </c>
      <c r="F48" s="3">
        <f ca="1">_xll.BDP(J48,"PX_LAST")</f>
        <v>1.4125000000000001</v>
      </c>
      <c r="J48" s="3" t="s">
        <v>101</v>
      </c>
    </row>
    <row r="49" spans="1:16" x14ac:dyDescent="0.25">
      <c r="E49" s="1">
        <f ca="1">EDATE(E48,60)</f>
        <v>54396</v>
      </c>
      <c r="F49" s="3">
        <f ca="1">_xll.BDP(J49,"PX_LAST")</f>
        <v>1.4202999999999999</v>
      </c>
      <c r="J49" s="3" t="s">
        <v>102</v>
      </c>
    </row>
    <row r="50" spans="1:16" x14ac:dyDescent="0.25">
      <c r="E50" s="1">
        <f ca="1">EDATE(E49,120)</f>
        <v>58048</v>
      </c>
      <c r="F50" s="3">
        <f ca="1">_xll.BDP(J50,"PX_LAST")</f>
        <v>1.413</v>
      </c>
      <c r="J50" s="3" t="s">
        <v>103</v>
      </c>
    </row>
    <row r="51" spans="1:16" x14ac:dyDescent="0.25">
      <c r="E51" s="1">
        <f ca="1">EDATE(E50,12)</f>
        <v>58413</v>
      </c>
      <c r="F51">
        <f ca="1">F50</f>
        <v>1.413</v>
      </c>
      <c r="J51" s="3"/>
    </row>
    <row r="54" spans="1:16" x14ac:dyDescent="0.25">
      <c r="A54" t="s">
        <v>19</v>
      </c>
      <c r="B54">
        <v>6</v>
      </c>
      <c r="D54">
        <v>8</v>
      </c>
      <c r="F54">
        <v>21</v>
      </c>
    </row>
    <row r="55" spans="1:16" x14ac:dyDescent="0.25">
      <c r="A55" t="s">
        <v>29</v>
      </c>
      <c r="B55" t="s">
        <v>30</v>
      </c>
      <c r="C55" t="s">
        <v>31</v>
      </c>
      <c r="D55" t="s">
        <v>32</v>
      </c>
      <c r="E55" t="s">
        <v>33</v>
      </c>
      <c r="F55" t="s">
        <v>34</v>
      </c>
    </row>
    <row r="56" spans="1:16" ht="15.6" customHeight="1" x14ac:dyDescent="0.25">
      <c r="A56" s="1">
        <f ca="1">WORKDAY(Swap_Date,1)</f>
        <v>43439</v>
      </c>
      <c r="B56" s="3">
        <f ca="1">_xll.BDP(H56,"PX_LAST")</f>
        <v>-7.7170000000000002E-2</v>
      </c>
      <c r="C56" s="1">
        <f ca="1">nextimm(Swap_Date)</f>
        <v>43453</v>
      </c>
      <c r="D56" s="3" t="e">
        <f ca="1">100-IF(_xll.BDP(I56,"PX_LAST")="#N/A N/A",100-B59,_xll.BDP(I56,"PX_LAST"))</f>
        <v>#VALUE!</v>
      </c>
      <c r="E56" s="1">
        <f ca="1">EDATE(Swap_Date,24)</f>
        <v>44169</v>
      </c>
      <c r="F56" s="3">
        <f ca="1">_xll.BDP(J56,"PX_LAST")</f>
        <v>8.7500000000000008E-3</v>
      </c>
      <c r="H56" t="s">
        <v>0</v>
      </c>
      <c r="I56" s="3" t="s">
        <v>104</v>
      </c>
      <c r="J56" t="s">
        <v>112</v>
      </c>
      <c r="L56" s="3"/>
      <c r="M56" s="36" t="s">
        <v>132</v>
      </c>
      <c r="N56" s="36"/>
      <c r="P56">
        <v>-8.5330000000000003E-2</v>
      </c>
    </row>
    <row r="57" spans="1:16" ht="15.6" customHeight="1" x14ac:dyDescent="0.25">
      <c r="A57" s="1">
        <f ca="1">EDATE(Swap_Date,1)</f>
        <v>43469</v>
      </c>
      <c r="B57" s="3">
        <f ca="1">_xll.BDP(H57,"PX_LAST")</f>
        <v>-0.1545</v>
      </c>
      <c r="C57" s="1">
        <f ca="1">nextimm(C56+1)</f>
        <v>43544</v>
      </c>
      <c r="D57" s="3">
        <f ca="1">100-_xll.BDP(I57,"PX_LAST")</f>
        <v>5.5000000000006821E-2</v>
      </c>
      <c r="E57" s="1">
        <f ca="1">EDATE(E56,12)</f>
        <v>44534</v>
      </c>
      <c r="F57" s="3">
        <f ca="1">_xll.BDP(J57,"PX_LAST")</f>
        <v>2.0629999999999999E-2</v>
      </c>
      <c r="H57" t="s">
        <v>1</v>
      </c>
      <c r="I57" s="3" t="s">
        <v>105</v>
      </c>
      <c r="J57" s="3" t="s">
        <v>113</v>
      </c>
      <c r="M57" s="5" t="s">
        <v>133</v>
      </c>
      <c r="N57" s="6">
        <f ca="1">_xll.BDP("JYSSTL1 index","PX_LAST")</f>
        <v>9.875</v>
      </c>
      <c r="P57">
        <v>-0.107</v>
      </c>
    </row>
    <row r="58" spans="1:16" ht="15.6" customHeight="1" x14ac:dyDescent="0.25">
      <c r="A58" s="1">
        <f ca="1">EDATE(Swap_Date,2)</f>
        <v>43500</v>
      </c>
      <c r="B58" s="3">
        <f ca="1">_xll.BDP(H58,"PX_LAST")</f>
        <v>-0.13883000000000001</v>
      </c>
      <c r="C58" s="1">
        <f t="shared" ref="C58:C63" ca="1" si="4">nextimm(C57+1)</f>
        <v>43635</v>
      </c>
      <c r="D58" s="3">
        <f ca="1">100-_xll.BDP(I58,"PX_LAST")</f>
        <v>6.0000000000002274E-2</v>
      </c>
      <c r="E58" s="1">
        <f t="shared" ref="E58:E71" ca="1" si="5">EDATE(E57,12)</f>
        <v>44899</v>
      </c>
      <c r="F58" s="3">
        <f ca="1">_xll.BDP(J58,"PX_LAST")</f>
        <v>3.875E-2</v>
      </c>
      <c r="H58" s="3" t="s">
        <v>2</v>
      </c>
      <c r="I58" s="3" t="s">
        <v>106</v>
      </c>
      <c r="J58" s="3" t="s">
        <v>114</v>
      </c>
      <c r="M58" s="5" t="s">
        <v>134</v>
      </c>
      <c r="N58" s="7">
        <f ca="1">_xll.BDP("JYSSTL2 index","PX_LAST")</f>
        <v>9.4377499999999994</v>
      </c>
      <c r="P58">
        <v>-0.13500000000000001</v>
      </c>
    </row>
    <row r="59" spans="1:16" x14ac:dyDescent="0.25">
      <c r="A59" s="1">
        <f ca="1">EDATE(Swap_Date,3)</f>
        <v>43528</v>
      </c>
      <c r="B59" s="3">
        <f ca="1">_xll.BDP(H59,"PX_LAST")</f>
        <v>-0.11466999999999999</v>
      </c>
      <c r="C59" s="1">
        <f t="shared" ca="1" si="4"/>
        <v>43726</v>
      </c>
      <c r="D59" s="3">
        <f ca="1">100-_xll.BDP(I59,"PX_LAST")</f>
        <v>6.9999999999993179E-2</v>
      </c>
      <c r="E59" s="1">
        <f t="shared" ca="1" si="5"/>
        <v>45264</v>
      </c>
      <c r="F59" s="3">
        <f ca="1">_xll.BDP(J59,"PX_LAST")</f>
        <v>5.8749999999999997E-2</v>
      </c>
      <c r="H59" s="3" t="s">
        <v>3</v>
      </c>
      <c r="I59" s="3" t="s">
        <v>107</v>
      </c>
      <c r="J59" s="3" t="s">
        <v>115</v>
      </c>
      <c r="P59">
        <v>-0.11466999999999999</v>
      </c>
    </row>
    <row r="60" spans="1:16" x14ac:dyDescent="0.25">
      <c r="A60" s="1">
        <f ca="1">EDATE(Swap_Date,6)</f>
        <v>43620</v>
      </c>
      <c r="B60" s="3">
        <f ca="1">_xll.BDP(H60,"PX_LAST")</f>
        <v>-2.8300000000000001E-3</v>
      </c>
      <c r="C60" s="1">
        <f t="shared" ca="1" si="4"/>
        <v>43817</v>
      </c>
      <c r="D60" s="3">
        <f ca="1">100-_xll.BDP(I60,"PX_LAST")</f>
        <v>7.5000000000002842E-2</v>
      </c>
      <c r="E60" s="1">
        <f t="shared" ca="1" si="5"/>
        <v>45630</v>
      </c>
      <c r="F60" s="3">
        <f ca="1">_xll.BDP(J60,"PX_LAST")</f>
        <v>8.5000000000000006E-2</v>
      </c>
      <c r="H60" s="3" t="s">
        <v>4</v>
      </c>
      <c r="I60" s="3" t="s">
        <v>108</v>
      </c>
      <c r="J60" s="3" t="s">
        <v>116</v>
      </c>
      <c r="P60">
        <v>-2.5000000000000001E-3</v>
      </c>
    </row>
    <row r="61" spans="1:16" x14ac:dyDescent="0.25">
      <c r="A61" s="1">
        <f ca="1">EDATE(Swap_Date,12)</f>
        <v>43803</v>
      </c>
      <c r="B61" s="3">
        <f ca="1">_xll.BDP(H61,"PX_LAST")</f>
        <v>0.1085</v>
      </c>
      <c r="C61" s="1">
        <f t="shared" ca="1" si="4"/>
        <v>43908</v>
      </c>
      <c r="D61" s="3">
        <f ca="1">100-_xll.BDP(I61,"PX_LAST")</f>
        <v>7.9999999999998295E-2</v>
      </c>
      <c r="E61" s="1">
        <f t="shared" ca="1" si="5"/>
        <v>45995</v>
      </c>
      <c r="F61" s="3">
        <f ca="1">_xll.BDP(J61,"PX_LAST")</f>
        <v>0.115</v>
      </c>
      <c r="H61" s="3" t="s">
        <v>5</v>
      </c>
      <c r="I61" s="3" t="s">
        <v>109</v>
      </c>
      <c r="J61" s="3" t="s">
        <v>117</v>
      </c>
      <c r="P61">
        <v>0.11167000000000001</v>
      </c>
    </row>
    <row r="62" spans="1:16" x14ac:dyDescent="0.25">
      <c r="C62" s="1">
        <f t="shared" ca="1" si="4"/>
        <v>43999</v>
      </c>
      <c r="D62" s="3">
        <f ca="1">100-_xll.BDP(I62,"PX_LAST")</f>
        <v>8.4999999999993747E-2</v>
      </c>
      <c r="E62" s="1">
        <f t="shared" ca="1" si="5"/>
        <v>46360</v>
      </c>
      <c r="F62" s="3">
        <f ca="1">_xll.BDP(J62,"PX_LAST")</f>
        <v>0.15</v>
      </c>
      <c r="I62" s="3" t="s">
        <v>110</v>
      </c>
      <c r="J62" s="3" t="s">
        <v>118</v>
      </c>
    </row>
    <row r="63" spans="1:16" x14ac:dyDescent="0.25">
      <c r="C63" s="1">
        <f t="shared" ca="1" si="4"/>
        <v>44090</v>
      </c>
      <c r="D63" s="3">
        <f ca="1">100-_xll.BDP(I63,"PX_LAST")</f>
        <v>8.4999999999993747E-2</v>
      </c>
      <c r="E63" s="1">
        <f t="shared" ca="1" si="5"/>
        <v>46725</v>
      </c>
      <c r="F63" s="3">
        <f ca="1">_xll.BDP(J63,"PX_LAST")</f>
        <v>0.1875</v>
      </c>
      <c r="I63" s="3" t="s">
        <v>111</v>
      </c>
      <c r="J63" s="3" t="s">
        <v>119</v>
      </c>
    </row>
    <row r="64" spans="1:16" x14ac:dyDescent="0.25">
      <c r="E64" s="1">
        <f t="shared" ca="1" si="5"/>
        <v>47091</v>
      </c>
      <c r="F64" s="3">
        <f ca="1">_xll.BDP(J64,"PX_LAST")</f>
        <v>0.22750000000000001</v>
      </c>
      <c r="J64" s="3" t="s">
        <v>120</v>
      </c>
    </row>
    <row r="65" spans="1:10" x14ac:dyDescent="0.25">
      <c r="E65" s="1">
        <f t="shared" ca="1" si="5"/>
        <v>47456</v>
      </c>
      <c r="F65" s="3">
        <f ca="1">_xll.BDP(J65,"PX_LAST")</f>
        <v>0.26562999999999998</v>
      </c>
      <c r="J65" s="3" t="s">
        <v>121</v>
      </c>
    </row>
    <row r="66" spans="1:10" x14ac:dyDescent="0.25">
      <c r="E66" s="1">
        <f t="shared" ca="1" si="5"/>
        <v>47821</v>
      </c>
      <c r="F66" s="3">
        <f ca="1">_xll.BDP(J66,"PX_LAST")</f>
        <v>0.31374999999999997</v>
      </c>
      <c r="J66" s="3" t="s">
        <v>122</v>
      </c>
    </row>
    <row r="67" spans="1:10" x14ac:dyDescent="0.25">
      <c r="E67" s="1">
        <f t="shared" ca="1" si="5"/>
        <v>48186</v>
      </c>
      <c r="F67" s="3">
        <f ca="1">_xll.BDP(J67,"PX_LAST")</f>
        <v>0.35249999999999998</v>
      </c>
      <c r="J67" s="3" t="s">
        <v>123</v>
      </c>
    </row>
    <row r="68" spans="1:10" x14ac:dyDescent="0.25">
      <c r="E68" s="1">
        <f t="shared" ca="1" si="5"/>
        <v>48552</v>
      </c>
      <c r="F68" s="3">
        <f ca="1">_xll.BDP(J68,"PX_LAST")</f>
        <v>0.39500000000000002</v>
      </c>
      <c r="J68" s="3" t="s">
        <v>124</v>
      </c>
    </row>
    <row r="69" spans="1:10" x14ac:dyDescent="0.25">
      <c r="E69" s="1">
        <f t="shared" ca="1" si="5"/>
        <v>48917</v>
      </c>
      <c r="F69" s="3">
        <f ca="1">_xll.BDP(J69,"PX_LAST")</f>
        <v>0.4425</v>
      </c>
      <c r="J69" s="3" t="s">
        <v>125</v>
      </c>
    </row>
    <row r="70" spans="1:10" x14ac:dyDescent="0.25">
      <c r="E70" s="1">
        <f t="shared" ca="1" si="5"/>
        <v>49282</v>
      </c>
      <c r="F70" s="3">
        <f ca="1">_xll.BDP(J70,"PX_LAST")</f>
        <v>0.47875000000000001</v>
      </c>
      <c r="J70" s="3" t="s">
        <v>126</v>
      </c>
    </row>
    <row r="71" spans="1:10" x14ac:dyDescent="0.25">
      <c r="E71" s="1">
        <f t="shared" ca="1" si="5"/>
        <v>49647</v>
      </c>
      <c r="F71" s="3">
        <f ca="1">_xll.BDP(J71,"PX_LAST")</f>
        <v>0.53300000000000003</v>
      </c>
      <c r="J71" s="3" t="s">
        <v>127</v>
      </c>
    </row>
    <row r="72" spans="1:10" x14ac:dyDescent="0.25">
      <c r="E72" s="1">
        <f ca="1">EDATE(E71,36)</f>
        <v>50743</v>
      </c>
      <c r="F72" s="3">
        <f ca="1">_xll.BDP(J72,"PX_LAST")</f>
        <v>0.62749999999999995</v>
      </c>
      <c r="J72" s="3" t="s">
        <v>128</v>
      </c>
    </row>
    <row r="73" spans="1:10" x14ac:dyDescent="0.25">
      <c r="E73" s="1">
        <f ca="1">EDATE(E72,60)</f>
        <v>52569</v>
      </c>
      <c r="F73" s="3">
        <f ca="1">_xll.BDP(J73,"PX_LAST")</f>
        <v>0.74750000000000005</v>
      </c>
      <c r="J73" s="3" t="s">
        <v>129</v>
      </c>
    </row>
    <row r="74" spans="1:10" x14ac:dyDescent="0.25">
      <c r="E74" s="1">
        <f ca="1">EDATE(E73,60)</f>
        <v>54396</v>
      </c>
      <c r="F74" s="3">
        <f ca="1">_xll.BDP(J74,"PX_LAST")</f>
        <v>0.82125000000000004</v>
      </c>
      <c r="J74" s="3" t="s">
        <v>130</v>
      </c>
    </row>
    <row r="75" spans="1:10" x14ac:dyDescent="0.25">
      <c r="E75" s="1">
        <f ca="1">EDATE(E74,120)</f>
        <v>58048</v>
      </c>
      <c r="F75" s="3">
        <f ca="1">_xll.BDP(J75,"PX_LAST")</f>
        <v>0.89875000000000005</v>
      </c>
      <c r="J75" s="3" t="s">
        <v>131</v>
      </c>
    </row>
    <row r="76" spans="1:10" x14ac:dyDescent="0.25">
      <c r="E76" s="1">
        <f ca="1">EDATE(E75,12)</f>
        <v>58413</v>
      </c>
      <c r="F76">
        <f ca="1">F75</f>
        <v>0.89875000000000005</v>
      </c>
      <c r="J76" s="3"/>
    </row>
    <row r="77" spans="1:10" x14ac:dyDescent="0.25">
      <c r="J77" s="3"/>
    </row>
    <row r="79" spans="1:10" x14ac:dyDescent="0.25">
      <c r="A79" t="s">
        <v>14</v>
      </c>
      <c r="B79">
        <v>6</v>
      </c>
      <c r="D79">
        <v>8</v>
      </c>
      <c r="F79">
        <v>21</v>
      </c>
    </row>
    <row r="80" spans="1:10" x14ac:dyDescent="0.25">
      <c r="A80" t="s">
        <v>29</v>
      </c>
      <c r="B80" t="s">
        <v>30</v>
      </c>
      <c r="C80" t="s">
        <v>31</v>
      </c>
      <c r="D80" t="s">
        <v>32</v>
      </c>
      <c r="E80" t="s">
        <v>33</v>
      </c>
      <c r="F80" t="s">
        <v>34</v>
      </c>
    </row>
    <row r="81" spans="1:14" x14ac:dyDescent="0.25">
      <c r="A81" s="1">
        <f ca="1">WORKDAY(Swap_Date,1)</f>
        <v>43439</v>
      </c>
      <c r="B81" s="3">
        <f ca="1">_xll.BDP(H81,"PX_LAST")</f>
        <v>0.68188000000000004</v>
      </c>
      <c r="C81" s="1">
        <f ca="1">nextimm(Swap_Date)</f>
        <v>43453</v>
      </c>
      <c r="D81" s="3" t="e">
        <f ca="1">100-IF(_xll.BDP(I81,"PX_LAST")="#N/A N/A",100-B84,_xll.BDP(I81,"PX_LAST"))</f>
        <v>#VALUE!</v>
      </c>
      <c r="E81" s="1">
        <f ca="1">EDATE(Swap_Date,24)</f>
        <v>44169</v>
      </c>
      <c r="F81" s="3">
        <f ca="1">_xll.BDP(J81,"PX_LAST")</f>
        <v>1.1704600000000001</v>
      </c>
      <c r="H81" t="s">
        <v>135</v>
      </c>
      <c r="I81" t="s">
        <v>141</v>
      </c>
      <c r="J81" t="s">
        <v>149</v>
      </c>
      <c r="N81">
        <v>0.68513000000000002</v>
      </c>
    </row>
    <row r="82" spans="1:14" x14ac:dyDescent="0.25">
      <c r="A82" s="1">
        <f ca="1">EDATE(Swap_Date,1)</f>
        <v>43469</v>
      </c>
      <c r="B82" s="3">
        <f ca="1">_xll.BDP(H82,"PX_LAST")</f>
        <v>0.73563000000000001</v>
      </c>
      <c r="C82" s="1">
        <f ca="1">nextimm(C81+1)</f>
        <v>43544</v>
      </c>
      <c r="D82" s="3">
        <f ca="1">100-_xll.BDP(I82,"PX_LAST")</f>
        <v>0.91500000000000625</v>
      </c>
      <c r="E82" s="1">
        <f ca="1">EDATE(E81,12)</f>
        <v>44534</v>
      </c>
      <c r="F82" s="3">
        <f ca="1">_xll.BDP(J82,"PX_LAST")</f>
        <v>1.2484999999999999</v>
      </c>
      <c r="H82" t="s">
        <v>136</v>
      </c>
      <c r="I82" t="s">
        <v>142</v>
      </c>
      <c r="J82" s="3" t="s">
        <v>150</v>
      </c>
      <c r="K82" s="3"/>
      <c r="M82" s="3"/>
      <c r="N82" s="3">
        <v>0.73575000000000002</v>
      </c>
    </row>
    <row r="83" spans="1:14" x14ac:dyDescent="0.25">
      <c r="A83" s="1">
        <f ca="1">EDATE(Swap_Date,2)</f>
        <v>43500</v>
      </c>
      <c r="B83" s="3">
        <f ca="1">_xll.BDP(H83,"PX_LAST")</f>
        <v>0.77075000000000005</v>
      </c>
      <c r="C83" s="1">
        <f t="shared" ref="C83:C88" ca="1" si="6">nextimm(C82+1)</f>
        <v>43635</v>
      </c>
      <c r="D83" s="3">
        <f ca="1">100-_xll.BDP(I83,"PX_LAST")</f>
        <v>0.95999999999999375</v>
      </c>
      <c r="E83" s="1">
        <f t="shared" ref="E83:E96" ca="1" si="7">EDATE(E82,12)</f>
        <v>44899</v>
      </c>
      <c r="F83" s="3">
        <f ca="1">_xll.BDP(J83,"PX_LAST")</f>
        <v>1.3015000000000001</v>
      </c>
      <c r="H83" t="s">
        <v>137</v>
      </c>
      <c r="I83" t="s">
        <v>143</v>
      </c>
      <c r="J83" t="s">
        <v>151</v>
      </c>
      <c r="K83" s="3"/>
      <c r="L83" s="3"/>
      <c r="M83" s="3"/>
      <c r="N83" s="3">
        <v>0.76849999999999996</v>
      </c>
    </row>
    <row r="84" spans="1:14" x14ac:dyDescent="0.25">
      <c r="A84" s="1">
        <f ca="1">EDATE(Swap_Date,3)</f>
        <v>43528</v>
      </c>
      <c r="B84" s="3">
        <f ca="1">_xll.BDP(H84,"PX_LAST")</f>
        <v>0.89556000000000002</v>
      </c>
      <c r="C84" s="1">
        <f t="shared" ca="1" si="6"/>
        <v>43726</v>
      </c>
      <c r="D84" s="3">
        <f ca="1">100-_xll.BDP(I84,"PX_LAST")</f>
        <v>1.0349999999999966</v>
      </c>
      <c r="E84" s="1">
        <f t="shared" ca="1" si="7"/>
        <v>45264</v>
      </c>
      <c r="F84" s="3">
        <f ca="1">_xll.BDP(J84,"PX_LAST")</f>
        <v>1.34474</v>
      </c>
      <c r="H84" t="s">
        <v>138</v>
      </c>
      <c r="I84" t="s">
        <v>144</v>
      </c>
      <c r="J84" t="s">
        <v>152</v>
      </c>
      <c r="K84" s="3"/>
      <c r="L84" s="3"/>
      <c r="M84" s="3"/>
      <c r="N84" s="3">
        <v>0.89356000000000002</v>
      </c>
    </row>
    <row r="85" spans="1:14" x14ac:dyDescent="0.25">
      <c r="A85" s="1">
        <f ca="1">EDATE(Swap_Date,6)</f>
        <v>43620</v>
      </c>
      <c r="B85" s="3">
        <f ca="1">_xll.BDP(H85,"PX_LAST")</f>
        <v>1.0122500000000001</v>
      </c>
      <c r="C85" s="1">
        <f t="shared" ca="1" si="6"/>
        <v>43817</v>
      </c>
      <c r="D85" s="3">
        <f ca="1">100-_xll.BDP(I85,"PX_LAST")</f>
        <v>1.0900000000000034</v>
      </c>
      <c r="E85" s="1">
        <f t="shared" ca="1" si="7"/>
        <v>45630</v>
      </c>
      <c r="F85" s="3">
        <f ca="1">_xll.BDP(J85,"PX_LAST")</f>
        <v>1.3801699999999999</v>
      </c>
      <c r="H85" t="s">
        <v>139</v>
      </c>
      <c r="I85" t="s">
        <v>145</v>
      </c>
      <c r="J85" t="s">
        <v>153</v>
      </c>
      <c r="K85" s="3"/>
      <c r="L85" s="3"/>
      <c r="M85" s="3"/>
      <c r="N85" s="3">
        <v>1.00356</v>
      </c>
    </row>
    <row r="86" spans="1:14" x14ac:dyDescent="0.25">
      <c r="A86" s="1">
        <f ca="1">EDATE(Swap_Date,12)</f>
        <v>43803</v>
      </c>
      <c r="B86" s="3">
        <f ca="1">_xll.BDP(H86,"PX_LAST")</f>
        <v>1.1476299999999999</v>
      </c>
      <c r="C86" s="1">
        <f t="shared" ca="1" si="6"/>
        <v>43908</v>
      </c>
      <c r="D86" s="3">
        <f ca="1">100-_xll.BDP(I86,"PX_LAST")</f>
        <v>1.1500000000000057</v>
      </c>
      <c r="E86" s="1">
        <f t="shared" ca="1" si="7"/>
        <v>45995</v>
      </c>
      <c r="F86" s="3">
        <f ca="1">_xll.BDP(J86,"PX_LAST")</f>
        <v>1.4155500000000001</v>
      </c>
      <c r="H86" t="s">
        <v>140</v>
      </c>
      <c r="I86" t="s">
        <v>146</v>
      </c>
      <c r="J86" t="s">
        <v>154</v>
      </c>
      <c r="K86" s="3"/>
      <c r="L86" s="3"/>
      <c r="M86" s="3"/>
      <c r="N86" s="3">
        <v>1.1379999999999999</v>
      </c>
    </row>
    <row r="87" spans="1:14" x14ac:dyDescent="0.25">
      <c r="C87" s="1">
        <f t="shared" ca="1" si="6"/>
        <v>43999</v>
      </c>
      <c r="D87" s="3">
        <f ca="1">100-_xll.BDP(I87,"PX_LAST")</f>
        <v>1.1949999999999932</v>
      </c>
      <c r="E87" s="1">
        <f t="shared" ca="1" si="7"/>
        <v>46360</v>
      </c>
      <c r="F87" s="3">
        <f ca="1">_xll.BDP(J87,"PX_LAST")</f>
        <v>1.44825</v>
      </c>
      <c r="I87" t="s">
        <v>147</v>
      </c>
      <c r="J87" t="s">
        <v>155</v>
      </c>
      <c r="K87" s="3"/>
      <c r="L87" s="3"/>
      <c r="M87" s="3"/>
      <c r="N87" s="3"/>
    </row>
    <row r="88" spans="1:14" x14ac:dyDescent="0.25">
      <c r="C88" s="1">
        <f t="shared" ca="1" si="6"/>
        <v>44090</v>
      </c>
      <c r="D88" s="3">
        <f ca="1">100-_xll.BDP(I88,"PX_LAST")</f>
        <v>1.2399999999999949</v>
      </c>
      <c r="E88" s="1">
        <f t="shared" ca="1" si="7"/>
        <v>46725</v>
      </c>
      <c r="F88" s="3">
        <f ca="1">_xll.BDP(J88,"PX_LAST")</f>
        <v>1.48058</v>
      </c>
      <c r="I88" t="s">
        <v>148</v>
      </c>
      <c r="J88" t="s">
        <v>156</v>
      </c>
      <c r="K88" s="3"/>
      <c r="L88" s="3"/>
      <c r="M88" s="3"/>
      <c r="N88" s="3"/>
    </row>
    <row r="89" spans="1:14" x14ac:dyDescent="0.25">
      <c r="E89" s="1">
        <f t="shared" ca="1" si="7"/>
        <v>47091</v>
      </c>
      <c r="F89" s="3">
        <f ca="1">_xll.BDP(J89,"PX_LAST")</f>
        <v>1.51715</v>
      </c>
      <c r="J89" t="s">
        <v>28</v>
      </c>
      <c r="K89" s="3"/>
      <c r="L89" s="3"/>
      <c r="M89" s="3"/>
      <c r="N89" s="3"/>
    </row>
    <row r="90" spans="1:14" x14ac:dyDescent="0.25">
      <c r="E90" s="1">
        <f t="shared" ca="1" si="7"/>
        <v>47456</v>
      </c>
      <c r="F90" s="3">
        <f ca="1">_xll.BDP(J90,"PX_LAST")</f>
        <v>1.5462499999999999</v>
      </c>
      <c r="J90" t="s">
        <v>157</v>
      </c>
      <c r="K90" s="3"/>
      <c r="L90" s="3"/>
      <c r="M90" s="3"/>
      <c r="N90" s="3"/>
    </row>
    <row r="91" spans="1:14" x14ac:dyDescent="0.25">
      <c r="E91" s="1">
        <f t="shared" ca="1" si="7"/>
        <v>47821</v>
      </c>
      <c r="F91" s="3">
        <f ca="1">_xll.BDP(J91,"PX_LAST")</f>
        <v>1.5725899999999999</v>
      </c>
      <c r="J91" t="s">
        <v>158</v>
      </c>
      <c r="K91" s="3"/>
      <c r="L91" s="3"/>
      <c r="M91" s="3"/>
      <c r="N91" s="3"/>
    </row>
    <row r="92" spans="1:14" x14ac:dyDescent="0.25">
      <c r="E92" s="1">
        <f t="shared" ca="1" si="7"/>
        <v>48186</v>
      </c>
      <c r="F92" s="3">
        <f ca="1">_xll.BDP(J92,"PX_LAST")</f>
        <v>1.5939000000000001</v>
      </c>
      <c r="J92" t="s">
        <v>159</v>
      </c>
      <c r="K92" s="3"/>
      <c r="L92" s="3"/>
      <c r="M92" s="3"/>
      <c r="N92" s="3"/>
    </row>
    <row r="93" spans="1:14" x14ac:dyDescent="0.25">
      <c r="E93" s="1">
        <f t="shared" ca="1" si="7"/>
        <v>48552</v>
      </c>
      <c r="F93" s="3">
        <f ca="1">_xll.BDP(J93,"PX_LAST")</f>
        <v>1.6128</v>
      </c>
      <c r="J93" t="s">
        <v>160</v>
      </c>
      <c r="K93" s="3"/>
      <c r="L93" s="3"/>
      <c r="M93" s="3"/>
      <c r="N93" s="3"/>
    </row>
    <row r="94" spans="1:14" x14ac:dyDescent="0.25">
      <c r="E94" s="1">
        <f t="shared" ca="1" si="7"/>
        <v>48917</v>
      </c>
      <c r="F94" s="3">
        <f ca="1">_xll.BDP(J94,"PX_LAST")</f>
        <v>1.6312500000000001</v>
      </c>
      <c r="J94" t="s">
        <v>161</v>
      </c>
      <c r="K94" s="3"/>
      <c r="L94" s="3"/>
      <c r="M94" s="3"/>
      <c r="N94" s="3"/>
    </row>
    <row r="95" spans="1:14" x14ac:dyDescent="0.25">
      <c r="E95" s="1">
        <f t="shared" ca="1" si="7"/>
        <v>49282</v>
      </c>
      <c r="F95" s="3">
        <f ca="1">_xll.BDP(J95,"PX_LAST")</f>
        <v>1.6457999999999999</v>
      </c>
      <c r="J95" t="s">
        <v>162</v>
      </c>
      <c r="K95" s="3"/>
      <c r="L95" s="3"/>
      <c r="M95" s="3"/>
      <c r="N95" s="3"/>
    </row>
    <row r="96" spans="1:14" x14ac:dyDescent="0.25">
      <c r="E96" s="1">
        <f t="shared" ca="1" si="7"/>
        <v>49647</v>
      </c>
      <c r="F96" s="3">
        <f ca="1">_xll.BDP(J96,"PX_LAST")</f>
        <v>1.6583000000000001</v>
      </c>
      <c r="J96" t="s">
        <v>163</v>
      </c>
      <c r="K96" s="3"/>
      <c r="L96" s="3"/>
      <c r="M96" s="3"/>
      <c r="N96" s="3"/>
    </row>
    <row r="97" spans="1:14" x14ac:dyDescent="0.25">
      <c r="E97" s="1">
        <f ca="1">EDATE(E96,36)</f>
        <v>50743</v>
      </c>
      <c r="F97" s="3">
        <f ca="1">_xll.BDP(J97,"PX_LAST")</f>
        <v>1.6857500000000001</v>
      </c>
      <c r="J97" t="s">
        <v>164</v>
      </c>
      <c r="K97" s="3"/>
      <c r="M97" s="3"/>
      <c r="N97" s="3"/>
    </row>
    <row r="98" spans="1:14" x14ac:dyDescent="0.25">
      <c r="E98" s="1">
        <f ca="1">EDATE(E97,60)</f>
        <v>52569</v>
      </c>
      <c r="F98" s="3">
        <f ca="1">_xll.BDP(J98,"PX_LAST")</f>
        <v>1.7009799999999999</v>
      </c>
      <c r="J98" t="s">
        <v>165</v>
      </c>
      <c r="K98" s="3"/>
      <c r="M98" s="3"/>
      <c r="N98" s="3"/>
    </row>
    <row r="99" spans="1:14" x14ac:dyDescent="0.25">
      <c r="E99" s="1">
        <f ca="1">EDATE(E98,60)</f>
        <v>54396</v>
      </c>
      <c r="F99" s="3">
        <f ca="1">_xll.BDP(J99,"PX_LAST")</f>
        <v>1.70065</v>
      </c>
      <c r="J99" t="s">
        <v>166</v>
      </c>
      <c r="K99" s="3"/>
      <c r="M99" s="3"/>
      <c r="N99" s="3"/>
    </row>
    <row r="100" spans="1:14" x14ac:dyDescent="0.25">
      <c r="E100" s="1">
        <f ca="1">EDATE(E99,120)</f>
        <v>58048</v>
      </c>
      <c r="F100" s="3">
        <f ca="1">_xll.BDP(J100,"PX_LAST")</f>
        <v>1.68526</v>
      </c>
      <c r="J100" t="s">
        <v>167</v>
      </c>
      <c r="K100" s="3"/>
      <c r="M100" s="3"/>
      <c r="N100" s="3"/>
    </row>
    <row r="101" spans="1:14" x14ac:dyDescent="0.25">
      <c r="E101" s="1">
        <f ca="1">EDATE(E100,12)</f>
        <v>58413</v>
      </c>
      <c r="F101">
        <f ca="1">F100</f>
        <v>1.68526</v>
      </c>
    </row>
    <row r="104" spans="1:14" x14ac:dyDescent="0.25">
      <c r="A104" t="s">
        <v>248</v>
      </c>
      <c r="B104">
        <v>6</v>
      </c>
      <c r="D104">
        <v>8</v>
      </c>
      <c r="F104">
        <v>19</v>
      </c>
    </row>
    <row r="105" spans="1:14" x14ac:dyDescent="0.25">
      <c r="A105" t="s">
        <v>29</v>
      </c>
      <c r="B105" t="s">
        <v>30</v>
      </c>
      <c r="C105" t="s">
        <v>31</v>
      </c>
      <c r="D105" t="s">
        <v>32</v>
      </c>
      <c r="E105" t="s">
        <v>33</v>
      </c>
      <c r="F105" t="s">
        <v>34</v>
      </c>
    </row>
    <row r="106" spans="1:14" x14ac:dyDescent="0.25">
      <c r="A106" s="1">
        <f ca="1">WORKDAY(Swap_Date,1)</f>
        <v>43439</v>
      </c>
      <c r="B106" s="3">
        <f ca="1">_xll.BDP(H106,"PX_LAST")</f>
        <v>-0.78059999999999996</v>
      </c>
      <c r="C106" s="1">
        <f ca="1">nextimm(Swap_Date)</f>
        <v>43453</v>
      </c>
      <c r="D106" s="3" t="e">
        <f ca="1">100-IF(_xll.BDP(I106,"PX_LAST")="#N/A N/A",100-B109,_xll.BDP(I106,"PX_LAST"))</f>
        <v>#VALUE!</v>
      </c>
      <c r="E106" s="1">
        <f ca="1">EDATE(Swap_Date,24)</f>
        <v>44169</v>
      </c>
      <c r="F106" s="3">
        <f ca="1">_xll.BDP(J106,"PX_LAST")</f>
        <v>-0.5544</v>
      </c>
      <c r="H106" t="s">
        <v>168</v>
      </c>
      <c r="I106" t="s">
        <v>174</v>
      </c>
      <c r="J106" t="s">
        <v>182</v>
      </c>
      <c r="N106">
        <v>-0.78779999999999994</v>
      </c>
    </row>
    <row r="107" spans="1:14" x14ac:dyDescent="0.25">
      <c r="A107" s="1">
        <f ca="1">EDATE(Swap_Date,1)</f>
        <v>43469</v>
      </c>
      <c r="B107" s="3">
        <f ca="1">_xll.BDP(H107,"PX_LAST")</f>
        <v>-0.83220000000000005</v>
      </c>
      <c r="C107" s="1">
        <f ca="1">nextimm(C106+1)</f>
        <v>43544</v>
      </c>
      <c r="D107" s="3">
        <f ca="1">100-_xll.BDP(I107,"PX_LAST")</f>
        <v>-0.73999999999999488</v>
      </c>
      <c r="E107" s="1">
        <f ca="1">EDATE(E106,12)</f>
        <v>44534</v>
      </c>
      <c r="F107" s="3">
        <f ca="1">_xll.BDP(J107,"PX_LAST")</f>
        <v>-0.42249999999999999</v>
      </c>
      <c r="H107" t="s">
        <v>169</v>
      </c>
      <c r="I107" t="s">
        <v>175</v>
      </c>
      <c r="J107" t="s">
        <v>183</v>
      </c>
      <c r="K107" s="3"/>
      <c r="M107" s="3"/>
      <c r="N107" s="3">
        <v>-0.78779999999999994</v>
      </c>
    </row>
    <row r="108" spans="1:14" x14ac:dyDescent="0.25">
      <c r="A108" s="1">
        <f ca="1">EDATE(Swap_Date,2)</f>
        <v>43500</v>
      </c>
      <c r="B108" s="3">
        <f ca="1">_xll.BDP(H108,"PX_LAST")</f>
        <v>-0.754</v>
      </c>
      <c r="C108" s="1">
        <f t="shared" ref="C108:C113" ca="1" si="8">nextimm(C107+1)</f>
        <v>43635</v>
      </c>
      <c r="D108" s="3">
        <f ca="1">100-_xll.BDP(I108,"PX_LAST")</f>
        <v>-0.73999999999999488</v>
      </c>
      <c r="E108" s="1">
        <f t="shared" ref="E108:E119" ca="1" si="9">EDATE(E107,12)</f>
        <v>44899</v>
      </c>
      <c r="F108" s="3">
        <f ca="1">_xll.BDP(J108,"PX_LAST")</f>
        <v>-0.29330000000000001</v>
      </c>
      <c r="H108" t="s">
        <v>170</v>
      </c>
      <c r="I108" t="s">
        <v>176</v>
      </c>
      <c r="J108" t="s">
        <v>184</v>
      </c>
      <c r="K108" s="3"/>
      <c r="L108" s="3"/>
      <c r="M108" s="3"/>
      <c r="N108" s="3">
        <v>-0.75480000000000003</v>
      </c>
    </row>
    <row r="109" spans="1:14" x14ac:dyDescent="0.25">
      <c r="A109" s="1">
        <f ca="1">EDATE(Swap_Date,3)</f>
        <v>43528</v>
      </c>
      <c r="B109" s="3">
        <f ca="1">_xll.BDP(H109,"PX_LAST")</f>
        <v>-0.74139999999999995</v>
      </c>
      <c r="C109" s="1">
        <f t="shared" ca="1" si="8"/>
        <v>43726</v>
      </c>
      <c r="D109" s="3">
        <f ca="1">100-_xll.BDP(I109,"PX_LAST")</f>
        <v>-0.71999999999999886</v>
      </c>
      <c r="E109" s="1">
        <f t="shared" ca="1" si="9"/>
        <v>45264</v>
      </c>
      <c r="F109" s="3">
        <f ca="1">_xll.BDP(J109,"PX_LAST")</f>
        <v>-0.1663</v>
      </c>
      <c r="H109" t="s">
        <v>171</v>
      </c>
      <c r="I109" t="s">
        <v>177</v>
      </c>
      <c r="J109" t="s">
        <v>185</v>
      </c>
      <c r="K109" s="3"/>
      <c r="L109" s="3"/>
      <c r="M109" s="3"/>
      <c r="N109" s="3">
        <v>-0.73980000000000001</v>
      </c>
    </row>
    <row r="110" spans="1:14" x14ac:dyDescent="0.25">
      <c r="A110" s="1">
        <f ca="1">EDATE(Swap_Date,6)</f>
        <v>43620</v>
      </c>
      <c r="B110" s="3">
        <f ca="1">_xll.BDP(H110,"PX_LAST")</f>
        <v>-0.66739999999999999</v>
      </c>
      <c r="C110" s="1">
        <f t="shared" ca="1" si="8"/>
        <v>43817</v>
      </c>
      <c r="D110" s="3">
        <f ca="1">100-_xll.BDP(I110,"PX_LAST")</f>
        <v>-0.70000000000000284</v>
      </c>
      <c r="E110" s="1">
        <f t="shared" ca="1" si="9"/>
        <v>45630</v>
      </c>
      <c r="F110" s="3">
        <f ca="1">_xll.BDP(J110,"PX_LAST")</f>
        <v>-4.2500000000000003E-2</v>
      </c>
      <c r="H110" t="s">
        <v>172</v>
      </c>
      <c r="I110" t="s">
        <v>178</v>
      </c>
      <c r="J110" t="s">
        <v>186</v>
      </c>
      <c r="K110" s="3"/>
      <c r="L110" s="3"/>
      <c r="M110" s="3"/>
      <c r="N110" s="3">
        <v>-0.66720000000000002</v>
      </c>
    </row>
    <row r="111" spans="1:14" x14ac:dyDescent="0.25">
      <c r="A111" s="1">
        <f ca="1">EDATE(Swap_Date,12)</f>
        <v>43803</v>
      </c>
      <c r="B111" s="3">
        <f ca="1">_xll.BDP(H111,"PX_LAST")</f>
        <v>-0.53380000000000005</v>
      </c>
      <c r="C111" s="1">
        <f t="shared" ca="1" si="8"/>
        <v>43908</v>
      </c>
      <c r="D111" s="3">
        <f ca="1">100-_xll.BDP(I111,"PX_LAST")</f>
        <v>-0.65000000000000568</v>
      </c>
      <c r="E111" s="1">
        <f t="shared" ca="1" si="9"/>
        <v>45995</v>
      </c>
      <c r="F111" s="3">
        <f ca="1">_xll.BDP(J111,"PX_LAST")</f>
        <v>8.1900000000000001E-2</v>
      </c>
      <c r="H111" t="s">
        <v>173</v>
      </c>
      <c r="I111" t="s">
        <v>179</v>
      </c>
      <c r="J111" t="s">
        <v>187</v>
      </c>
      <c r="K111" s="3"/>
      <c r="L111" s="3"/>
      <c r="M111" s="3"/>
      <c r="N111" s="3">
        <v>-0.53120000000000001</v>
      </c>
    </row>
    <row r="112" spans="1:14" x14ac:dyDescent="0.25">
      <c r="C112" s="1">
        <f t="shared" ca="1" si="8"/>
        <v>43999</v>
      </c>
      <c r="D112" s="3">
        <f ca="1">100-_xll.BDP(I112,"PX_LAST")</f>
        <v>-0.57999999999999829</v>
      </c>
      <c r="E112" s="1">
        <f t="shared" ca="1" si="9"/>
        <v>46360</v>
      </c>
      <c r="F112" s="3">
        <f ca="1">_xll.BDP(J112,"PX_LAST")</f>
        <v>0.185</v>
      </c>
      <c r="I112" t="s">
        <v>180</v>
      </c>
      <c r="J112" t="s">
        <v>188</v>
      </c>
      <c r="K112" s="3"/>
      <c r="L112" s="3"/>
      <c r="M112" s="3"/>
      <c r="N112" s="3"/>
    </row>
    <row r="113" spans="3:14" x14ac:dyDescent="0.25">
      <c r="C113" s="1">
        <f t="shared" ca="1" si="8"/>
        <v>44090</v>
      </c>
      <c r="D113" s="3">
        <f ca="1">100-_xll.BDP(I113,"PX_LAST")</f>
        <v>-0.48999999999999488</v>
      </c>
      <c r="E113" s="1">
        <f t="shared" ca="1" si="9"/>
        <v>46725</v>
      </c>
      <c r="F113" s="3">
        <f ca="1">_xll.BDP(J113,"PX_LAST")</f>
        <v>0.28799999999999998</v>
      </c>
      <c r="I113" t="s">
        <v>181</v>
      </c>
      <c r="J113" t="s">
        <v>189</v>
      </c>
      <c r="K113" s="3"/>
      <c r="L113" s="3"/>
      <c r="M113" s="3"/>
      <c r="N113" s="3"/>
    </row>
    <row r="114" spans="3:14" x14ac:dyDescent="0.25">
      <c r="E114" s="1">
        <f t="shared" ca="1" si="9"/>
        <v>47091</v>
      </c>
      <c r="F114" s="3">
        <f ca="1">_xll.BDP(J114,"PX_LAST")</f>
        <v>0.39100000000000001</v>
      </c>
      <c r="J114" t="s">
        <v>190</v>
      </c>
      <c r="K114" s="3"/>
      <c r="L114" s="3"/>
      <c r="M114" s="3"/>
      <c r="N114" s="3"/>
    </row>
    <row r="115" spans="3:14" x14ac:dyDescent="0.25">
      <c r="E115" s="1">
        <f t="shared" ca="1" si="9"/>
        <v>47456</v>
      </c>
      <c r="F115" s="3">
        <f ca="1">_xll.BDP(J115,"PX_LAST")</f>
        <v>0.46</v>
      </c>
      <c r="J115" t="s">
        <v>191</v>
      </c>
      <c r="K115" s="3"/>
      <c r="L115" s="3"/>
      <c r="M115" s="3"/>
      <c r="N115" s="3"/>
    </row>
    <row r="116" spans="3:14" x14ac:dyDescent="0.25">
      <c r="E116" s="1">
        <f t="shared" ca="1" si="9"/>
        <v>47821</v>
      </c>
      <c r="F116" s="3">
        <f ca="1">_xll.BDP(J116,"PX_LAST")</f>
        <v>0.53879999999999995</v>
      </c>
      <c r="J116" t="s">
        <v>192</v>
      </c>
      <c r="K116" s="3"/>
      <c r="L116" s="3"/>
      <c r="M116" s="3"/>
      <c r="N116" s="3"/>
    </row>
    <row r="117" spans="3:14" x14ac:dyDescent="0.25">
      <c r="E117" s="1">
        <f t="shared" ca="1" si="9"/>
        <v>48186</v>
      </c>
      <c r="F117" s="3">
        <f ca="1">_xll.BDP(J117,"PX_LAST")</f>
        <v>0.59499999999999997</v>
      </c>
      <c r="J117" t="s">
        <v>193</v>
      </c>
      <c r="K117" s="3"/>
      <c r="L117" s="3"/>
      <c r="M117" s="3"/>
      <c r="N117" s="3"/>
    </row>
    <row r="118" spans="3:14" x14ac:dyDescent="0.25">
      <c r="E118" s="1">
        <f t="shared" ca="1" si="9"/>
        <v>48552</v>
      </c>
      <c r="F118" s="3">
        <f ca="1">_xll.BDP(J118,"PX_LAST")</f>
        <v>0.64380000000000004</v>
      </c>
      <c r="J118" t="s">
        <v>194</v>
      </c>
      <c r="K118" s="3"/>
      <c r="L118" s="3"/>
      <c r="M118" s="3"/>
      <c r="N118" s="3"/>
    </row>
    <row r="119" spans="3:14" x14ac:dyDescent="0.25">
      <c r="E119" s="1">
        <f t="shared" ca="1" si="9"/>
        <v>48917</v>
      </c>
      <c r="F119" s="3">
        <f ca="1">_xll.BDP(J119,"PX_LAST")</f>
        <v>0.69750000000000001</v>
      </c>
      <c r="J119" t="s">
        <v>195</v>
      </c>
      <c r="K119" s="3"/>
      <c r="L119" s="3"/>
      <c r="M119" s="3"/>
      <c r="N119" s="3"/>
    </row>
    <row r="120" spans="3:14" x14ac:dyDescent="0.25">
      <c r="E120" s="1">
        <f ca="1">EDATE(E119,60)</f>
        <v>50743</v>
      </c>
      <c r="F120" s="3">
        <f ca="1">_xll.BDP(J120,"PX_LAST")</f>
        <v>0.84130000000000005</v>
      </c>
      <c r="J120" t="s">
        <v>196</v>
      </c>
      <c r="K120" s="3"/>
      <c r="L120" s="3"/>
      <c r="M120" s="3"/>
      <c r="N120" s="3"/>
    </row>
    <row r="121" spans="3:14" x14ac:dyDescent="0.25">
      <c r="E121" s="1">
        <f ca="1">EDATE(E120,60)</f>
        <v>52569</v>
      </c>
      <c r="F121" s="3">
        <f ca="1">_xll.BDP(J121,"PX_LAST")</f>
        <v>0.90129999999999999</v>
      </c>
      <c r="J121" t="s">
        <v>197</v>
      </c>
      <c r="K121" s="3"/>
      <c r="L121" s="3"/>
      <c r="M121" s="3"/>
      <c r="N121" s="3"/>
    </row>
    <row r="122" spans="3:14" x14ac:dyDescent="0.25">
      <c r="E122" s="1">
        <f ca="1">EDATE(E121,60)</f>
        <v>54396</v>
      </c>
      <c r="F122" s="3">
        <f ca="1">_xll.BDP(J122,"PX_LAST")</f>
        <v>0.92130000000000001</v>
      </c>
      <c r="J122" t="s">
        <v>198</v>
      </c>
      <c r="K122" s="3"/>
      <c r="M122" s="3"/>
      <c r="N122" s="3"/>
    </row>
    <row r="123" spans="3:14" x14ac:dyDescent="0.25">
      <c r="E123" s="1">
        <f ca="1">EDATE(E122,120)</f>
        <v>58048</v>
      </c>
      <c r="F123" s="3">
        <f ca="1">_xll.BDP(J123,"PX_LAST")</f>
        <v>0.96250000000000002</v>
      </c>
      <c r="J123" t="s">
        <v>199</v>
      </c>
      <c r="K123" s="3"/>
      <c r="M123" s="3"/>
      <c r="N123" s="3"/>
    </row>
    <row r="124" spans="3:14" x14ac:dyDescent="0.25">
      <c r="E124" s="1">
        <f ca="1">EDATE(E123,12)</f>
        <v>58413</v>
      </c>
      <c r="F124" s="3">
        <f ca="1">F123</f>
        <v>0.96250000000000002</v>
      </c>
      <c r="G124" s="3"/>
      <c r="H124" s="3"/>
      <c r="I124" s="3"/>
      <c r="J124" s="3"/>
      <c r="K124" s="3"/>
      <c r="M124" s="3"/>
      <c r="N124" s="3"/>
    </row>
    <row r="125" spans="3:14" x14ac:dyDescent="0.25">
      <c r="E125" s="1"/>
      <c r="F125" s="3"/>
      <c r="G125" s="3"/>
      <c r="H125" s="3"/>
      <c r="I125" s="3"/>
      <c r="J125" s="3"/>
      <c r="K125" s="3"/>
      <c r="M125" s="3"/>
      <c r="N125" s="3"/>
    </row>
    <row r="129" spans="1:16" x14ac:dyDescent="0.25">
      <c r="A129" s="8" t="s">
        <v>21</v>
      </c>
      <c r="B129" s="9">
        <v>6</v>
      </c>
      <c r="C129" s="9"/>
      <c r="D129" s="9">
        <v>8</v>
      </c>
      <c r="E129" s="9"/>
      <c r="F129" s="9">
        <v>16</v>
      </c>
    </row>
    <row r="130" spans="1:16" x14ac:dyDescent="0.25">
      <c r="A130" t="s">
        <v>29</v>
      </c>
      <c r="B130" t="s">
        <v>30</v>
      </c>
      <c r="C130" t="s">
        <v>31</v>
      </c>
      <c r="D130" t="s">
        <v>32</v>
      </c>
      <c r="E130" t="s">
        <v>33</v>
      </c>
      <c r="F130" t="s">
        <v>34</v>
      </c>
    </row>
    <row r="131" spans="1:16" x14ac:dyDescent="0.25">
      <c r="A131" s="1">
        <f ca="1">WORKDAY(Swap_Date,1)</f>
        <v>43439</v>
      </c>
      <c r="B131" s="3">
        <f ca="1">_xll.BDP(H131,"PX_LAST")</f>
        <v>1.75</v>
      </c>
      <c r="C131" s="1">
        <f ca="1">nextimm(Swap_Date)</f>
        <v>43453</v>
      </c>
      <c r="D131" s="3" t="e">
        <f ca="1">100-IF(_xll.BDP(I131,"PX_LAST")="#N/A N/A",100-B134,_xll.BDP(I131,"PX_LAST"))</f>
        <v>#VALUE!</v>
      </c>
      <c r="E131" s="1">
        <f ca="1">EDATE(Swap_Date,24)</f>
        <v>44169</v>
      </c>
      <c r="F131" s="3">
        <f ca="1">_xll.BDP(J131,"PX_LAST")</f>
        <v>2.5002</v>
      </c>
      <c r="H131" t="s">
        <v>200</v>
      </c>
      <c r="I131" t="s">
        <v>206</v>
      </c>
      <c r="J131" t="s">
        <v>214</v>
      </c>
      <c r="L131" s="3"/>
      <c r="N131">
        <v>1.75</v>
      </c>
    </row>
    <row r="132" spans="1:16" x14ac:dyDescent="0.25">
      <c r="A132" s="1">
        <f ca="1">EDATE(Swap_Date,1)</f>
        <v>43469</v>
      </c>
      <c r="B132" s="3">
        <f ca="1">_xll.BDP(H132,"PX_LAST")</f>
        <v>2.1612499999999999</v>
      </c>
      <c r="C132" s="1">
        <f ca="1">nextimm(C131+1)</f>
        <v>43544</v>
      </c>
      <c r="D132" s="3">
        <f ca="1">100-_xll.BDP(I132,"PX_LAST")</f>
        <v>2.2849999999999966</v>
      </c>
      <c r="E132" s="1">
        <f ca="1">EDATE(E131,12)</f>
        <v>44534</v>
      </c>
      <c r="F132" s="3">
        <f ca="1">_xll.BDP(J132,"PX_LAST")</f>
        <v>2.5413000000000001</v>
      </c>
      <c r="H132" t="s">
        <v>201</v>
      </c>
      <c r="I132" t="s">
        <v>207</v>
      </c>
      <c r="J132" t="s">
        <v>215</v>
      </c>
      <c r="N132">
        <v>2.13375</v>
      </c>
      <c r="P132" s="3"/>
    </row>
    <row r="133" spans="1:16" x14ac:dyDescent="0.25">
      <c r="A133" s="1">
        <f ca="1">EDATE(Swap_Date,2)</f>
        <v>43500</v>
      </c>
      <c r="B133" s="3">
        <f ca="1">_xll.BDP(H133,"PX_LAST")</f>
        <v>2.19</v>
      </c>
      <c r="C133" s="1">
        <f t="shared" ref="C133:C138" ca="1" si="10">nextimm(C132+1)</f>
        <v>43635</v>
      </c>
      <c r="D133" s="3">
        <f ca="1">100-_xll.BDP(I133,"PX_LAST")</f>
        <v>2.4050000000000011</v>
      </c>
      <c r="E133" s="1">
        <f t="shared" ref="E133:E139" ca="1" si="11">EDATE(E132,12)</f>
        <v>44899</v>
      </c>
      <c r="F133" s="3">
        <f ca="1">_xll.BDP(J133,"PX_LAST")</f>
        <v>2.5607000000000002</v>
      </c>
      <c r="H133" t="s">
        <v>202</v>
      </c>
      <c r="I133" t="s">
        <v>208</v>
      </c>
      <c r="J133" t="s">
        <v>216</v>
      </c>
      <c r="N133" s="3">
        <v>2.1687500000000002</v>
      </c>
      <c r="P133" s="3"/>
    </row>
    <row r="134" spans="1:16" x14ac:dyDescent="0.25">
      <c r="A134" s="1">
        <f ca="1">EDATE(Swap_Date,3)</f>
        <v>43528</v>
      </c>
      <c r="B134" s="3">
        <f ca="1">_xll.BDP(H134,"PX_LAST")</f>
        <v>2.2524999999999999</v>
      </c>
      <c r="C134" s="1">
        <f t="shared" ca="1" si="10"/>
        <v>43726</v>
      </c>
      <c r="D134" s="3">
        <f ca="1">100-_xll.BDP(I134,"PX_LAST")</f>
        <v>2.4849999999999994</v>
      </c>
      <c r="E134" s="1">
        <f t="shared" ca="1" si="11"/>
        <v>45264</v>
      </c>
      <c r="F134" s="3">
        <f ca="1">_xll.BDP(J134,"PX_LAST")</f>
        <v>2.5724999999999998</v>
      </c>
      <c r="H134" t="s">
        <v>203</v>
      </c>
      <c r="I134" t="s">
        <v>209</v>
      </c>
      <c r="J134" t="s">
        <v>217</v>
      </c>
      <c r="N134" s="3">
        <v>2.2400000000000002</v>
      </c>
      <c r="P134" s="3"/>
    </row>
    <row r="135" spans="1:16" x14ac:dyDescent="0.25">
      <c r="A135" s="1">
        <f ca="1">EDATE(Swap_Date,6)</f>
        <v>43620</v>
      </c>
      <c r="B135" s="3">
        <f ca="1">_xll.BDP(H135,"PX_LAST")</f>
        <v>2.3449999999999998</v>
      </c>
      <c r="C135" s="1">
        <f t="shared" ca="1" si="10"/>
        <v>43817</v>
      </c>
      <c r="D135" s="3">
        <f ca="1">100-_xll.BDP(I135,"PX_LAST")</f>
        <v>2.5349999999999966</v>
      </c>
      <c r="E135" s="1">
        <f t="shared" ca="1" si="11"/>
        <v>45630</v>
      </c>
      <c r="F135" s="3">
        <f ca="1">_xll.BDP(J135,"PX_LAST")</f>
        <v>2.5893999999999999</v>
      </c>
      <c r="H135" t="s">
        <v>204</v>
      </c>
      <c r="I135" t="s">
        <v>210</v>
      </c>
      <c r="J135" t="s">
        <v>218</v>
      </c>
      <c r="N135" s="3">
        <v>2.34</v>
      </c>
      <c r="P135" s="3"/>
    </row>
    <row r="136" spans="1:16" x14ac:dyDescent="0.25">
      <c r="A136" s="1">
        <f ca="1">EDATE(Swap_Date,12)</f>
        <v>43803</v>
      </c>
      <c r="B136" s="3">
        <f ca="1">_xll.BDP(H136,"PX_LAST")</f>
        <v>2.5637499999999998</v>
      </c>
      <c r="C136" s="1">
        <f t="shared" ca="1" si="10"/>
        <v>43908</v>
      </c>
      <c r="D136" s="3">
        <f ca="1">100-_xll.BDP(I136,"PX_LAST")</f>
        <v>2.5849999999999937</v>
      </c>
      <c r="E136" s="1">
        <f t="shared" ca="1" si="11"/>
        <v>45995</v>
      </c>
      <c r="F136" s="3">
        <f ca="1">_xll.BDP(J136,"PX_LAST")</f>
        <v>2.6113</v>
      </c>
      <c r="H136" t="s">
        <v>205</v>
      </c>
      <c r="I136" t="s">
        <v>211</v>
      </c>
      <c r="J136" t="s">
        <v>219</v>
      </c>
      <c r="N136" s="3">
        <v>2.5562499999999999</v>
      </c>
      <c r="P136" s="3"/>
    </row>
    <row r="137" spans="1:16" x14ac:dyDescent="0.25">
      <c r="C137" s="1">
        <f t="shared" ca="1" si="10"/>
        <v>43999</v>
      </c>
      <c r="D137" s="3">
        <f ca="1">100-_xll.BDP(I137,"PX_LAST")</f>
        <v>2.6099999999999994</v>
      </c>
      <c r="E137" s="1">
        <f t="shared" ca="1" si="11"/>
        <v>46360</v>
      </c>
      <c r="F137" s="3">
        <f ca="1">_xll.BDP(J137,"PX_LAST")</f>
        <v>2.6332</v>
      </c>
      <c r="I137" t="s">
        <v>212</v>
      </c>
      <c r="J137" t="s">
        <v>220</v>
      </c>
      <c r="N137" s="3"/>
      <c r="P137" s="3"/>
    </row>
    <row r="138" spans="1:16" x14ac:dyDescent="0.25">
      <c r="C138" s="1">
        <f t="shared" ca="1" si="10"/>
        <v>44090</v>
      </c>
      <c r="D138" s="3">
        <f ca="1">100-_xll.BDP(I138,"PX_LAST")</f>
        <v>2.6200000000000045</v>
      </c>
      <c r="E138" s="1">
        <f t="shared" ca="1" si="11"/>
        <v>46725</v>
      </c>
      <c r="F138" s="3">
        <f ca="1">_xll.BDP(J138,"PX_LAST")</f>
        <v>2.6551</v>
      </c>
      <c r="I138" t="s">
        <v>213</v>
      </c>
      <c r="J138" t="s">
        <v>221</v>
      </c>
      <c r="N138" s="3"/>
      <c r="P138" s="3"/>
    </row>
    <row r="139" spans="1:16" x14ac:dyDescent="0.25">
      <c r="E139" s="1">
        <f t="shared" ca="1" si="11"/>
        <v>47091</v>
      </c>
      <c r="F139" s="3">
        <f ca="1">_xll.BDP(J139,"PX_LAST")</f>
        <v>2.6736</v>
      </c>
      <c r="J139" t="s">
        <v>222</v>
      </c>
      <c r="N139" s="3"/>
      <c r="P139" s="3"/>
    </row>
    <row r="140" spans="1:16" x14ac:dyDescent="0.25">
      <c r="E140" s="1">
        <f ca="1">EDATE(E139,24)</f>
        <v>47821</v>
      </c>
      <c r="F140" s="3">
        <f ca="1">_xll.BDP(J140,"PX_LAST")</f>
        <v>2.7193000000000001</v>
      </c>
      <c r="J140" t="s">
        <v>223</v>
      </c>
      <c r="N140" s="3"/>
      <c r="P140" s="3"/>
    </row>
    <row r="141" spans="1:16" x14ac:dyDescent="0.25">
      <c r="E141" s="1">
        <f ca="1">EDATE(E140,36)</f>
        <v>48917</v>
      </c>
      <c r="F141" s="3">
        <f ca="1">_xll.BDP(J141,"PX_LAST")</f>
        <v>2.7694999999999999</v>
      </c>
      <c r="J141" t="s">
        <v>224</v>
      </c>
      <c r="N141" s="3"/>
      <c r="P141" s="3"/>
    </row>
    <row r="142" spans="1:16" x14ac:dyDescent="0.25">
      <c r="E142" s="1">
        <f ca="1">EDATE(E141,60)</f>
        <v>50743</v>
      </c>
      <c r="F142" s="3">
        <f ca="1">_xll.BDP(J142,"PX_LAST")</f>
        <v>2.8262999999999998</v>
      </c>
      <c r="J142" t="s">
        <v>225</v>
      </c>
      <c r="P142" s="3"/>
    </row>
    <row r="143" spans="1:16" x14ac:dyDescent="0.25">
      <c r="E143" s="1">
        <f ca="1">EDATE(E142,60)</f>
        <v>52569</v>
      </c>
      <c r="F143" s="3">
        <f ca="1">_xll.BDP(J143,"PX_LAST")</f>
        <v>2.8109000000000002</v>
      </c>
      <c r="J143" t="s">
        <v>226</v>
      </c>
      <c r="P143" s="3"/>
    </row>
    <row r="144" spans="1:16" x14ac:dyDescent="0.25">
      <c r="E144" s="1">
        <f ca="1">EDATE(E143,60)</f>
        <v>54396</v>
      </c>
      <c r="F144" s="3">
        <f ca="1">_xll.BDP(J144,"PX_LAST")</f>
        <v>2.7905000000000002</v>
      </c>
      <c r="J144" t="s">
        <v>227</v>
      </c>
      <c r="P144" s="3"/>
    </row>
    <row r="145" spans="1:16" x14ac:dyDescent="0.25">
      <c r="E145" s="1">
        <f ca="1">EDATE(E144,120)</f>
        <v>58048</v>
      </c>
      <c r="F145" s="3">
        <f ca="1">_xll.BDP(J145,"PX_LAST")</f>
        <v>2.7804000000000002</v>
      </c>
      <c r="J145" t="s">
        <v>228</v>
      </c>
      <c r="P145" s="3"/>
    </row>
    <row r="146" spans="1:16" x14ac:dyDescent="0.25">
      <c r="E146" s="1">
        <f ca="1">EDATE(E145,12)</f>
        <v>58413</v>
      </c>
      <c r="F146">
        <f ca="1">F145</f>
        <v>2.7804000000000002</v>
      </c>
    </row>
    <row r="154" spans="1:16" x14ac:dyDescent="0.25">
      <c r="A154" s="8" t="s">
        <v>231</v>
      </c>
      <c r="B154" s="9">
        <v>6</v>
      </c>
      <c r="C154" s="9"/>
      <c r="D154" s="9">
        <v>0</v>
      </c>
      <c r="E154" s="9"/>
      <c r="F154" s="9">
        <v>16</v>
      </c>
      <c r="G154" s="3"/>
      <c r="H154" s="3" t="s">
        <v>369</v>
      </c>
      <c r="I154" s="3"/>
      <c r="J154" s="3"/>
      <c r="K154" t="s">
        <v>370</v>
      </c>
      <c r="L154">
        <f ca="1">F165-F160</f>
        <v>0.75839999999999996</v>
      </c>
    </row>
    <row r="155" spans="1:16" x14ac:dyDescent="0.25">
      <c r="A155" s="3" t="s">
        <v>29</v>
      </c>
      <c r="B155" s="3" t="s">
        <v>30</v>
      </c>
      <c r="C155" s="3" t="s">
        <v>31</v>
      </c>
      <c r="D155" s="3" t="s">
        <v>32</v>
      </c>
      <c r="E155" s="3" t="s">
        <v>33</v>
      </c>
      <c r="F155" s="3" t="s">
        <v>34</v>
      </c>
      <c r="G155" s="3"/>
      <c r="H155" s="3"/>
      <c r="I155" s="3"/>
      <c r="J155" s="3"/>
    </row>
    <row r="156" spans="1:16" x14ac:dyDescent="0.25">
      <c r="A156" s="1">
        <f ca="1">WORKDAY(Swap_Date,1)</f>
        <v>43439</v>
      </c>
      <c r="B156" s="3" t="s">
        <v>247</v>
      </c>
      <c r="C156" s="1">
        <f ca="1">nextimm(Swap_Date)</f>
        <v>43453</v>
      </c>
      <c r="D156" s="3" t="s">
        <v>247</v>
      </c>
      <c r="E156" s="1">
        <f ca="1">EDATE(Swap_Date,12)</f>
        <v>43803</v>
      </c>
      <c r="F156" s="3">
        <f ca="1">_xll.BDP(J156,"PX_LAST")</f>
        <v>6.9257</v>
      </c>
      <c r="G156" s="3"/>
      <c r="H156" s="3"/>
      <c r="I156" s="3"/>
      <c r="J156" s="3" t="s">
        <v>237</v>
      </c>
      <c r="L156" s="20"/>
      <c r="N156">
        <v>5.7073999999999998</v>
      </c>
      <c r="O156">
        <f ca="1">F156-N156</f>
        <v>1.2183000000000002</v>
      </c>
      <c r="P156">
        <f ca="1">F156-O156</f>
        <v>5.7073999999999998</v>
      </c>
    </row>
    <row r="157" spans="1:16" x14ac:dyDescent="0.25">
      <c r="A157" s="1">
        <f ca="1">EDATE(Swap_Date,1)</f>
        <v>43469</v>
      </c>
      <c r="B157" s="3">
        <f ca="1">_xll.BDP(H157,"PX_LAST")</f>
        <v>6.4156000000000004</v>
      </c>
      <c r="C157" s="1">
        <f ca="1">nextimm(C156+1)</f>
        <v>43544</v>
      </c>
      <c r="D157" s="3" t="s">
        <v>247</v>
      </c>
      <c r="E157" s="1">
        <f ca="1">EDATE(E156,12)</f>
        <v>44169</v>
      </c>
      <c r="F157" s="3">
        <f ca="1">_xll.BDP(J157,"PX_LAST")</f>
        <v>7.9432</v>
      </c>
      <c r="G157" s="3">
        <f t="shared" ref="G157:G164" ca="1" si="12">100*(F157-F156)</f>
        <v>101.75</v>
      </c>
      <c r="H157" t="s">
        <v>232</v>
      </c>
      <c r="I157" s="3"/>
      <c r="J157" s="3" t="s">
        <v>238</v>
      </c>
      <c r="N157">
        <v>6.5526</v>
      </c>
      <c r="O157" s="3">
        <f t="shared" ref="O157:O164" ca="1" si="13">F157-N157</f>
        <v>1.3906000000000001</v>
      </c>
      <c r="P157" s="3">
        <f t="shared" ref="P157:P172" ca="1" si="14">F157-O157</f>
        <v>6.5526</v>
      </c>
    </row>
    <row r="158" spans="1:16" x14ac:dyDescent="0.25">
      <c r="A158" s="1">
        <f ca="1">EDATE(A157,1)</f>
        <v>43500</v>
      </c>
      <c r="B158" s="3">
        <f ca="1">$B$157</f>
        <v>6.4156000000000004</v>
      </c>
      <c r="C158" s="1">
        <f t="shared" ref="C158:C163" ca="1" si="15">nextimm(C157+1)</f>
        <v>43635</v>
      </c>
      <c r="D158" s="3" t="s">
        <v>247</v>
      </c>
      <c r="E158" s="1">
        <f ca="1">EDATE(E157,12)</f>
        <v>44534</v>
      </c>
      <c r="F158" s="3">
        <f ca="1">_xll.BDP(J158,"PX_LAST")</f>
        <v>8.7112999999999996</v>
      </c>
      <c r="G158" s="3">
        <f t="shared" ca="1" si="12"/>
        <v>76.80999999999996</v>
      </c>
      <c r="H158" s="3" t="s">
        <v>233</v>
      </c>
      <c r="I158" s="3"/>
      <c r="J158" s="3" t="s">
        <v>239</v>
      </c>
      <c r="N158">
        <v>7.1788999999999996</v>
      </c>
      <c r="O158" s="3">
        <f t="shared" ca="1" si="13"/>
        <v>1.5324</v>
      </c>
      <c r="P158" s="3">
        <f t="shared" ca="1" si="14"/>
        <v>7.1788999999999996</v>
      </c>
    </row>
    <row r="159" spans="1:16" x14ac:dyDescent="0.25">
      <c r="A159" s="1">
        <f ca="1">EDATE(A158,1)</f>
        <v>43528</v>
      </c>
      <c r="B159" s="3">
        <f ca="1">_xll.BDP(H159,"PX_LAST")</f>
        <v>6.4370000000000003</v>
      </c>
      <c r="C159" s="1">
        <f t="shared" ca="1" si="15"/>
        <v>43726</v>
      </c>
      <c r="D159" s="3" t="s">
        <v>247</v>
      </c>
      <c r="E159" s="1">
        <f t="shared" ref="E159:E165" ca="1" si="16">EDATE(E158,12)</f>
        <v>44899</v>
      </c>
      <c r="F159" s="3">
        <f ca="1">_xll.BDP(J159,"PX_LAST")</f>
        <v>9.1854999999999993</v>
      </c>
      <c r="G159" s="3">
        <f t="shared" ca="1" si="12"/>
        <v>47.419999999999973</v>
      </c>
      <c r="H159" s="3" t="s">
        <v>234</v>
      </c>
      <c r="I159" s="3"/>
      <c r="J159" s="3" t="s">
        <v>240</v>
      </c>
      <c r="N159">
        <v>7.5522999999999998</v>
      </c>
      <c r="O159" s="3">
        <f t="shared" ca="1" si="13"/>
        <v>1.6331999999999995</v>
      </c>
      <c r="P159" s="3">
        <f t="shared" ca="1" si="14"/>
        <v>7.5522999999999998</v>
      </c>
    </row>
    <row r="160" spans="1:16" x14ac:dyDescent="0.25">
      <c r="A160" s="1">
        <f ca="1">EDATE(A159,3)</f>
        <v>43620</v>
      </c>
      <c r="B160" s="3">
        <f ca="1">_xll.BDP(H160,"PX_LAST")</f>
        <v>6.532</v>
      </c>
      <c r="C160" s="1">
        <f t="shared" ca="1" si="15"/>
        <v>43817</v>
      </c>
      <c r="D160" s="3" t="s">
        <v>247</v>
      </c>
      <c r="E160" s="1">
        <f t="shared" ca="1" si="16"/>
        <v>45264</v>
      </c>
      <c r="F160" s="3">
        <f ca="1">_xll.BDP(J160,"PX_LAST")</f>
        <v>9.5045000000000002</v>
      </c>
      <c r="G160" s="3">
        <f t="shared" ca="1" si="12"/>
        <v>31.900000000000084</v>
      </c>
      <c r="H160" s="3" t="s">
        <v>235</v>
      </c>
      <c r="I160" s="3"/>
      <c r="J160" s="3" t="s">
        <v>241</v>
      </c>
      <c r="N160">
        <v>7.8151999999999999</v>
      </c>
      <c r="O160" s="3">
        <f t="shared" ca="1" si="13"/>
        <v>1.6893000000000002</v>
      </c>
      <c r="P160" s="3">
        <f t="shared" ca="1" si="14"/>
        <v>7.8151999999999999</v>
      </c>
    </row>
    <row r="161" spans="1:16" x14ac:dyDescent="0.25">
      <c r="A161" s="1">
        <f ca="1">EDATE(A160,3)</f>
        <v>43712</v>
      </c>
      <c r="B161" s="3">
        <f ca="1">_xll.BDP(H161,"PX_LAST")</f>
        <v>6.6638000000000002</v>
      </c>
      <c r="C161" s="1">
        <f t="shared" ca="1" si="15"/>
        <v>43908</v>
      </c>
      <c r="D161" s="3" t="s">
        <v>247</v>
      </c>
      <c r="E161" s="1">
        <f t="shared" ca="1" si="16"/>
        <v>45630</v>
      </c>
      <c r="F161" s="3">
        <f ca="1">_xll.BDP(J161,"PX_LAST")</f>
        <v>9.7401</v>
      </c>
      <c r="G161" s="3">
        <f t="shared" ca="1" si="12"/>
        <v>23.559999999999981</v>
      </c>
      <c r="H161" s="3" t="s">
        <v>236</v>
      </c>
      <c r="I161" s="3"/>
      <c r="J161" s="3" t="s">
        <v>242</v>
      </c>
      <c r="N161">
        <v>8.0724999999999998</v>
      </c>
      <c r="O161" s="3">
        <f t="shared" ca="1" si="13"/>
        <v>1.6676000000000002</v>
      </c>
      <c r="P161" s="3">
        <f t="shared" ca="1" si="14"/>
        <v>8.0724999999999998</v>
      </c>
    </row>
    <row r="162" spans="1:16" x14ac:dyDescent="0.25">
      <c r="A162" s="3"/>
      <c r="B162" s="3"/>
      <c r="C162" s="1">
        <f t="shared" ca="1" si="15"/>
        <v>43999</v>
      </c>
      <c r="D162" s="3" t="s">
        <v>247</v>
      </c>
      <c r="E162" s="1">
        <f t="shared" ca="1" si="16"/>
        <v>45995</v>
      </c>
      <c r="F162" s="3">
        <f ca="1">_xll.BDP(J162,"PX_LAST")</f>
        <v>9.9295000000000009</v>
      </c>
      <c r="G162" s="3">
        <f t="shared" ca="1" si="12"/>
        <v>18.94000000000009</v>
      </c>
      <c r="H162" s="3"/>
      <c r="I162" s="3"/>
      <c r="J162" s="3" t="s">
        <v>243</v>
      </c>
      <c r="N162">
        <v>8.2072000000000003</v>
      </c>
      <c r="O162" s="3">
        <f t="shared" ca="1" si="13"/>
        <v>1.7223000000000006</v>
      </c>
      <c r="P162" s="3">
        <f t="shared" ca="1" si="14"/>
        <v>8.2072000000000003</v>
      </c>
    </row>
    <row r="163" spans="1:16" x14ac:dyDescent="0.25">
      <c r="A163" s="3"/>
      <c r="B163" s="3"/>
      <c r="C163" s="1">
        <f t="shared" ca="1" si="15"/>
        <v>44090</v>
      </c>
      <c r="D163" s="3" t="s">
        <v>247</v>
      </c>
      <c r="E163" s="1">
        <f t="shared" ca="1" si="16"/>
        <v>46360</v>
      </c>
      <c r="F163" s="3">
        <f ca="1">_xll.BDP(J163,"PX_LAST")</f>
        <v>10.0823</v>
      </c>
      <c r="G163" s="3">
        <f t="shared" ca="1" si="12"/>
        <v>15.279999999999916</v>
      </c>
      <c r="H163" s="3"/>
      <c r="I163" s="3"/>
      <c r="J163" s="3" t="s">
        <v>244</v>
      </c>
      <c r="N163">
        <v>8.3289000000000009</v>
      </c>
      <c r="O163" s="3">
        <f t="shared" ca="1" si="13"/>
        <v>1.7533999999999992</v>
      </c>
      <c r="P163" s="3">
        <f t="shared" ca="1" si="14"/>
        <v>8.3289000000000009</v>
      </c>
    </row>
    <row r="164" spans="1:16" x14ac:dyDescent="0.25">
      <c r="A164" s="3"/>
      <c r="B164" s="3"/>
      <c r="C164" s="3"/>
      <c r="D164" s="3"/>
      <c r="E164" s="1">
        <f t="shared" ca="1" si="16"/>
        <v>46725</v>
      </c>
      <c r="F164" s="3">
        <f ca="1">_xll.BDP(J164,"PX_LAST")</f>
        <v>10.1591</v>
      </c>
      <c r="G164" s="3">
        <f t="shared" ca="1" si="12"/>
        <v>7.6800000000000423</v>
      </c>
      <c r="H164" s="3"/>
      <c r="I164" s="3"/>
      <c r="J164" s="3" t="s">
        <v>245</v>
      </c>
      <c r="N164">
        <v>8.3926999999999996</v>
      </c>
      <c r="O164" s="3">
        <f t="shared" ca="1" si="13"/>
        <v>1.7664000000000009</v>
      </c>
      <c r="P164" s="3">
        <f t="shared" ca="1" si="14"/>
        <v>8.3926999999999996</v>
      </c>
    </row>
    <row r="165" spans="1:16" x14ac:dyDescent="0.25">
      <c r="A165" s="3"/>
      <c r="B165" s="3"/>
      <c r="C165" s="3"/>
      <c r="D165" s="3"/>
      <c r="E165" s="1">
        <f t="shared" ca="1" si="16"/>
        <v>47091</v>
      </c>
      <c r="F165" s="3">
        <f ca="1">_xll.BDP(J165,"PX_LAST")</f>
        <v>10.2629</v>
      </c>
      <c r="G165" s="3">
        <f ca="1">100*(F165-F164)</f>
        <v>10.379999999999967</v>
      </c>
      <c r="H165" s="3"/>
      <c r="I165" s="3"/>
      <c r="J165" s="3" t="s">
        <v>246</v>
      </c>
      <c r="O165" s="3">
        <f ca="1">O164</f>
        <v>1.7664000000000009</v>
      </c>
      <c r="P165" s="3">
        <f t="shared" ca="1" si="14"/>
        <v>8.4964999999999993</v>
      </c>
    </row>
    <row r="166" spans="1:16" x14ac:dyDescent="0.25">
      <c r="A166" s="3"/>
      <c r="B166" s="3"/>
      <c r="C166" s="3"/>
      <c r="D166" s="3"/>
      <c r="E166" s="1">
        <f ca="1">EDATE(E165,24)</f>
        <v>47821</v>
      </c>
      <c r="F166" s="3">
        <f ca="1">F165+(E166-E165)/(E167-E165)*(F167-F165)</f>
        <v>10.414496933187294</v>
      </c>
      <c r="G166" s="3"/>
      <c r="H166" s="3"/>
      <c r="I166" s="3"/>
      <c r="J166" s="3" t="s">
        <v>246</v>
      </c>
      <c r="O166" s="3">
        <f t="shared" ref="O166:O172" ca="1" si="17">O165</f>
        <v>1.7664000000000009</v>
      </c>
      <c r="P166" s="3">
        <f t="shared" ca="1" si="14"/>
        <v>8.6480969331872934</v>
      </c>
    </row>
    <row r="167" spans="1:16" x14ac:dyDescent="0.25">
      <c r="A167" s="3"/>
      <c r="B167" s="3"/>
      <c r="C167" s="3"/>
      <c r="D167" s="3"/>
      <c r="E167" s="1">
        <f ca="1">EDATE(E166,36)</f>
        <v>48917</v>
      </c>
      <c r="F167" s="3">
        <f ca="1">F165+(F165-F160)/2</f>
        <v>10.642099999999999</v>
      </c>
      <c r="G167" s="3"/>
      <c r="H167" s="3"/>
      <c r="I167" s="3"/>
      <c r="J167" s="3" t="s">
        <v>246</v>
      </c>
      <c r="O167" s="3">
        <f t="shared" ca="1" si="17"/>
        <v>1.7664000000000009</v>
      </c>
      <c r="P167" s="3">
        <f t="shared" ca="1" si="14"/>
        <v>8.8756999999999984</v>
      </c>
    </row>
    <row r="168" spans="1:16" x14ac:dyDescent="0.25">
      <c r="A168" s="3"/>
      <c r="B168" s="3"/>
      <c r="C168" s="3"/>
      <c r="D168" s="3"/>
      <c r="E168" s="1">
        <f ca="1">EDATE(E167,60)</f>
        <v>50743</v>
      </c>
      <c r="F168" s="3">
        <f ca="1">F167+(F165-F160)/4</f>
        <v>10.8317</v>
      </c>
      <c r="G168" s="3"/>
      <c r="H168" s="3"/>
      <c r="I168" s="3"/>
      <c r="J168" s="3" t="s">
        <v>246</v>
      </c>
      <c r="O168" s="3">
        <f t="shared" ca="1" si="17"/>
        <v>1.7664000000000009</v>
      </c>
      <c r="P168" s="3">
        <f t="shared" ca="1" si="14"/>
        <v>9.0652999999999988</v>
      </c>
    </row>
    <row r="169" spans="1:16" x14ac:dyDescent="0.25">
      <c r="A169" s="3"/>
      <c r="B169" s="3"/>
      <c r="C169" s="3"/>
      <c r="D169" s="3"/>
      <c r="E169" s="1">
        <f ca="1">EDATE(E168,60)</f>
        <v>52569</v>
      </c>
      <c r="F169" s="3">
        <f ca="1">F168+(F165-F160)/8</f>
        <v>10.926499999999999</v>
      </c>
      <c r="G169" s="3"/>
      <c r="H169" s="3"/>
      <c r="I169" s="3"/>
      <c r="J169" s="3" t="s">
        <v>246</v>
      </c>
      <c r="O169" s="3">
        <f t="shared" ca="1" si="17"/>
        <v>1.7664000000000009</v>
      </c>
      <c r="P169" s="3">
        <f t="shared" ca="1" si="14"/>
        <v>9.1600999999999981</v>
      </c>
    </row>
    <row r="170" spans="1:16" x14ac:dyDescent="0.25">
      <c r="A170" s="3"/>
      <c r="B170" s="3"/>
      <c r="C170" s="3"/>
      <c r="D170" s="3"/>
      <c r="E170" s="1">
        <f ca="1">EDATE(E169,60)</f>
        <v>54396</v>
      </c>
      <c r="F170" s="3">
        <f ca="1">F169+(F165-F160)/16</f>
        <v>10.973899999999999</v>
      </c>
      <c r="G170" s="3"/>
      <c r="H170" s="3"/>
      <c r="I170" s="3"/>
      <c r="J170" s="3" t="s">
        <v>246</v>
      </c>
      <c r="O170" s="3">
        <f t="shared" ca="1" si="17"/>
        <v>1.7664000000000009</v>
      </c>
      <c r="P170" s="3">
        <f t="shared" ca="1" si="14"/>
        <v>9.2074999999999978</v>
      </c>
    </row>
    <row r="171" spans="1:16" x14ac:dyDescent="0.25">
      <c r="A171" s="3"/>
      <c r="B171" s="3"/>
      <c r="C171" s="3"/>
      <c r="D171" s="3"/>
      <c r="E171" s="1">
        <f ca="1">EDATE(E170,120)</f>
        <v>58048</v>
      </c>
      <c r="F171" s="3">
        <f ca="1">F170+(F165-F160)/64</f>
        <v>10.985749999999999</v>
      </c>
      <c r="G171" s="3"/>
      <c r="H171" s="3"/>
      <c r="I171" s="3"/>
      <c r="J171" s="3" t="s">
        <v>246</v>
      </c>
      <c r="O171" s="3">
        <f t="shared" ca="1" si="17"/>
        <v>1.7664000000000009</v>
      </c>
      <c r="P171" s="3">
        <f t="shared" ca="1" si="14"/>
        <v>9.2193499999999986</v>
      </c>
    </row>
    <row r="172" spans="1:16" x14ac:dyDescent="0.25">
      <c r="E172" s="1">
        <f ca="1">EDATE(E171,12)</f>
        <v>58413</v>
      </c>
      <c r="F172" s="3">
        <f ca="1">F171</f>
        <v>10.985749999999999</v>
      </c>
      <c r="J172" s="3" t="s">
        <v>246</v>
      </c>
      <c r="O172" s="3">
        <f t="shared" ca="1" si="17"/>
        <v>1.7664000000000009</v>
      </c>
      <c r="P172" s="3">
        <f t="shared" ca="1" si="14"/>
        <v>9.2193499999999986</v>
      </c>
    </row>
  </sheetData>
  <mergeCells count="4">
    <mergeCell ref="M56:N56"/>
    <mergeCell ref="A1:B1"/>
    <mergeCell ref="A2:B2"/>
    <mergeCell ref="A3:B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893E-770E-4BFF-9B9B-3468375AD628}">
  <sheetPr codeName="Sheet35"/>
  <dimension ref="A1:V175"/>
  <sheetViews>
    <sheetView workbookViewId="0">
      <selection activeCell="D33" sqref="D33"/>
    </sheetView>
  </sheetViews>
  <sheetFormatPr defaultColWidth="8.85546875" defaultRowHeight="15" x14ac:dyDescent="0.25"/>
  <cols>
    <col min="1" max="2" width="8.85546875" style="3"/>
    <col min="3" max="3" width="10.28515625" style="3" customWidth="1"/>
    <col min="4" max="4" width="12" style="3" bestFit="1" customWidth="1"/>
    <col min="5" max="5" width="9.5703125" style="3" bestFit="1" customWidth="1"/>
    <col min="6" max="12" width="8.85546875" style="3"/>
    <col min="13" max="13" width="11.7109375" style="3" customWidth="1"/>
    <col min="14" max="16384" width="8.85546875" style="3"/>
  </cols>
  <sheetData>
    <row r="1" spans="1:10" x14ac:dyDescent="0.25">
      <c r="A1" s="37" t="s">
        <v>69</v>
      </c>
      <c r="B1" s="37"/>
    </row>
    <row r="2" spans="1:10" x14ac:dyDescent="0.25">
      <c r="A2" s="37" t="s">
        <v>70</v>
      </c>
      <c r="B2" s="37"/>
    </row>
    <row r="3" spans="1:10" x14ac:dyDescent="0.25">
      <c r="A3" s="37" t="s">
        <v>71</v>
      </c>
      <c r="B3" s="37"/>
      <c r="C3" s="1"/>
      <c r="E3" s="2"/>
    </row>
    <row r="4" spans="1:10" x14ac:dyDescent="0.25">
      <c r="A4" s="3" t="s">
        <v>12</v>
      </c>
      <c r="B4" s="3">
        <v>7</v>
      </c>
      <c r="D4" s="3">
        <v>8</v>
      </c>
      <c r="F4" s="3">
        <v>21</v>
      </c>
      <c r="H4" s="3" t="s">
        <v>35</v>
      </c>
    </row>
    <row r="5" spans="1:10" x14ac:dyDescent="0.25">
      <c r="A5" s="3" t="s">
        <v>29</v>
      </c>
      <c r="B5" s="3" t="s">
        <v>30</v>
      </c>
      <c r="C5" s="3" t="s">
        <v>31</v>
      </c>
      <c r="D5" s="3" t="s">
        <v>32</v>
      </c>
      <c r="E5" s="3" t="s">
        <v>33</v>
      </c>
      <c r="F5" s="3" t="s">
        <v>34</v>
      </c>
    </row>
    <row r="6" spans="1:10" x14ac:dyDescent="0.25">
      <c r="A6" s="1">
        <f>WORKDAY(Pre_Date,1)</f>
        <v>43439</v>
      </c>
      <c r="B6" s="3">
        <f ca="1">_xll.BDP(H6,"PX_LAST")</f>
        <v>2.18188</v>
      </c>
      <c r="C6" s="1">
        <f>nextimm(Pre_Date)</f>
        <v>43453</v>
      </c>
      <c r="D6" s="3">
        <f ca="1">100-IF(_xll.BDP(I6,"PX_LAST")="#N/A N/A",100-B9,_xll.BDP(I6,"PX_LAST"))</f>
        <v>3.2900000000000063</v>
      </c>
      <c r="E6" s="1">
        <f>EDATE(Pre_Date,24)</f>
        <v>44169</v>
      </c>
      <c r="F6" s="3">
        <f ca="1">_xll.BDP(J6,"PX_LAST")</f>
        <v>2.9609999999999999</v>
      </c>
      <c r="H6" s="3" t="s">
        <v>36</v>
      </c>
      <c r="I6" s="3" t="s">
        <v>42</v>
      </c>
      <c r="J6" s="3" t="s">
        <v>50</v>
      </c>
    </row>
    <row r="7" spans="1:10" x14ac:dyDescent="0.25">
      <c r="A7" s="1">
        <f>EDATE(Pre_Date,1)</f>
        <v>43469</v>
      </c>
      <c r="B7" s="3">
        <f ca="1">_xll.BDP(H7,"PX_LAST")</f>
        <v>2.3788800000000001</v>
      </c>
      <c r="C7" s="1">
        <f>nextimm(C6+1)</f>
        <v>43544</v>
      </c>
      <c r="D7" s="3">
        <f ca="1">100-_xll.BDP(I7,"PX_LAST")</f>
        <v>2.8024999999999949</v>
      </c>
      <c r="E7" s="1">
        <f>EDATE(E6,12)</f>
        <v>44534</v>
      </c>
      <c r="F7" s="3">
        <f ca="1">_xll.BDP(J7,"PX_LAST")</f>
        <v>2.9489999999999998</v>
      </c>
      <c r="H7" s="3" t="s">
        <v>37</v>
      </c>
      <c r="I7" s="3" t="s">
        <v>43</v>
      </c>
      <c r="J7" s="3" t="s">
        <v>51</v>
      </c>
    </row>
    <row r="8" spans="1:10" x14ac:dyDescent="0.25">
      <c r="A8" s="1">
        <f>EDATE(Pre_Date,2)</f>
        <v>43500</v>
      </c>
      <c r="B8" s="3">
        <f ca="1">_xll.BDP(H8,"PX_LAST")</f>
        <v>2.5365600000000001</v>
      </c>
      <c r="C8" s="1">
        <f t="shared" ref="C8:C13" si="0">nextimm(C7+1)</f>
        <v>43635</v>
      </c>
      <c r="D8" s="3">
        <f ca="1">100-_xll.BDP(I8,"PX_LAST")</f>
        <v>2.855000000000004</v>
      </c>
      <c r="E8" s="1">
        <f t="shared" ref="E8:E21" si="1">EDATE(E7,12)</f>
        <v>44899</v>
      </c>
      <c r="F8" s="3">
        <f ca="1">_xll.BDP(J8,"PX_LAST")</f>
        <v>2.9420000000000002</v>
      </c>
      <c r="H8" s="3" t="s">
        <v>38</v>
      </c>
      <c r="I8" s="3" t="s">
        <v>44</v>
      </c>
      <c r="J8" s="3" t="s">
        <v>52</v>
      </c>
    </row>
    <row r="9" spans="1:10" x14ac:dyDescent="0.25">
      <c r="A9" s="1">
        <f>EDATE(Pre_Date,3)</f>
        <v>43528</v>
      </c>
      <c r="B9" s="3">
        <f ca="1">_xll.BDP(H9,"PX_LAST")</f>
        <v>2.7512499999999998</v>
      </c>
      <c r="C9" s="1">
        <f t="shared" si="0"/>
        <v>43726</v>
      </c>
      <c r="D9" s="3">
        <f ca="1">100-_xll.BDP(I9,"PX_LAST")</f>
        <v>2.9249999999999972</v>
      </c>
      <c r="E9" s="1">
        <f t="shared" si="1"/>
        <v>45264</v>
      </c>
      <c r="F9" s="3">
        <f ca="1">_xll.BDP(J9,"PX_LAST")</f>
        <v>2.9226000000000001</v>
      </c>
      <c r="H9" s="3" t="s">
        <v>39</v>
      </c>
      <c r="I9" s="3" t="s">
        <v>45</v>
      </c>
      <c r="J9" s="3" t="s">
        <v>53</v>
      </c>
    </row>
    <row r="10" spans="1:10" x14ac:dyDescent="0.25">
      <c r="A10" s="1">
        <f>EDATE(Pre_Date,6)</f>
        <v>43620</v>
      </c>
      <c r="B10" s="3">
        <f ca="1">_xll.BDP(H10,"PX_LAST")</f>
        <v>2.8952499999999999</v>
      </c>
      <c r="C10" s="1">
        <f t="shared" si="0"/>
        <v>43817</v>
      </c>
      <c r="D10" s="3">
        <f ca="1">100-_xll.BDP(I10,"PX_LAST")</f>
        <v>2.9749999999999943</v>
      </c>
      <c r="E10" s="1">
        <f t="shared" si="1"/>
        <v>45630</v>
      </c>
      <c r="F10" s="3">
        <f ca="1">_xll.BDP(J10,"PX_LAST")</f>
        <v>2.9235000000000002</v>
      </c>
      <c r="H10" s="3" t="s">
        <v>40</v>
      </c>
      <c r="I10" s="3" t="s">
        <v>46</v>
      </c>
      <c r="J10" s="3" t="s">
        <v>54</v>
      </c>
    </row>
    <row r="11" spans="1:10" x14ac:dyDescent="0.25">
      <c r="A11" s="1">
        <f>EDATE(Pre_Date,12)</f>
        <v>43803</v>
      </c>
      <c r="B11" s="3">
        <f ca="1">_xll.BDP(H11,"PX_LAST")</f>
        <v>3.1381899999999998</v>
      </c>
      <c r="C11" s="1">
        <f t="shared" si="0"/>
        <v>43908</v>
      </c>
      <c r="D11" s="3">
        <f ca="1">100-_xll.BDP(I11,"PX_LAST")</f>
        <v>3.0250000000000057</v>
      </c>
      <c r="E11" s="1">
        <f t="shared" si="1"/>
        <v>45995</v>
      </c>
      <c r="F11" s="3">
        <f ca="1">_xll.BDP(J11,"PX_LAST")</f>
        <v>2.9317000000000002</v>
      </c>
      <c r="H11" s="3" t="s">
        <v>41</v>
      </c>
      <c r="I11" s="3" t="s">
        <v>47</v>
      </c>
      <c r="J11" s="3" t="s">
        <v>55</v>
      </c>
    </row>
    <row r="12" spans="1:10" x14ac:dyDescent="0.25">
      <c r="A12" s="11">
        <f>EDATE(A11,10)</f>
        <v>44108</v>
      </c>
      <c r="B12" s="12">
        <f ca="1">$B$11</f>
        <v>3.1381899999999998</v>
      </c>
      <c r="C12" s="1">
        <f t="shared" si="0"/>
        <v>43999</v>
      </c>
      <c r="D12" s="3">
        <f ca="1">100-_xll.BDP(I12,"PX_LAST")</f>
        <v>3</v>
      </c>
      <c r="E12" s="1">
        <f t="shared" si="1"/>
        <v>46360</v>
      </c>
      <c r="F12" s="3">
        <f ca="1">_xll.BDP(J12,"PX_LAST")</f>
        <v>2.9430000000000001</v>
      </c>
      <c r="I12" s="3" t="s">
        <v>48</v>
      </c>
      <c r="J12" s="3" t="s">
        <v>56</v>
      </c>
    </row>
    <row r="13" spans="1:10" x14ac:dyDescent="0.25">
      <c r="C13" s="1">
        <f t="shared" si="0"/>
        <v>44090</v>
      </c>
      <c r="D13" s="3">
        <f ca="1">100-_xll.BDP(I13,"PX_LAST")</f>
        <v>2.9749999999999943</v>
      </c>
      <c r="E13" s="1">
        <f t="shared" si="1"/>
        <v>46725</v>
      </c>
      <c r="F13" s="3">
        <f ca="1">_xll.BDP(J13,"PX_LAST")</f>
        <v>2.9592999999999998</v>
      </c>
      <c r="I13" s="3" t="s">
        <v>49</v>
      </c>
      <c r="J13" s="3" t="s">
        <v>57</v>
      </c>
    </row>
    <row r="14" spans="1:10" x14ac:dyDescent="0.25">
      <c r="E14" s="1">
        <f t="shared" si="1"/>
        <v>47091</v>
      </c>
      <c r="F14" s="3">
        <f ca="1">_xll.BDP(J14,"PX_LAST")</f>
        <v>2.9752000000000001</v>
      </c>
      <c r="J14" s="3" t="s">
        <v>26</v>
      </c>
    </row>
    <row r="15" spans="1:10" x14ac:dyDescent="0.25">
      <c r="E15" s="1">
        <f t="shared" si="1"/>
        <v>47456</v>
      </c>
      <c r="F15" s="3">
        <f ca="1">_xll.BDP(J15,"PX_LAST")</f>
        <v>2.9910000000000001</v>
      </c>
      <c r="J15" s="3" t="s">
        <v>58</v>
      </c>
    </row>
    <row r="16" spans="1:10" x14ac:dyDescent="0.25">
      <c r="E16" s="1">
        <f t="shared" si="1"/>
        <v>47821</v>
      </c>
      <c r="F16" s="3">
        <f ca="1">_xll.BDP(J16,"PX_LAST")</f>
        <v>3.0101</v>
      </c>
      <c r="J16" s="3" t="s">
        <v>59</v>
      </c>
    </row>
    <row r="17" spans="1:17" x14ac:dyDescent="0.25">
      <c r="E17" s="1">
        <f t="shared" si="1"/>
        <v>48186</v>
      </c>
      <c r="F17" s="3">
        <f ca="1">_xll.BDP(J17,"PX_LAST")</f>
        <v>3.0179999999999998</v>
      </c>
      <c r="J17" s="3" t="s">
        <v>60</v>
      </c>
    </row>
    <row r="18" spans="1:17" x14ac:dyDescent="0.25">
      <c r="E18" s="1">
        <f t="shared" si="1"/>
        <v>48552</v>
      </c>
      <c r="F18" s="3">
        <f ca="1">_xll.BDP(J18,"PX_LAST")</f>
        <v>3.0379999999999998</v>
      </c>
      <c r="J18" s="3" t="s">
        <v>61</v>
      </c>
    </row>
    <row r="19" spans="1:17" x14ac:dyDescent="0.25">
      <c r="E19" s="1">
        <f t="shared" si="1"/>
        <v>48917</v>
      </c>
      <c r="F19" s="3">
        <f ca="1">_xll.BDP(J19,"PX_LAST")</f>
        <v>3.0415999999999999</v>
      </c>
      <c r="J19" s="3" t="s">
        <v>62</v>
      </c>
    </row>
    <row r="20" spans="1:17" x14ac:dyDescent="0.25">
      <c r="E20" s="1">
        <f t="shared" si="1"/>
        <v>49282</v>
      </c>
      <c r="F20" s="3">
        <f ca="1">_xll.BDP(J20,"PX_LAST")</f>
        <v>3.0495000000000001</v>
      </c>
      <c r="J20" s="3" t="s">
        <v>63</v>
      </c>
    </row>
    <row r="21" spans="1:17" x14ac:dyDescent="0.25">
      <c r="E21" s="1">
        <f t="shared" si="1"/>
        <v>49647</v>
      </c>
      <c r="F21" s="3">
        <f ca="1">_xll.BDP(J21,"PX_LAST")</f>
        <v>3.0545</v>
      </c>
      <c r="J21" s="3" t="s">
        <v>64</v>
      </c>
    </row>
    <row r="22" spans="1:17" x14ac:dyDescent="0.25">
      <c r="E22" s="1">
        <f>EDATE(E21,36)</f>
        <v>50743</v>
      </c>
      <c r="F22" s="3">
        <f ca="1">_xll.BDP(J22,"PX_LAST")</f>
        <v>3.0632999999999999</v>
      </c>
      <c r="J22" s="3" t="s">
        <v>65</v>
      </c>
    </row>
    <row r="23" spans="1:17" x14ac:dyDescent="0.25">
      <c r="E23" s="1">
        <f>EDATE(E22,60)</f>
        <v>52569</v>
      </c>
      <c r="F23" s="3">
        <f ca="1">_xll.BDP(J23,"PX_LAST")</f>
        <v>3.0611000000000002</v>
      </c>
      <c r="J23" s="3" t="s">
        <v>66</v>
      </c>
    </row>
    <row r="24" spans="1:17" x14ac:dyDescent="0.25">
      <c r="E24" s="1">
        <f>EDATE(E23,60)</f>
        <v>54396</v>
      </c>
      <c r="F24" s="3">
        <f ca="1">_xll.BDP(J24,"PX_LAST")</f>
        <v>3.0527000000000002</v>
      </c>
      <c r="J24" s="3" t="s">
        <v>67</v>
      </c>
    </row>
    <row r="25" spans="1:17" x14ac:dyDescent="0.25">
      <c r="E25" s="1">
        <f>EDATE(E24,120)</f>
        <v>58048</v>
      </c>
      <c r="F25" s="3">
        <f ca="1">_xll.BDP(J25,"PX_LAST")</f>
        <v>3.0150999999999999</v>
      </c>
      <c r="J25" s="3" t="s">
        <v>68</v>
      </c>
    </row>
    <row r="26" spans="1:17" x14ac:dyDescent="0.25">
      <c r="E26" s="1">
        <f>EDATE(E25,12)</f>
        <v>58413</v>
      </c>
      <c r="F26" s="3">
        <f ca="1">F25</f>
        <v>3.0150999999999999</v>
      </c>
    </row>
    <row r="29" spans="1:17" x14ac:dyDescent="0.25">
      <c r="A29" s="3" t="s">
        <v>13</v>
      </c>
      <c r="B29" s="3">
        <v>7</v>
      </c>
      <c r="D29" s="3">
        <v>8</v>
      </c>
      <c r="F29" s="3">
        <v>21</v>
      </c>
    </row>
    <row r="30" spans="1:17" x14ac:dyDescent="0.25">
      <c r="A30" s="3" t="s">
        <v>29</v>
      </c>
      <c r="B30" s="3" t="s">
        <v>30</v>
      </c>
      <c r="C30" s="3" t="s">
        <v>31</v>
      </c>
      <c r="D30" s="3" t="s">
        <v>32</v>
      </c>
      <c r="E30" s="3" t="s">
        <v>33</v>
      </c>
      <c r="F30" s="3" t="s">
        <v>34</v>
      </c>
      <c r="M30" s="5" t="s">
        <v>249</v>
      </c>
      <c r="N30" s="5" t="s">
        <v>35</v>
      </c>
    </row>
    <row r="31" spans="1:17" x14ac:dyDescent="0.25">
      <c r="A31" s="1">
        <f>WORKDAY(Pre_Date,1)</f>
        <v>43439</v>
      </c>
      <c r="B31" s="3">
        <f ca="1">_xll.BDP(H31,"PX_LAST")+$P$31</f>
        <v>-0.45124999999999998</v>
      </c>
      <c r="C31" s="1">
        <f>nextimm(Pre_Date)</f>
        <v>43453</v>
      </c>
      <c r="D31" s="3" t="e">
        <f ca="1">+$P$31+100-IF(_xll.BDP(I31,"PX_LAST")="#N/A N/A",100-B34,_xll.BDP(I31,"PX_LAST"))</f>
        <v>#VALUE!</v>
      </c>
      <c r="E31" s="1">
        <f>EDATE(Pre_Date,24)</f>
        <v>44169</v>
      </c>
      <c r="F31" s="3">
        <f ca="1">_xll.BDP(J31,"PX_LAST")+M31</f>
        <v>-0.26074999999999998</v>
      </c>
      <c r="H31" s="3" t="s">
        <v>6</v>
      </c>
      <c r="I31" s="3" t="s">
        <v>77</v>
      </c>
      <c r="J31" s="3" t="s">
        <v>85</v>
      </c>
      <c r="M31" s="3">
        <f ca="1">_xll.BDP(N31,"PX_LAST")/100</f>
        <v>-0.11375</v>
      </c>
      <c r="N31" s="3" t="s">
        <v>250</v>
      </c>
      <c r="P31" s="3">
        <f ca="1">_xll.BDP(Q31,"PX_LAST")/100</f>
        <v>-0.10125000000000001</v>
      </c>
      <c r="Q31" s="3" t="s">
        <v>363</v>
      </c>
    </row>
    <row r="32" spans="1:17" x14ac:dyDescent="0.25">
      <c r="A32" s="1">
        <f>EDATE(Pre_Date,1)</f>
        <v>43469</v>
      </c>
      <c r="B32" s="3">
        <f ca="1">_xll.BDP(H32,"PX_LAST")+$P$31</f>
        <v>-0.46825</v>
      </c>
      <c r="C32" s="1">
        <f>nextimm(C31+1)</f>
        <v>43544</v>
      </c>
      <c r="D32" s="3">
        <f ca="1">$P$31+100-_xll.BDP(I32,"PX_LAST")</f>
        <v>-0.41124999999999545</v>
      </c>
      <c r="E32" s="1">
        <f>EDATE(E31,12)</f>
        <v>44534</v>
      </c>
      <c r="F32" s="3">
        <f ca="1">_xll.BDP(J32,"PX_LAST")+M32</f>
        <v>-0.13574999999999998</v>
      </c>
      <c r="H32" s="3" t="s">
        <v>72</v>
      </c>
      <c r="I32" s="3" t="s">
        <v>78</v>
      </c>
      <c r="J32" s="3" t="s">
        <v>86</v>
      </c>
      <c r="M32" s="3">
        <f ca="1">_xll.BDP(N32,"PX_LAST")/100</f>
        <v>-0.11874999999999999</v>
      </c>
      <c r="N32" s="3" t="s">
        <v>251</v>
      </c>
    </row>
    <row r="33" spans="1:14" x14ac:dyDescent="0.25">
      <c r="A33" s="1">
        <f>EDATE(Pre_Date,2)</f>
        <v>43500</v>
      </c>
      <c r="B33" s="3">
        <f ca="1">_xll.BDP(H33,"PX_LAST")+$P$31</f>
        <v>-0.43725000000000003</v>
      </c>
      <c r="C33" s="1">
        <f t="shared" ref="C33:C38" si="2">nextimm(C32+1)</f>
        <v>43635</v>
      </c>
      <c r="D33" s="3">
        <f ca="1">$P$31+100-_xll.BDP(I33,"PX_LAST")</f>
        <v>-0.40124999999999034</v>
      </c>
      <c r="E33" s="1">
        <f t="shared" ref="E33:E46" si="3">EDATE(E32,12)</f>
        <v>44899</v>
      </c>
      <c r="F33" s="3">
        <f ca="1">_xll.BDP(J33,"PX_LAST")+M33</f>
        <v>8.7500000000000078E-4</v>
      </c>
      <c r="H33" s="3" t="s">
        <v>73</v>
      </c>
      <c r="I33" s="3" t="s">
        <v>79</v>
      </c>
      <c r="J33" s="3" t="s">
        <v>89</v>
      </c>
      <c r="M33" s="3">
        <f ca="1">_xll.BDP(N33,"PX_LAST")/100</f>
        <v>-0.123125</v>
      </c>
      <c r="N33" s="3" t="s">
        <v>252</v>
      </c>
    </row>
    <row r="34" spans="1:14" x14ac:dyDescent="0.25">
      <c r="A34" s="1">
        <f>EDATE(Pre_Date,3)</f>
        <v>43528</v>
      </c>
      <c r="B34" s="3">
        <f ca="1">_xll.BDP(H34,"PX_LAST")+$P$31</f>
        <v>-0.41725000000000001</v>
      </c>
      <c r="C34" s="1">
        <f t="shared" si="2"/>
        <v>43726</v>
      </c>
      <c r="D34" s="3">
        <f ca="1">$P$31+100-_xll.BDP(I34,"PX_LAST")</f>
        <v>-0.39124999999999943</v>
      </c>
      <c r="E34" s="1">
        <f t="shared" si="3"/>
        <v>45264</v>
      </c>
      <c r="F34" s="3">
        <f ca="1">_xll.BDP(J34,"PX_LAST")+M34</f>
        <v>0.13775000000000001</v>
      </c>
      <c r="H34" s="3" t="s">
        <v>74</v>
      </c>
      <c r="I34" s="3" t="s">
        <v>80</v>
      </c>
      <c r="J34" s="3" t="s">
        <v>87</v>
      </c>
      <c r="M34" s="3">
        <f ca="1">_xll.BDP(N34,"PX_LAST")/100</f>
        <v>-0.12625</v>
      </c>
      <c r="N34" s="3" t="s">
        <v>253</v>
      </c>
    </row>
    <row r="35" spans="1:14" x14ac:dyDescent="0.25">
      <c r="A35" s="1">
        <f>EDATE(Pre_Date,6)</f>
        <v>43620</v>
      </c>
      <c r="B35" s="3">
        <f ca="1">_xll.BDP(H35,"PX_LAST")+$P$31</f>
        <v>-0.34825</v>
      </c>
      <c r="C35" s="1">
        <f t="shared" si="2"/>
        <v>43817</v>
      </c>
      <c r="D35" s="3">
        <f ca="1">$P$31+100-_xll.BDP(I35,"PX_LAST")</f>
        <v>-0.35624999999998863</v>
      </c>
      <c r="E35" s="1">
        <f t="shared" si="3"/>
        <v>45630</v>
      </c>
      <c r="F35" s="3">
        <f ca="1">_xll.BDP(J35,"PX_LAST")+M35</f>
        <v>0.266625</v>
      </c>
      <c r="H35" s="3" t="s">
        <v>75</v>
      </c>
      <c r="I35" s="3" t="s">
        <v>81</v>
      </c>
      <c r="J35" s="3" t="s">
        <v>90</v>
      </c>
      <c r="M35" s="3">
        <f ca="1">_xll.BDP(N35,"PX_LAST")/100</f>
        <v>-0.13187499999999999</v>
      </c>
      <c r="N35" s="3" t="s">
        <v>254</v>
      </c>
    </row>
    <row r="36" spans="1:14" x14ac:dyDescent="0.25">
      <c r="A36" s="1">
        <f>EDATE(Pre_Date,12)</f>
        <v>43803</v>
      </c>
      <c r="B36" s="3">
        <f ca="1">_xll.BDP(H36,"PX_LAST")+$P$31</f>
        <v>-0.24324999999999999</v>
      </c>
      <c r="C36" s="1">
        <f t="shared" si="2"/>
        <v>43908</v>
      </c>
      <c r="D36" s="3">
        <f ca="1">$P$31+100-_xll.BDP(I36,"PX_LAST")</f>
        <v>-0.30624999999999147</v>
      </c>
      <c r="E36" s="1">
        <f t="shared" si="3"/>
        <v>45995</v>
      </c>
      <c r="F36" s="3">
        <f ca="1">_xll.BDP(J36,"PX_LAST")+M36</f>
        <v>0.39200000000000002</v>
      </c>
      <c r="H36" s="3" t="s">
        <v>76</v>
      </c>
      <c r="I36" s="3" t="s">
        <v>82</v>
      </c>
      <c r="J36" s="3" t="s">
        <v>88</v>
      </c>
      <c r="M36" s="3">
        <f ca="1">_xll.BDP(N36,"PX_LAST")/100</f>
        <v>-0.13500000000000001</v>
      </c>
      <c r="N36" s="3" t="s">
        <v>255</v>
      </c>
    </row>
    <row r="37" spans="1:14" x14ac:dyDescent="0.25">
      <c r="A37" s="11">
        <f>EDATE(A36,10)</f>
        <v>44108</v>
      </c>
      <c r="B37" s="3">
        <f ca="1">$B$36</f>
        <v>-0.24324999999999999</v>
      </c>
      <c r="C37" s="1">
        <f t="shared" si="2"/>
        <v>43999</v>
      </c>
      <c r="D37" s="3">
        <f ca="1">$P$31+100-_xll.BDP(I37,"PX_LAST")</f>
        <v>-0.25124999999999886</v>
      </c>
      <c r="E37" s="1">
        <f t="shared" si="3"/>
        <v>46360</v>
      </c>
      <c r="F37" s="3">
        <f ca="1">_xll.BDP(J37,"PX_LAST")+M37</f>
        <v>0.50975000000000004</v>
      </c>
      <c r="I37" s="3" t="s">
        <v>83</v>
      </c>
      <c r="J37" s="3" t="s">
        <v>91</v>
      </c>
      <c r="M37" s="3">
        <f ca="1">_xll.BDP(N37,"PX_LAST")/100</f>
        <v>-0.13625000000000001</v>
      </c>
      <c r="N37" s="3" t="s">
        <v>256</v>
      </c>
    </row>
    <row r="38" spans="1:14" x14ac:dyDescent="0.25">
      <c r="C38" s="1">
        <f t="shared" si="2"/>
        <v>44090</v>
      </c>
      <c r="D38" s="3">
        <f ca="1">$P$31+100-_xll.BDP(I38,"PX_LAST")</f>
        <v>-0.17624999999999602</v>
      </c>
      <c r="E38" s="1">
        <f t="shared" si="3"/>
        <v>46725</v>
      </c>
      <c r="F38" s="3">
        <f ca="1">_xll.BDP(J38,"PX_LAST")+M38</f>
        <v>0.62309999999999999</v>
      </c>
      <c r="I38" s="3" t="s">
        <v>84</v>
      </c>
      <c r="J38" s="3" t="s">
        <v>92</v>
      </c>
      <c r="M38" s="3">
        <f ca="1">_xll.BDP(N38,"PX_LAST")/100</f>
        <v>-0.13500000000000001</v>
      </c>
      <c r="N38" s="3" t="s">
        <v>257</v>
      </c>
    </row>
    <row r="39" spans="1:14" x14ac:dyDescent="0.25">
      <c r="E39" s="1">
        <f t="shared" si="3"/>
        <v>47091</v>
      </c>
      <c r="F39" s="3">
        <f ca="1">_xll.BDP(J39,"PX_LAST")+M39</f>
        <v>0.72449999999999992</v>
      </c>
      <c r="J39" s="3" t="s">
        <v>27</v>
      </c>
      <c r="M39" s="3">
        <f ca="1">_xll.BDP(N39,"PX_LAST")/100</f>
        <v>-0.13250000000000001</v>
      </c>
      <c r="N39" s="3" t="s">
        <v>258</v>
      </c>
    </row>
    <row r="40" spans="1:14" x14ac:dyDescent="0.25">
      <c r="E40" s="1">
        <f t="shared" si="3"/>
        <v>47456</v>
      </c>
      <c r="F40" s="3">
        <f ca="1">_xll.BDP(J40,"PX_LAST")+M40</f>
        <v>0.82057500000000005</v>
      </c>
      <c r="J40" s="3" t="s">
        <v>93</v>
      </c>
      <c r="M40" s="3">
        <f ca="1">_xll.BDP(N40,"PX_LAST")/100</f>
        <v>-0.12812499999999999</v>
      </c>
      <c r="N40" s="3" t="s">
        <v>259</v>
      </c>
    </row>
    <row r="41" spans="1:14" x14ac:dyDescent="0.25">
      <c r="E41" s="1">
        <f t="shared" si="3"/>
        <v>47821</v>
      </c>
      <c r="F41" s="3">
        <f ca="1">_xll.BDP(J41,"PX_LAST")+M41</f>
        <v>0.90579999999999994</v>
      </c>
      <c r="J41" s="3" t="s">
        <v>94</v>
      </c>
      <c r="M41" s="3">
        <f ca="1">_xll.BDP(N41,"PX_LAST")/100</f>
        <v>-0.1225</v>
      </c>
      <c r="N41" s="3" t="s">
        <v>260</v>
      </c>
    </row>
    <row r="42" spans="1:14" x14ac:dyDescent="0.25">
      <c r="E42" s="1">
        <f t="shared" si="3"/>
        <v>48186</v>
      </c>
      <c r="F42" s="3">
        <f ca="1">_xll.BDP(J42,"PX_LAST")+M42</f>
        <v>0.98348333333333327</v>
      </c>
      <c r="J42" s="3" t="s">
        <v>95</v>
      </c>
      <c r="M42" s="18">
        <f ca="1">(M44-M41)/3+M41</f>
        <v>-0.11541666666666667</v>
      </c>
      <c r="N42" s="3" t="s">
        <v>261</v>
      </c>
    </row>
    <row r="43" spans="1:14" x14ac:dyDescent="0.25">
      <c r="E43" s="1">
        <f t="shared" si="3"/>
        <v>48552</v>
      </c>
      <c r="F43" s="3">
        <f ca="1">_xll.BDP(J43,"PX_LAST")+M43</f>
        <v>1.0487666666666666</v>
      </c>
      <c r="J43" s="3" t="s">
        <v>96</v>
      </c>
      <c r="M43" s="18">
        <f ca="1">(M44-M41)/3*2+M41</f>
        <v>-0.10833333333333334</v>
      </c>
      <c r="N43" s="3" t="s">
        <v>262</v>
      </c>
    </row>
    <row r="44" spans="1:14" x14ac:dyDescent="0.25">
      <c r="E44" s="1">
        <f t="shared" si="3"/>
        <v>48917</v>
      </c>
      <c r="F44" s="3">
        <f ca="1">_xll.BDP(J44,"PX_LAST")+M44</f>
        <v>1.1085499999999999</v>
      </c>
      <c r="J44" s="3" t="s">
        <v>97</v>
      </c>
      <c r="M44" s="3">
        <f ca="1">_xll.BDP(N44,"PX_LAST")/100</f>
        <v>-0.10125000000000001</v>
      </c>
      <c r="N44" s="3" t="s">
        <v>263</v>
      </c>
    </row>
    <row r="45" spans="1:14" x14ac:dyDescent="0.25">
      <c r="E45" s="1">
        <f t="shared" si="3"/>
        <v>49282</v>
      </c>
      <c r="F45" s="3">
        <f ca="1">_xll.BDP(J45,"PX_LAST")+M45</f>
        <v>1.1681250000000001</v>
      </c>
      <c r="J45" s="3" t="s">
        <v>98</v>
      </c>
      <c r="M45" s="18">
        <f ca="1">(M47-M44)/5+M44</f>
        <v>-8.987500000000001E-2</v>
      </c>
      <c r="N45" s="3" t="s">
        <v>264</v>
      </c>
    </row>
    <row r="46" spans="1:14" x14ac:dyDescent="0.25">
      <c r="E46" s="1">
        <f t="shared" si="3"/>
        <v>49647</v>
      </c>
      <c r="F46" s="3">
        <f ca="1">_xll.BDP(J46,"PX_LAST")+M46</f>
        <v>1.2144999999999999</v>
      </c>
      <c r="J46" s="3" t="s">
        <v>99</v>
      </c>
      <c r="M46" s="18">
        <f ca="1">(M47-M44)/5*2+M44</f>
        <v>-7.85E-2</v>
      </c>
      <c r="N46" s="3" t="s">
        <v>265</v>
      </c>
    </row>
    <row r="47" spans="1:14" x14ac:dyDescent="0.25">
      <c r="E47" s="1">
        <f>EDATE(E46,36)</f>
        <v>50743</v>
      </c>
      <c r="F47" s="3">
        <f ca="1">_xll.BDP(J47,"PX_LAST")+M47</f>
        <v>1.3215249999999998</v>
      </c>
      <c r="J47" s="3" t="s">
        <v>100</v>
      </c>
      <c r="M47" s="3">
        <f ca="1">_xll.BDP(N47,"PX_LAST")/100</f>
        <v>-4.4374999999999998E-2</v>
      </c>
      <c r="N47" s="3" t="s">
        <v>266</v>
      </c>
    </row>
    <row r="48" spans="1:14" x14ac:dyDescent="0.25">
      <c r="E48" s="1">
        <f>EDATE(E47,60)</f>
        <v>52569</v>
      </c>
      <c r="F48" s="3">
        <f ca="1">_xll.BDP(J48,"PX_LAST")+M48</f>
        <v>1.4212500000000001</v>
      </c>
      <c r="J48" s="3" t="s">
        <v>101</v>
      </c>
      <c r="M48" s="3">
        <f ca="1">_xll.BDP(N48,"PX_LAST")/100</f>
        <v>8.7500000000000008E-3</v>
      </c>
      <c r="N48" s="3" t="s">
        <v>267</v>
      </c>
    </row>
    <row r="49" spans="1:17" x14ac:dyDescent="0.25">
      <c r="E49" s="1">
        <f>EDATE(E48,60)</f>
        <v>54396</v>
      </c>
      <c r="F49" s="3">
        <f ca="1">_xll.BDP(J49,"PX_LAST")+M49</f>
        <v>1.4602999999999999</v>
      </c>
      <c r="J49" s="3" t="s">
        <v>102</v>
      </c>
      <c r="M49" s="3">
        <f ca="1">_xll.BDP(N49,"PX_LAST")/100</f>
        <v>0.04</v>
      </c>
      <c r="N49" s="3" t="s">
        <v>268</v>
      </c>
    </row>
    <row r="50" spans="1:17" x14ac:dyDescent="0.25">
      <c r="E50" s="1">
        <f>EDATE(E49,120)</f>
        <v>58048</v>
      </c>
      <c r="F50" s="3">
        <f ca="1">_xll.BDP(J50,"PX_LAST")+M50</f>
        <v>1.4517500000000001</v>
      </c>
      <c r="J50" s="3" t="s">
        <v>103</v>
      </c>
      <c r="M50" s="3">
        <f ca="1">_xll.BDP(N50,"PX_LAST")/100</f>
        <v>3.875E-2</v>
      </c>
      <c r="N50" s="3" t="s">
        <v>269</v>
      </c>
    </row>
    <row r="51" spans="1:17" x14ac:dyDescent="0.25">
      <c r="E51" s="1">
        <f>EDATE(E50,12)</f>
        <v>58413</v>
      </c>
      <c r="F51" s="3">
        <f ca="1">$F$50</f>
        <v>1.4517500000000001</v>
      </c>
    </row>
    <row r="54" spans="1:17" x14ac:dyDescent="0.25">
      <c r="A54" s="3" t="s">
        <v>19</v>
      </c>
      <c r="B54" s="3">
        <v>7</v>
      </c>
      <c r="D54" s="3">
        <v>8</v>
      </c>
      <c r="F54" s="3">
        <v>21</v>
      </c>
    </row>
    <row r="55" spans="1:17" x14ac:dyDescent="0.25">
      <c r="A55" s="3" t="s">
        <v>29</v>
      </c>
      <c r="B55" s="3" t="s">
        <v>30</v>
      </c>
      <c r="C55" s="3" t="s">
        <v>31</v>
      </c>
      <c r="D55" s="3" t="s">
        <v>32</v>
      </c>
      <c r="E55" s="3" t="s">
        <v>33</v>
      </c>
      <c r="F55" s="3" t="s">
        <v>34</v>
      </c>
      <c r="M55" s="5" t="s">
        <v>249</v>
      </c>
      <c r="N55" s="5" t="s">
        <v>35</v>
      </c>
    </row>
    <row r="56" spans="1:17" ht="15.6" customHeight="1" x14ac:dyDescent="0.25">
      <c r="A56" s="1">
        <f>WORKDAY(Pre_Date,1)</f>
        <v>43439</v>
      </c>
      <c r="B56" s="3">
        <f ca="1">_xll.BDP(H56,"PX_LAST")+$P$56</f>
        <v>-0.37592000000000003</v>
      </c>
      <c r="C56" s="1">
        <f>nextimm(Pre_Date)</f>
        <v>43453</v>
      </c>
      <c r="D56" s="3" t="e">
        <f ca="1">$P$56+100-IF(_xll.BDP(I56,"PX_LAST")="#N/A N/A",100-B59,_xll.BDP(I56,"PX_LAST"))+$P$56</f>
        <v>#VALUE!</v>
      </c>
      <c r="E56" s="1">
        <f>EDATE(Pre_Date,24)</f>
        <v>44169</v>
      </c>
      <c r="F56" s="3">
        <f ca="1">_xll.BDP(J56,"PX_LAST")+M56</f>
        <v>-0.33812500000000001</v>
      </c>
      <c r="H56" s="3" t="s">
        <v>0</v>
      </c>
      <c r="I56" s="3" t="s">
        <v>104</v>
      </c>
      <c r="J56" s="3" t="s">
        <v>112</v>
      </c>
      <c r="M56" s="3">
        <f ca="1">_xll.BDP(N56,"PX_LAST")/100</f>
        <v>-0.34687499999999999</v>
      </c>
      <c r="N56" s="3" t="s">
        <v>270</v>
      </c>
      <c r="P56" s="3">
        <f ca="1">_xll.BDP(Q56,"PX_LAST")/100</f>
        <v>-0.29875000000000002</v>
      </c>
      <c r="Q56" s="3" t="s">
        <v>364</v>
      </c>
    </row>
    <row r="57" spans="1:17" ht="15.6" customHeight="1" x14ac:dyDescent="0.25">
      <c r="A57" s="1">
        <f>EDATE(Pre_Date,1)</f>
        <v>43469</v>
      </c>
      <c r="B57" s="3">
        <f ca="1">_xll.BDP(H57,"PX_LAST")+$P$56</f>
        <v>-0.45325000000000004</v>
      </c>
      <c r="C57" s="1">
        <f>nextimm(C56+1)</f>
        <v>43544</v>
      </c>
      <c r="D57" s="3">
        <f ca="1">100-_xll.BDP(I57,"PX_LAST")+$M$56</f>
        <v>-0.29187499999999317</v>
      </c>
      <c r="E57" s="1">
        <f>EDATE(E56,12)</f>
        <v>44534</v>
      </c>
      <c r="F57" s="3">
        <f ca="1">_xll.BDP(J57,"PX_LAST")+M57</f>
        <v>-0.37937000000000004</v>
      </c>
      <c r="H57" s="3" t="s">
        <v>1</v>
      </c>
      <c r="I57" s="3" t="s">
        <v>105</v>
      </c>
      <c r="J57" s="3" t="s">
        <v>113</v>
      </c>
      <c r="M57" s="3">
        <f ca="1">_xll.BDP(N57,"PX_LAST")/100</f>
        <v>-0.4</v>
      </c>
      <c r="N57" s="3" t="s">
        <v>271</v>
      </c>
    </row>
    <row r="58" spans="1:17" ht="15.6" customHeight="1" x14ac:dyDescent="0.25">
      <c r="A58" s="1">
        <f>EDATE(Pre_Date,2)</f>
        <v>43500</v>
      </c>
      <c r="B58" s="3">
        <f ca="1">_xll.BDP(H58,"PX_LAST")+$P$56</f>
        <v>-0.43758000000000002</v>
      </c>
      <c r="C58" s="1">
        <f t="shared" ref="C58:C63" si="4">nextimm(C57+1)</f>
        <v>43635</v>
      </c>
      <c r="D58" s="3">
        <f ca="1">100-_xll.BDP(I58,"PX_LAST")+$M$56</f>
        <v>-0.28687499999999772</v>
      </c>
      <c r="E58" s="1">
        <f t="shared" ref="E58:E71" si="5">EDATE(E57,12)</f>
        <v>44899</v>
      </c>
      <c r="F58" s="3">
        <f ca="1">_xll.BDP(J58,"PX_LAST")+M58</f>
        <v>-0.40125</v>
      </c>
      <c r="H58" s="3" t="s">
        <v>2</v>
      </c>
      <c r="I58" s="3" t="s">
        <v>106</v>
      </c>
      <c r="J58" s="3" t="s">
        <v>114</v>
      </c>
      <c r="M58" s="3">
        <f ca="1">_xll.BDP(N58,"PX_LAST")/100</f>
        <v>-0.44</v>
      </c>
      <c r="N58" s="3" t="s">
        <v>272</v>
      </c>
    </row>
    <row r="59" spans="1:17" x14ac:dyDescent="0.25">
      <c r="A59" s="1">
        <f>EDATE(Pre_Date,3)</f>
        <v>43528</v>
      </c>
      <c r="B59" s="3">
        <f ca="1">_xll.BDP(H59,"PX_LAST")+$P$56</f>
        <v>-0.41342000000000001</v>
      </c>
      <c r="C59" s="1">
        <f t="shared" si="4"/>
        <v>43726</v>
      </c>
      <c r="D59" s="3">
        <f ca="1">100-_xll.BDP(I59,"PX_LAST")+$M$56</f>
        <v>-0.27687500000000681</v>
      </c>
      <c r="E59" s="1">
        <f t="shared" si="5"/>
        <v>45264</v>
      </c>
      <c r="F59" s="3">
        <f ca="1">_xll.BDP(J59,"PX_LAST")+M59</f>
        <v>-0.41500000000000004</v>
      </c>
      <c r="H59" s="3" t="s">
        <v>3</v>
      </c>
      <c r="I59" s="3" t="s">
        <v>107</v>
      </c>
      <c r="J59" s="3" t="s">
        <v>115</v>
      </c>
      <c r="M59" s="3">
        <f ca="1">_xll.BDP(N59,"PX_LAST")/100</f>
        <v>-0.47375</v>
      </c>
      <c r="N59" s="3" t="s">
        <v>273</v>
      </c>
    </row>
    <row r="60" spans="1:17" x14ac:dyDescent="0.25">
      <c r="A60" s="1">
        <f>EDATE(Pre_Date,6)</f>
        <v>43620</v>
      </c>
      <c r="B60" s="3">
        <f ca="1">_xll.BDP(H60,"PX_LAST")+$P$56</f>
        <v>-0.30158000000000001</v>
      </c>
      <c r="C60" s="1">
        <f t="shared" si="4"/>
        <v>43817</v>
      </c>
      <c r="D60" s="3">
        <f ca="1">100-_xll.BDP(I60,"PX_LAST")+$M$56</f>
        <v>-0.27187499999999715</v>
      </c>
      <c r="E60" s="1">
        <f t="shared" si="5"/>
        <v>45630</v>
      </c>
      <c r="F60" s="3">
        <f ca="1">_xll.BDP(J60,"PX_LAST")+M60</f>
        <v>-0.41375000000000001</v>
      </c>
      <c r="H60" s="3" t="s">
        <v>4</v>
      </c>
      <c r="I60" s="3" t="s">
        <v>108</v>
      </c>
      <c r="J60" s="3" t="s">
        <v>116</v>
      </c>
      <c r="M60" s="3">
        <f ca="1">_xll.BDP(N60,"PX_LAST")/100</f>
        <v>-0.49875000000000003</v>
      </c>
      <c r="N60" s="3" t="s">
        <v>274</v>
      </c>
    </row>
    <row r="61" spans="1:17" x14ac:dyDescent="0.25">
      <c r="A61" s="1">
        <f>EDATE(Pre_Date,12)</f>
        <v>43803</v>
      </c>
      <c r="B61" s="3">
        <f ca="1">_xll.BDP(H61,"PX_LAST")+$P$56</f>
        <v>-0.19025000000000003</v>
      </c>
      <c r="C61" s="1">
        <f t="shared" si="4"/>
        <v>43908</v>
      </c>
      <c r="D61" s="3">
        <f ca="1">100-_xll.BDP(I61,"PX_LAST")+$M$56</f>
        <v>-0.26687500000000169</v>
      </c>
      <c r="E61" s="1">
        <f t="shared" si="5"/>
        <v>45995</v>
      </c>
      <c r="F61" s="3">
        <f ca="1">_xll.BDP(J61,"PX_LAST")+M61</f>
        <v>-0.39500000000000002</v>
      </c>
      <c r="H61" s="3" t="s">
        <v>5</v>
      </c>
      <c r="I61" s="3" t="s">
        <v>109</v>
      </c>
      <c r="J61" s="3" t="s">
        <v>117</v>
      </c>
      <c r="M61" s="3">
        <f ca="1">_xll.BDP(N61,"PX_LAST")/100</f>
        <v>-0.51</v>
      </c>
      <c r="N61" s="3" t="s">
        <v>275</v>
      </c>
    </row>
    <row r="62" spans="1:17" x14ac:dyDescent="0.25">
      <c r="A62" s="11">
        <f>EDATE(A61,10)</f>
        <v>44108</v>
      </c>
      <c r="B62" s="3">
        <f ca="1">$B$61</f>
        <v>-0.19025000000000003</v>
      </c>
      <c r="C62" s="1">
        <f t="shared" si="4"/>
        <v>43999</v>
      </c>
      <c r="D62" s="3">
        <f ca="1">100-_xll.BDP(I62,"PX_LAST")+$M$56</f>
        <v>-0.26187500000000624</v>
      </c>
      <c r="E62" s="1">
        <f t="shared" si="5"/>
        <v>46360</v>
      </c>
      <c r="F62" s="3">
        <f ca="1">_xll.BDP(J62,"PX_LAST")+M62</f>
        <v>-0.37</v>
      </c>
      <c r="I62" s="3" t="s">
        <v>110</v>
      </c>
      <c r="J62" s="3" t="s">
        <v>118</v>
      </c>
      <c r="M62" s="3">
        <f ca="1">_xll.BDP(N62,"PX_LAST")/100</f>
        <v>-0.52</v>
      </c>
      <c r="N62" s="3" t="s">
        <v>276</v>
      </c>
    </row>
    <row r="63" spans="1:17" x14ac:dyDescent="0.25">
      <c r="C63" s="1">
        <f t="shared" si="4"/>
        <v>44090</v>
      </c>
      <c r="D63" s="3">
        <f ca="1">100-_xll.BDP(I63,"PX_LAST")+$M$56</f>
        <v>-0.26187500000000624</v>
      </c>
      <c r="E63" s="1">
        <f t="shared" si="5"/>
        <v>46725</v>
      </c>
      <c r="F63" s="3">
        <f ca="1">_xll.BDP(J63,"PX_LAST")+M63</f>
        <v>-0.33625000000000005</v>
      </c>
      <c r="I63" s="3" t="s">
        <v>111</v>
      </c>
      <c r="J63" s="3" t="s">
        <v>119</v>
      </c>
      <c r="M63" s="3">
        <f ca="1">_xll.BDP(N63,"PX_LAST")/100</f>
        <v>-0.52375000000000005</v>
      </c>
      <c r="N63" s="3" t="s">
        <v>277</v>
      </c>
    </row>
    <row r="64" spans="1:17" x14ac:dyDescent="0.25">
      <c r="E64" s="1">
        <f t="shared" si="5"/>
        <v>47091</v>
      </c>
      <c r="F64" s="3">
        <f ca="1">_xll.BDP(J64,"PX_LAST")+M64</f>
        <v>-0.28999999999999992</v>
      </c>
      <c r="J64" s="3" t="s">
        <v>120</v>
      </c>
      <c r="M64" s="3">
        <f ca="1">_xll.BDP(N64,"PX_LAST")/100</f>
        <v>-0.51749999999999996</v>
      </c>
      <c r="N64" s="3" t="s">
        <v>278</v>
      </c>
    </row>
    <row r="65" spans="1:14" x14ac:dyDescent="0.25">
      <c r="E65" s="1">
        <f t="shared" si="5"/>
        <v>47456</v>
      </c>
      <c r="F65" s="3">
        <f ca="1">_xll.BDP(J65,"PX_LAST")+M65</f>
        <v>-0.24437000000000003</v>
      </c>
      <c r="J65" s="3" t="s">
        <v>121</v>
      </c>
      <c r="M65" s="3">
        <f ca="1">_xll.BDP(N65,"PX_LAST")/100</f>
        <v>-0.51</v>
      </c>
      <c r="N65" s="3" t="s">
        <v>279</v>
      </c>
    </row>
    <row r="66" spans="1:14" x14ac:dyDescent="0.25">
      <c r="E66" s="1">
        <f t="shared" si="5"/>
        <v>47821</v>
      </c>
      <c r="F66" s="3">
        <f ca="1">_xll.BDP(J66,"PX_LAST")+M66</f>
        <v>-0.18625000000000003</v>
      </c>
      <c r="J66" s="3" t="s">
        <v>122</v>
      </c>
      <c r="M66" s="3">
        <f ca="1">_xll.BDP(N66,"PX_LAST")/100</f>
        <v>-0.5</v>
      </c>
      <c r="N66" s="3" t="s">
        <v>280</v>
      </c>
    </row>
    <row r="67" spans="1:14" x14ac:dyDescent="0.25">
      <c r="E67" s="1">
        <f t="shared" si="5"/>
        <v>48186</v>
      </c>
      <c r="F67" s="3">
        <f ca="1">_xll.BDP(J67,"PX_LAST")+M67</f>
        <v>-0.13791666666666669</v>
      </c>
      <c r="J67" s="3" t="s">
        <v>123</v>
      </c>
      <c r="M67" s="18">
        <f ca="1">(M69-M66)/3+M66</f>
        <v>-0.49041666666666667</v>
      </c>
      <c r="N67" s="3" t="s">
        <v>281</v>
      </c>
    </row>
    <row r="68" spans="1:14" x14ac:dyDescent="0.25">
      <c r="E68" s="1">
        <f t="shared" si="5"/>
        <v>48552</v>
      </c>
      <c r="F68" s="3">
        <f ca="1">_xll.BDP(J68,"PX_LAST")+M68</f>
        <v>-8.5833333333333317E-2</v>
      </c>
      <c r="J68" s="3" t="s">
        <v>124</v>
      </c>
      <c r="M68" s="18">
        <f ca="1">(M69-M66)/3*2+M66</f>
        <v>-0.48083333333333333</v>
      </c>
      <c r="N68" s="3" t="s">
        <v>282</v>
      </c>
    </row>
    <row r="69" spans="1:14" x14ac:dyDescent="0.25">
      <c r="E69" s="1">
        <f t="shared" si="5"/>
        <v>48917</v>
      </c>
      <c r="F69" s="3">
        <f ca="1">_xll.BDP(J69,"PX_LAST")+M69</f>
        <v>-2.8749999999999998E-2</v>
      </c>
      <c r="J69" s="3" t="s">
        <v>125</v>
      </c>
      <c r="M69" s="3">
        <f ca="1">_xll.BDP(N69,"PX_LAST")/100</f>
        <v>-0.47125</v>
      </c>
      <c r="N69" s="3" t="s">
        <v>283</v>
      </c>
    </row>
    <row r="70" spans="1:14" x14ac:dyDescent="0.25">
      <c r="E70" s="1">
        <f t="shared" si="5"/>
        <v>49282</v>
      </c>
      <c r="F70" s="3">
        <f ca="1">_xll.BDP(J70,"PX_LAST")+M70</f>
        <v>1.6249999999999987E-2</v>
      </c>
      <c r="J70" s="3" t="s">
        <v>126</v>
      </c>
      <c r="M70" s="18">
        <f ca="1">(M72-M69)/5+M69</f>
        <v>-0.46250000000000002</v>
      </c>
      <c r="N70" s="3" t="s">
        <v>284</v>
      </c>
    </row>
    <row r="71" spans="1:14" x14ac:dyDescent="0.25">
      <c r="E71" s="1">
        <f t="shared" si="5"/>
        <v>49647</v>
      </c>
      <c r="F71" s="3">
        <f ca="1">_xll.BDP(J71,"PX_LAST")+M71</f>
        <v>7.9250000000000043E-2</v>
      </c>
      <c r="J71" s="3" t="s">
        <v>127</v>
      </c>
      <c r="M71" s="18">
        <f ca="1">(M72-M69)/5*2+M69</f>
        <v>-0.45374999999999999</v>
      </c>
      <c r="N71" s="3" t="s">
        <v>285</v>
      </c>
    </row>
    <row r="72" spans="1:14" x14ac:dyDescent="0.25">
      <c r="E72" s="1">
        <f>EDATE(E71,36)</f>
        <v>50743</v>
      </c>
      <c r="F72" s="3">
        <f ca="1">_xll.BDP(J72,"PX_LAST")+M72</f>
        <v>0.19999999999999996</v>
      </c>
      <c r="J72" s="3" t="s">
        <v>128</v>
      </c>
      <c r="M72" s="3">
        <f ca="1">_xll.BDP(N72,"PX_LAST")/100</f>
        <v>-0.42749999999999999</v>
      </c>
      <c r="N72" s="3" t="s">
        <v>286</v>
      </c>
    </row>
    <row r="73" spans="1:14" x14ac:dyDescent="0.25">
      <c r="E73" s="1">
        <f>EDATE(E72,60)</f>
        <v>52569</v>
      </c>
      <c r="F73" s="3">
        <f ca="1">_xll.BDP(J73,"PX_LAST")+M73</f>
        <v>0.34375000000000006</v>
      </c>
      <c r="J73" s="3" t="s">
        <v>129</v>
      </c>
      <c r="M73" s="3">
        <f ca="1">_xll.BDP(N73,"PX_LAST")/100</f>
        <v>-0.40375</v>
      </c>
      <c r="N73" s="3" t="s">
        <v>287</v>
      </c>
    </row>
    <row r="74" spans="1:14" x14ac:dyDescent="0.25">
      <c r="E74" s="1">
        <f>EDATE(E73,60)</f>
        <v>54396</v>
      </c>
      <c r="F74" s="3">
        <f ca="1">_xll.BDP(J74,"PX_LAST")+M74</f>
        <v>0.44375000000000003</v>
      </c>
      <c r="J74" s="3" t="s">
        <v>130</v>
      </c>
      <c r="M74" s="3">
        <f ca="1">_xll.BDP(N74,"PX_LAST")/100</f>
        <v>-0.3775</v>
      </c>
      <c r="N74" s="3" t="s">
        <v>288</v>
      </c>
    </row>
    <row r="75" spans="1:14" x14ac:dyDescent="0.25">
      <c r="E75" s="1">
        <f>EDATE(E74,120)</f>
        <v>58048</v>
      </c>
      <c r="F75" s="3">
        <f ca="1">_xll.BDP(J75,"PX_LAST")+M75</f>
        <v>0.55187500000000012</v>
      </c>
      <c r="J75" s="3" t="s">
        <v>131</v>
      </c>
      <c r="M75" s="3">
        <f ca="1">_xll.BDP(N75,"PX_LAST")/100</f>
        <v>-0.34687499999999999</v>
      </c>
      <c r="N75" s="3" t="s">
        <v>289</v>
      </c>
    </row>
    <row r="76" spans="1:14" x14ac:dyDescent="0.25">
      <c r="E76" s="1">
        <f>EDATE(E75,12)</f>
        <v>58413</v>
      </c>
      <c r="F76" s="3">
        <f ca="1">$F$75</f>
        <v>0.55187500000000012</v>
      </c>
    </row>
    <row r="79" spans="1:14" x14ac:dyDescent="0.25">
      <c r="A79" s="3" t="s">
        <v>14</v>
      </c>
      <c r="B79" s="3">
        <v>7</v>
      </c>
      <c r="D79" s="3">
        <v>8</v>
      </c>
      <c r="F79" s="3">
        <v>21</v>
      </c>
    </row>
    <row r="80" spans="1:14" x14ac:dyDescent="0.25">
      <c r="A80" s="3" t="s">
        <v>29</v>
      </c>
      <c r="B80" s="3" t="s">
        <v>30</v>
      </c>
      <c r="C80" s="3" t="s">
        <v>31</v>
      </c>
      <c r="D80" s="3" t="s">
        <v>32</v>
      </c>
      <c r="E80" s="3" t="s">
        <v>33</v>
      </c>
      <c r="F80" s="3" t="s">
        <v>34</v>
      </c>
      <c r="M80" s="5" t="s">
        <v>249</v>
      </c>
      <c r="N80" s="5" t="s">
        <v>35</v>
      </c>
    </row>
    <row r="81" spans="1:17" x14ac:dyDescent="0.25">
      <c r="A81" s="1">
        <f>WORKDAY(Pre_Date,1)</f>
        <v>43439</v>
      </c>
      <c r="B81" s="3">
        <f ca="1">_xll.BDP(H81,"PX_LAST")+$P$81</f>
        <v>0.73813000000000006</v>
      </c>
      <c r="C81" s="1">
        <f>nextimm(Pre_Date)</f>
        <v>43453</v>
      </c>
      <c r="D81" s="3" t="e">
        <f ca="1">$P$81+100-IF(_xll.BDP(I81,"PX_LAST")="#N/A N/A",100-B84,_xll.BDP(I81,"PX_LAST"))</f>
        <v>#VALUE!</v>
      </c>
      <c r="E81" s="1">
        <f>EDATE(Pre_Date,24)</f>
        <v>44169</v>
      </c>
      <c r="F81" s="3">
        <f ca="1">_xll.BDP(J81,"PX_LAST")+M81</f>
        <v>1.24671</v>
      </c>
      <c r="H81" s="3" t="s">
        <v>135</v>
      </c>
      <c r="I81" s="3" t="s">
        <v>141</v>
      </c>
      <c r="J81" s="3" t="s">
        <v>149</v>
      </c>
      <c r="M81" s="3">
        <f ca="1">_xll.BDP(N81,"PX_LAST")/100</f>
        <v>7.6249999999999998E-2</v>
      </c>
      <c r="N81" s="3" t="s">
        <v>309</v>
      </c>
      <c r="P81" s="3">
        <f ca="1">_xll.BDP(Q81,"PX_LAST")/100</f>
        <v>5.6250000000000001E-2</v>
      </c>
      <c r="Q81" s="3" t="s">
        <v>367</v>
      </c>
    </row>
    <row r="82" spans="1:17" x14ac:dyDescent="0.25">
      <c r="A82" s="1">
        <f>EDATE(Pre_Date,1)</f>
        <v>43469</v>
      </c>
      <c r="B82" s="3">
        <f ca="1">_xll.BDP(H82,"PX_LAST")+$P$81</f>
        <v>0.79188000000000003</v>
      </c>
      <c r="C82" s="1">
        <f>nextimm(C81+1)</f>
        <v>43544</v>
      </c>
      <c r="D82" s="3">
        <f ca="1">$P$81+100-_xll.BDP(I82,"PX_LAST")</f>
        <v>0.97125000000001194</v>
      </c>
      <c r="E82" s="1">
        <f>EDATE(E81,12)</f>
        <v>44534</v>
      </c>
      <c r="F82" s="3">
        <f ca="1">_xll.BDP(J82,"PX_LAST")+M82</f>
        <v>1.344125</v>
      </c>
      <c r="H82" s="3" t="s">
        <v>136</v>
      </c>
      <c r="I82" s="3" t="s">
        <v>142</v>
      </c>
      <c r="J82" s="3" t="s">
        <v>150</v>
      </c>
      <c r="M82" s="18">
        <f ca="1">(M81+M83)/2</f>
        <v>9.5625000000000002E-2</v>
      </c>
      <c r="N82" s="3" t="s">
        <v>290</v>
      </c>
    </row>
    <row r="83" spans="1:17" x14ac:dyDescent="0.25">
      <c r="A83" s="1">
        <f>EDATE(Pre_Date,2)</f>
        <v>43500</v>
      </c>
      <c r="B83" s="3">
        <f ca="1">_xll.BDP(H83,"PX_LAST")+$P$81</f>
        <v>0.82700000000000007</v>
      </c>
      <c r="C83" s="1">
        <f t="shared" ref="C83:C88" si="6">nextimm(C82+1)</f>
        <v>43635</v>
      </c>
      <c r="D83" s="3">
        <f ca="1">$P$81+100-_xll.BDP(I83,"PX_LAST")</f>
        <v>1.0162499999999994</v>
      </c>
      <c r="E83" s="1">
        <f t="shared" ref="E83:E96" si="7">EDATE(E82,12)</f>
        <v>44899</v>
      </c>
      <c r="F83" s="3">
        <f ca="1">_xll.BDP(J83,"PX_LAST")+M83</f>
        <v>1.4165000000000001</v>
      </c>
      <c r="H83" s="3" t="s">
        <v>137</v>
      </c>
      <c r="I83" s="3" t="s">
        <v>143</v>
      </c>
      <c r="J83" s="3" t="s">
        <v>151</v>
      </c>
      <c r="M83" s="3">
        <f ca="1">_xll.BDP(N83,"PX_LAST")/100</f>
        <v>0.115</v>
      </c>
      <c r="N83" s="3" t="s">
        <v>291</v>
      </c>
    </row>
    <row r="84" spans="1:17" x14ac:dyDescent="0.25">
      <c r="A84" s="1">
        <f>EDATE(Pre_Date,3)</f>
        <v>43528</v>
      </c>
      <c r="B84" s="3">
        <f ca="1">_xll.BDP(H84,"PX_LAST")+$P$81</f>
        <v>0.95181000000000004</v>
      </c>
      <c r="C84" s="1">
        <f t="shared" si="6"/>
        <v>43726</v>
      </c>
      <c r="D84" s="3">
        <f ca="1">$P$81+100-_xll.BDP(I84,"PX_LAST")</f>
        <v>1.0912500000000023</v>
      </c>
      <c r="E84" s="1">
        <f t="shared" si="7"/>
        <v>45264</v>
      </c>
      <c r="F84" s="3">
        <f ca="1">_xll.BDP(J84,"PX_LAST")+M84</f>
        <v>1.48224</v>
      </c>
      <c r="H84" s="3" t="s">
        <v>138</v>
      </c>
      <c r="I84" s="3" t="s">
        <v>144</v>
      </c>
      <c r="J84" s="3" t="s">
        <v>152</v>
      </c>
      <c r="M84" s="3">
        <f ca="1">_xll.BDP(N84,"PX_LAST")/100</f>
        <v>0.13750000000000001</v>
      </c>
      <c r="N84" s="3" t="s">
        <v>292</v>
      </c>
    </row>
    <row r="85" spans="1:17" x14ac:dyDescent="0.25">
      <c r="A85" s="1">
        <f>EDATE(Pre_Date,6)</f>
        <v>43620</v>
      </c>
      <c r="B85" s="3">
        <f ca="1">_xll.BDP(H85,"PX_LAST")+$P$81</f>
        <v>1.0685</v>
      </c>
      <c r="C85" s="1">
        <f t="shared" si="6"/>
        <v>43817</v>
      </c>
      <c r="D85" s="3">
        <f ca="1">$P$81+100-_xll.BDP(I85,"PX_LAST")</f>
        <v>1.1462500000000091</v>
      </c>
      <c r="E85" s="1">
        <f t="shared" si="7"/>
        <v>45630</v>
      </c>
      <c r="F85" s="3">
        <f ca="1">_xll.BDP(J85,"PX_LAST")+M85</f>
        <v>1.5376699999999999</v>
      </c>
      <c r="H85" s="3" t="s">
        <v>139</v>
      </c>
      <c r="I85" s="3" t="s">
        <v>145</v>
      </c>
      <c r="J85" s="3" t="s">
        <v>153</v>
      </c>
      <c r="M85" s="3">
        <f ca="1">_xll.BDP(N85,"PX_LAST")/100</f>
        <v>0.1575</v>
      </c>
      <c r="N85" s="3" t="s">
        <v>293</v>
      </c>
    </row>
    <row r="86" spans="1:17" x14ac:dyDescent="0.25">
      <c r="A86" s="1">
        <f>EDATE(Pre_Date,12)</f>
        <v>43803</v>
      </c>
      <c r="B86" s="3">
        <f ca="1">_xll.BDP(H86,"PX_LAST")+$P$81</f>
        <v>1.2038799999999998</v>
      </c>
      <c r="C86" s="1">
        <f t="shared" si="6"/>
        <v>43908</v>
      </c>
      <c r="D86" s="3">
        <f ca="1">$P$81+100-_xll.BDP(I86,"PX_LAST")</f>
        <v>1.2062500000000114</v>
      </c>
      <c r="E86" s="1">
        <f t="shared" si="7"/>
        <v>45995</v>
      </c>
      <c r="F86" s="3">
        <f ca="1">_xll.BDP(J86,"PX_LAST")+M86</f>
        <v>1.5905500000000001</v>
      </c>
      <c r="H86" s="3" t="s">
        <v>140</v>
      </c>
      <c r="I86" s="3" t="s">
        <v>146</v>
      </c>
      <c r="J86" s="3" t="s">
        <v>154</v>
      </c>
      <c r="M86" s="3">
        <f ca="1">_xll.BDP(N86,"PX_LAST")/100</f>
        <v>0.17499999999999999</v>
      </c>
      <c r="N86" s="3" t="s">
        <v>294</v>
      </c>
    </row>
    <row r="87" spans="1:17" x14ac:dyDescent="0.25">
      <c r="A87" s="11">
        <f>EDATE(A86,10)</f>
        <v>44108</v>
      </c>
      <c r="B87" s="3">
        <f ca="1">$B$86</f>
        <v>1.2038799999999998</v>
      </c>
      <c r="C87" s="1">
        <f t="shared" si="6"/>
        <v>43999</v>
      </c>
      <c r="D87" s="3">
        <f ca="1">$P$81+100-_xll.BDP(I87,"PX_LAST")</f>
        <v>1.2512499999999989</v>
      </c>
      <c r="E87" s="1">
        <f t="shared" si="7"/>
        <v>46360</v>
      </c>
      <c r="F87" s="3">
        <f ca="1">_xll.BDP(J87,"PX_LAST")+M87</f>
        <v>1.6395</v>
      </c>
      <c r="I87" s="3" t="s">
        <v>147</v>
      </c>
      <c r="J87" s="3" t="s">
        <v>155</v>
      </c>
      <c r="M87" s="3">
        <f ca="1">_xll.BDP(N87,"PX_LAST")/100</f>
        <v>0.19125</v>
      </c>
      <c r="N87" s="3" t="s">
        <v>295</v>
      </c>
    </row>
    <row r="88" spans="1:17" x14ac:dyDescent="0.25">
      <c r="C88" s="1">
        <f t="shared" si="6"/>
        <v>44090</v>
      </c>
      <c r="D88" s="3">
        <f ca="1">$P$81+100-_xll.BDP(I88,"PX_LAST")</f>
        <v>1.2962500000000006</v>
      </c>
      <c r="E88" s="1">
        <f t="shared" si="7"/>
        <v>46725</v>
      </c>
      <c r="F88" s="3">
        <f ca="1">_xll.BDP(J88,"PX_LAST")+M88</f>
        <v>1.6830799999999999</v>
      </c>
      <c r="I88" s="3" t="s">
        <v>148</v>
      </c>
      <c r="J88" s="3" t="s">
        <v>156</v>
      </c>
      <c r="M88" s="3">
        <f ca="1">_xll.BDP(N88,"PX_LAST")/100</f>
        <v>0.20250000000000001</v>
      </c>
      <c r="N88" s="3" t="s">
        <v>296</v>
      </c>
    </row>
    <row r="89" spans="1:17" x14ac:dyDescent="0.25">
      <c r="E89" s="1">
        <f t="shared" si="7"/>
        <v>47091</v>
      </c>
      <c r="F89" s="3">
        <f ca="1">_xll.BDP(J89,"PX_LAST")+M89</f>
        <v>1.7259</v>
      </c>
      <c r="J89" s="3" t="s">
        <v>28</v>
      </c>
      <c r="M89" s="3">
        <f ca="1">_xll.BDP(N89,"PX_LAST")/100</f>
        <v>0.20874999999999999</v>
      </c>
      <c r="N89" s="3" t="s">
        <v>297</v>
      </c>
    </row>
    <row r="90" spans="1:17" x14ac:dyDescent="0.25">
      <c r="E90" s="1">
        <f t="shared" si="7"/>
        <v>47456</v>
      </c>
      <c r="F90" s="3">
        <f ca="1">_xll.BDP(J90,"PX_LAST")+M90</f>
        <v>1.7599999999999998</v>
      </c>
      <c r="J90" s="3" t="s">
        <v>157</v>
      </c>
      <c r="M90" s="3">
        <f ca="1">_xll.BDP(N90,"PX_LAST")/100</f>
        <v>0.21375</v>
      </c>
      <c r="N90" s="3" t="s">
        <v>298</v>
      </c>
    </row>
    <row r="91" spans="1:17" x14ac:dyDescent="0.25">
      <c r="E91" s="1">
        <f t="shared" si="7"/>
        <v>47821</v>
      </c>
      <c r="F91" s="3">
        <f ca="1">_xll.BDP(J91,"PX_LAST")+M91</f>
        <v>1.78884</v>
      </c>
      <c r="J91" s="3" t="s">
        <v>158</v>
      </c>
      <c r="M91" s="3">
        <f ca="1">_xll.BDP(N91,"PX_LAST")/100</f>
        <v>0.21625</v>
      </c>
      <c r="N91" s="3" t="s">
        <v>299</v>
      </c>
    </row>
    <row r="92" spans="1:17" x14ac:dyDescent="0.25">
      <c r="E92" s="1">
        <f t="shared" si="7"/>
        <v>48186</v>
      </c>
      <c r="F92" s="3">
        <f ca="1">_xll.BDP(J92,"PX_LAST")+M92</f>
        <v>1.8064</v>
      </c>
      <c r="J92" s="3" t="s">
        <v>159</v>
      </c>
      <c r="M92" s="18">
        <f ca="1">(M94-M91)/3+M91</f>
        <v>0.21249999999999999</v>
      </c>
      <c r="N92" s="3" t="s">
        <v>300</v>
      </c>
    </row>
    <row r="93" spans="1:17" x14ac:dyDescent="0.25">
      <c r="E93" s="1">
        <f t="shared" si="7"/>
        <v>48552</v>
      </c>
      <c r="F93" s="3">
        <f ca="1">_xll.BDP(J93,"PX_LAST")+M93</f>
        <v>1.82155</v>
      </c>
      <c r="J93" s="3" t="s">
        <v>160</v>
      </c>
      <c r="M93" s="18">
        <f ca="1">(M94-M91)/3*2+M91</f>
        <v>0.20874999999999999</v>
      </c>
      <c r="N93" s="3" t="s">
        <v>301</v>
      </c>
    </row>
    <row r="94" spans="1:17" x14ac:dyDescent="0.25">
      <c r="E94" s="1">
        <f t="shared" si="7"/>
        <v>48917</v>
      </c>
      <c r="F94" s="3">
        <f ca="1">_xll.BDP(J94,"PX_LAST")+M94</f>
        <v>1.8362500000000002</v>
      </c>
      <c r="J94" s="3" t="s">
        <v>161</v>
      </c>
      <c r="M94" s="3">
        <f ca="1">_xll.BDP(N94,"PX_LAST")/100</f>
        <v>0.20499999999999999</v>
      </c>
      <c r="N94" s="3" t="s">
        <v>302</v>
      </c>
    </row>
    <row r="95" spans="1:17" x14ac:dyDescent="0.25">
      <c r="E95" s="1">
        <f t="shared" si="7"/>
        <v>49282</v>
      </c>
      <c r="F95" s="3">
        <f ca="1">_xll.BDP(J95,"PX_LAST")+M95</f>
        <v>1.8462999999999998</v>
      </c>
      <c r="J95" s="3" t="s">
        <v>162</v>
      </c>
      <c r="M95" s="18">
        <f ca="1">(M97-M94)/5+M94</f>
        <v>0.20049999999999998</v>
      </c>
      <c r="N95" s="3" t="s">
        <v>303</v>
      </c>
    </row>
    <row r="96" spans="1:17" x14ac:dyDescent="0.25">
      <c r="E96" s="1">
        <f t="shared" si="7"/>
        <v>49647</v>
      </c>
      <c r="F96" s="3">
        <f ca="1">_xll.BDP(J96,"PX_LAST")+M96</f>
        <v>1.8543000000000001</v>
      </c>
      <c r="J96" s="3" t="s">
        <v>163</v>
      </c>
      <c r="M96" s="18">
        <f ca="1">(M97-M94)/5*2+M94</f>
        <v>0.19599999999999998</v>
      </c>
      <c r="N96" s="3" t="s">
        <v>304</v>
      </c>
    </row>
    <row r="97" spans="1:17" x14ac:dyDescent="0.25">
      <c r="E97" s="1">
        <f>EDATE(E96,36)</f>
        <v>50743</v>
      </c>
      <c r="F97" s="3">
        <f ca="1">_xll.BDP(J97,"PX_LAST")+M97</f>
        <v>1.8682500000000002</v>
      </c>
      <c r="J97" s="3" t="s">
        <v>164</v>
      </c>
      <c r="M97" s="3">
        <f ca="1">_xll.BDP(N97,"PX_LAST")/100</f>
        <v>0.1825</v>
      </c>
      <c r="N97" s="3" t="s">
        <v>305</v>
      </c>
    </row>
    <row r="98" spans="1:17" x14ac:dyDescent="0.25">
      <c r="E98" s="1">
        <f>EDATE(E97,60)</f>
        <v>52569</v>
      </c>
      <c r="F98" s="3">
        <f ca="1">_xll.BDP(J98,"PX_LAST")+M98</f>
        <v>1.8797299999999999</v>
      </c>
      <c r="J98" s="3" t="s">
        <v>165</v>
      </c>
      <c r="M98" s="3">
        <f ca="1">_xll.BDP(N98,"PX_LAST")/100</f>
        <v>0.17874999999999999</v>
      </c>
      <c r="N98" s="3" t="s">
        <v>306</v>
      </c>
    </row>
    <row r="99" spans="1:17" x14ac:dyDescent="0.25">
      <c r="E99" s="1">
        <f>EDATE(E98,60)</f>
        <v>54396</v>
      </c>
      <c r="F99" s="3">
        <f ca="1">_xll.BDP(J99,"PX_LAST")+M99</f>
        <v>1.9035666666666666</v>
      </c>
      <c r="J99" s="3" t="s">
        <v>166</v>
      </c>
      <c r="M99" s="18">
        <f ca="1">(M100-M98)/3+M98</f>
        <v>0.20291666666666666</v>
      </c>
      <c r="N99" s="3" t="s">
        <v>307</v>
      </c>
    </row>
    <row r="100" spans="1:17" x14ac:dyDescent="0.25">
      <c r="E100" s="1">
        <f>EDATE(E99,120)</f>
        <v>58048</v>
      </c>
      <c r="F100" s="3">
        <f ca="1">_xll.BDP(J100,"PX_LAST")+M100</f>
        <v>1.93651</v>
      </c>
      <c r="J100" s="3" t="s">
        <v>167</v>
      </c>
      <c r="M100" s="3">
        <f ca="1">_xll.BDP(N100,"PX_LAST")/100</f>
        <v>0.25124999999999997</v>
      </c>
      <c r="N100" s="3" t="s">
        <v>308</v>
      </c>
    </row>
    <row r="101" spans="1:17" x14ac:dyDescent="0.25">
      <c r="E101" s="1">
        <f>EDATE(E100,12)</f>
        <v>58413</v>
      </c>
      <c r="F101" s="3">
        <f ca="1">$F$100</f>
        <v>1.93651</v>
      </c>
    </row>
    <row r="104" spans="1:17" x14ac:dyDescent="0.25">
      <c r="A104" s="3" t="s">
        <v>248</v>
      </c>
      <c r="B104" s="3">
        <v>7</v>
      </c>
      <c r="D104" s="3">
        <v>8</v>
      </c>
      <c r="F104" s="3">
        <v>19</v>
      </c>
    </row>
    <row r="105" spans="1:17" x14ac:dyDescent="0.25">
      <c r="A105" s="3" t="s">
        <v>29</v>
      </c>
      <c r="B105" s="3" t="s">
        <v>30</v>
      </c>
      <c r="C105" s="3" t="s">
        <v>31</v>
      </c>
      <c r="D105" s="3" t="s">
        <v>32</v>
      </c>
      <c r="E105" s="3" t="s">
        <v>33</v>
      </c>
      <c r="F105" s="3" t="s">
        <v>34</v>
      </c>
      <c r="M105" s="5" t="s">
        <v>249</v>
      </c>
      <c r="N105" s="5" t="s">
        <v>35</v>
      </c>
    </row>
    <row r="106" spans="1:17" x14ac:dyDescent="0.25">
      <c r="A106" s="1">
        <f>WORKDAY(Pre_Date,1)</f>
        <v>43439</v>
      </c>
      <c r="B106" s="3">
        <f ca="1">_xll.BDP(H106,"PX_LAST")+$P$106</f>
        <v>-0.87059999999999993</v>
      </c>
      <c r="C106" s="1">
        <f>nextimm(Pre_Date)</f>
        <v>43453</v>
      </c>
      <c r="D106" s="3" t="e">
        <f ca="1">$P$106+100-IF(_xll.BDP(I106,"PX_LAST")="#N/A N/A",100-B109,_xll.BDP(I106,"PX_LAST"))</f>
        <v>#VALUE!</v>
      </c>
      <c r="E106" s="1">
        <f>EDATE(Pre_Date,24)</f>
        <v>44169</v>
      </c>
      <c r="F106" s="3">
        <f ca="1">_xll.BDP(J106,"PX_LAST")+M106</f>
        <v>-0.66439999999999999</v>
      </c>
      <c r="H106" s="3" t="s">
        <v>168</v>
      </c>
      <c r="I106" s="3" t="s">
        <v>174</v>
      </c>
      <c r="J106" s="3" t="s">
        <v>182</v>
      </c>
      <c r="M106" s="3">
        <f ca="1">_xll.BDP(N106,"PX_LAST")/100</f>
        <v>-0.11</v>
      </c>
      <c r="N106" s="3" t="s">
        <v>310</v>
      </c>
      <c r="P106" s="3">
        <f ca="1">_xll.BDP(Q106,"PX_LAST")/100</f>
        <v>-0.09</v>
      </c>
      <c r="Q106" s="3" t="s">
        <v>365</v>
      </c>
    </row>
    <row r="107" spans="1:17" x14ac:dyDescent="0.25">
      <c r="A107" s="1">
        <f>EDATE(Pre_Date,1)</f>
        <v>43469</v>
      </c>
      <c r="B107" s="3">
        <f ca="1">_xll.BDP(H107,"PX_LAST")+$P$106</f>
        <v>-0.92220000000000002</v>
      </c>
      <c r="C107" s="1">
        <f>nextimm(C106+1)</f>
        <v>43544</v>
      </c>
      <c r="D107" s="3">
        <f ca="1">$P$106+100-_xll.BDP(I107,"PX_LAST")</f>
        <v>-0.82999999999999829</v>
      </c>
      <c r="E107" s="1">
        <f>EDATE(E106,12)</f>
        <v>44534</v>
      </c>
      <c r="F107" s="3">
        <f ca="1">_xll.BDP(J107,"PX_LAST")+M107</f>
        <v>-0.54625000000000001</v>
      </c>
      <c r="H107" s="3" t="s">
        <v>169</v>
      </c>
      <c r="I107" s="3" t="s">
        <v>175</v>
      </c>
      <c r="J107" s="3" t="s">
        <v>183</v>
      </c>
      <c r="M107" s="18">
        <f ca="1">(M106+M108)/2</f>
        <v>-0.12375</v>
      </c>
      <c r="N107" s="3" t="s">
        <v>311</v>
      </c>
    </row>
    <row r="108" spans="1:17" x14ac:dyDescent="0.25">
      <c r="A108" s="1">
        <f>EDATE(Pre_Date,2)</f>
        <v>43500</v>
      </c>
      <c r="B108" s="3">
        <f ca="1">_xll.BDP(H108,"PX_LAST")+$P$106</f>
        <v>-0.84399999999999997</v>
      </c>
      <c r="C108" s="1">
        <f t="shared" ref="C108:C113" si="8">nextimm(C107+1)</f>
        <v>43635</v>
      </c>
      <c r="D108" s="3">
        <f ca="1">$P$106+100-_xll.BDP(I108,"PX_LAST")</f>
        <v>-0.82999999999999829</v>
      </c>
      <c r="E108" s="1">
        <f t="shared" ref="E108:E119" si="9">EDATE(E107,12)</f>
        <v>44899</v>
      </c>
      <c r="F108" s="3">
        <f ca="1">_xll.BDP(J108,"PX_LAST")+M108</f>
        <v>-0.43080000000000002</v>
      </c>
      <c r="H108" s="3" t="s">
        <v>170</v>
      </c>
      <c r="I108" s="3" t="s">
        <v>176</v>
      </c>
      <c r="J108" s="3" t="s">
        <v>184</v>
      </c>
      <c r="M108" s="3">
        <f ca="1">_xll.BDP(N108,"PX_LAST")/100</f>
        <v>-0.13750000000000001</v>
      </c>
      <c r="N108" s="3" t="s">
        <v>312</v>
      </c>
    </row>
    <row r="109" spans="1:17" x14ac:dyDescent="0.25">
      <c r="A109" s="1">
        <f>EDATE(Pre_Date,3)</f>
        <v>43528</v>
      </c>
      <c r="B109" s="3">
        <f ca="1">_xll.BDP(H109,"PX_LAST")+$P$106</f>
        <v>-0.83139999999999992</v>
      </c>
      <c r="C109" s="1">
        <f t="shared" si="8"/>
        <v>43726</v>
      </c>
      <c r="D109" s="3">
        <f ca="1">$P$106+100-_xll.BDP(I109,"PX_LAST")</f>
        <v>-0.81000000000000227</v>
      </c>
      <c r="E109" s="1">
        <f t="shared" si="9"/>
        <v>45264</v>
      </c>
      <c r="F109" s="3">
        <f ca="1">_xll.BDP(J109,"PX_LAST")+M109</f>
        <v>-0.32630000000000003</v>
      </c>
      <c r="H109" s="3" t="s">
        <v>171</v>
      </c>
      <c r="I109" s="3" t="s">
        <v>177</v>
      </c>
      <c r="J109" s="3" t="s">
        <v>185</v>
      </c>
      <c r="M109" s="3">
        <f ca="1">_xll.BDP(N109,"PX_LAST")/100</f>
        <v>-0.16</v>
      </c>
      <c r="N109" s="3" t="s">
        <v>313</v>
      </c>
    </row>
    <row r="110" spans="1:17" x14ac:dyDescent="0.25">
      <c r="A110" s="1">
        <f>EDATE(Pre_Date,6)</f>
        <v>43620</v>
      </c>
      <c r="B110" s="3">
        <f ca="1">_xll.BDP(H110,"PX_LAST")+$P$106</f>
        <v>-0.75739999999999996</v>
      </c>
      <c r="C110" s="1">
        <f t="shared" si="8"/>
        <v>43817</v>
      </c>
      <c r="D110" s="3">
        <f ca="1">$P$106+100-_xll.BDP(I110,"PX_LAST")</f>
        <v>-0.79000000000000625</v>
      </c>
      <c r="E110" s="1">
        <f t="shared" si="9"/>
        <v>45630</v>
      </c>
      <c r="F110" s="3">
        <f ca="1">_xll.BDP(J110,"PX_LAST")+M110</f>
        <v>-0.21000000000000002</v>
      </c>
      <c r="H110" s="3" t="s">
        <v>172</v>
      </c>
      <c r="I110" s="3" t="s">
        <v>178</v>
      </c>
      <c r="J110" s="3" t="s">
        <v>186</v>
      </c>
      <c r="M110" s="3">
        <f ca="1">_xll.BDP(N110,"PX_LAST")/100</f>
        <v>-0.16750000000000001</v>
      </c>
      <c r="N110" s="3" t="s">
        <v>314</v>
      </c>
    </row>
    <row r="111" spans="1:17" x14ac:dyDescent="0.25">
      <c r="A111" s="1">
        <f>EDATE(Pre_Date,12)</f>
        <v>43803</v>
      </c>
      <c r="B111" s="3">
        <f ca="1">_xll.BDP(H111,"PX_LAST")+$P$106</f>
        <v>-0.62380000000000002</v>
      </c>
      <c r="C111" s="1">
        <f t="shared" si="8"/>
        <v>43908</v>
      </c>
      <c r="D111" s="3">
        <f ca="1">$P$106+100-_xll.BDP(I111,"PX_LAST")</f>
        <v>-0.74000000000000909</v>
      </c>
      <c r="E111" s="1">
        <f t="shared" si="9"/>
        <v>45995</v>
      </c>
      <c r="F111" s="3">
        <f ca="1">_xll.BDP(J111,"PX_LAST")+M111</f>
        <v>-0.11310000000000001</v>
      </c>
      <c r="H111" s="3" t="s">
        <v>173</v>
      </c>
      <c r="I111" s="3" t="s">
        <v>179</v>
      </c>
      <c r="J111" s="3" t="s">
        <v>187</v>
      </c>
      <c r="M111" s="3">
        <f ca="1">_xll.BDP(N111,"PX_LAST")/100</f>
        <v>-0.19500000000000001</v>
      </c>
      <c r="N111" s="3" t="s">
        <v>315</v>
      </c>
    </row>
    <row r="112" spans="1:17" x14ac:dyDescent="0.25">
      <c r="A112" s="11">
        <f>EDATE(A111,10)</f>
        <v>44108</v>
      </c>
      <c r="B112" s="12">
        <f ca="1">$B$111</f>
        <v>-0.62380000000000002</v>
      </c>
      <c r="C112" s="1">
        <f t="shared" si="8"/>
        <v>43999</v>
      </c>
      <c r="D112" s="3">
        <f ca="1">$P$106+100-_xll.BDP(I112,"PX_LAST")</f>
        <v>-0.67000000000000171</v>
      </c>
      <c r="E112" s="1">
        <f t="shared" si="9"/>
        <v>46360</v>
      </c>
      <c r="F112" s="3">
        <f ca="1">_xll.BDP(J112,"PX_LAST")+M112</f>
        <v>-2.7499999999999997E-2</v>
      </c>
      <c r="I112" s="3" t="s">
        <v>180</v>
      </c>
      <c r="J112" s="3" t="s">
        <v>188</v>
      </c>
      <c r="M112" s="3">
        <f ca="1">_xll.BDP(N112,"PX_LAST")/100</f>
        <v>-0.21249999999999999</v>
      </c>
      <c r="N112" s="3" t="s">
        <v>316</v>
      </c>
    </row>
    <row r="113" spans="3:14" x14ac:dyDescent="0.25">
      <c r="C113" s="1">
        <f t="shared" si="8"/>
        <v>44090</v>
      </c>
      <c r="D113" s="3">
        <f ca="1">100-_xll.BDP(I113,"PX_LAST")</f>
        <v>-0.48999999999999488</v>
      </c>
      <c r="E113" s="1">
        <f t="shared" si="9"/>
        <v>46725</v>
      </c>
      <c r="F113" s="3">
        <f ca="1">_xll.BDP(J113,"PX_LAST")+M113</f>
        <v>6.2999999999999973E-2</v>
      </c>
      <c r="I113" s="3" t="s">
        <v>181</v>
      </c>
      <c r="J113" s="3" t="s">
        <v>189</v>
      </c>
      <c r="M113" s="3">
        <f ca="1">_xll.BDP(N113,"PX_LAST")/100</f>
        <v>-0.22500000000000001</v>
      </c>
      <c r="N113" s="3" t="s">
        <v>317</v>
      </c>
    </row>
    <row r="114" spans="3:14" x14ac:dyDescent="0.25">
      <c r="E114" s="1">
        <f t="shared" si="9"/>
        <v>47091</v>
      </c>
      <c r="F114" s="3">
        <f ca="1">_xll.BDP(J114,"PX_LAST")+M114</f>
        <v>0.1585</v>
      </c>
      <c r="J114" s="3" t="s">
        <v>190</v>
      </c>
      <c r="M114" s="3">
        <f ca="1">_xll.BDP(N114,"PX_LAST")/100</f>
        <v>-0.23250000000000001</v>
      </c>
      <c r="N114" s="3" t="s">
        <v>318</v>
      </c>
    </row>
    <row r="115" spans="3:14" x14ac:dyDescent="0.25">
      <c r="E115" s="1">
        <f t="shared" si="9"/>
        <v>47456</v>
      </c>
      <c r="F115" s="3">
        <f ca="1">_xll.BDP(J115,"PX_LAST")+M115</f>
        <v>0.22250000000000003</v>
      </c>
      <c r="J115" s="3" t="s">
        <v>191</v>
      </c>
      <c r="M115" s="18">
        <f ca="1">(M114+M116)/2</f>
        <v>-0.23749999999999999</v>
      </c>
      <c r="N115" s="3" t="s">
        <v>319</v>
      </c>
    </row>
    <row r="116" spans="3:14" x14ac:dyDescent="0.25">
      <c r="E116" s="1">
        <f t="shared" si="9"/>
        <v>47821</v>
      </c>
      <c r="F116" s="3">
        <f ca="1">_xll.BDP(J116,"PX_LAST")+M116</f>
        <v>0.29629999999999995</v>
      </c>
      <c r="J116" s="3" t="s">
        <v>192</v>
      </c>
      <c r="M116" s="3">
        <f ca="1">_xll.BDP(N116,"PX_LAST")/100</f>
        <v>-0.24249999999999999</v>
      </c>
      <c r="N116" s="3" t="s">
        <v>320</v>
      </c>
    </row>
    <row r="117" spans="3:14" x14ac:dyDescent="0.25">
      <c r="E117" s="1">
        <f t="shared" si="9"/>
        <v>48186</v>
      </c>
      <c r="F117" s="3">
        <f ca="1">_xll.BDP(J117,"PX_LAST")+M117</f>
        <v>0.35706666666666664</v>
      </c>
      <c r="J117" s="3" t="s">
        <v>193</v>
      </c>
      <c r="M117" s="18">
        <f ca="1">(M119-M116)/3+M116</f>
        <v>-0.23793333333333333</v>
      </c>
      <c r="N117" s="3" t="s">
        <v>321</v>
      </c>
    </row>
    <row r="118" spans="3:14" x14ac:dyDescent="0.25">
      <c r="E118" s="1">
        <f t="shared" si="9"/>
        <v>48552</v>
      </c>
      <c r="F118" s="3">
        <f ca="1">_xll.BDP(J118,"PX_LAST")+M118</f>
        <v>0.41043333333333337</v>
      </c>
      <c r="J118" s="3" t="s">
        <v>194</v>
      </c>
      <c r="M118" s="18">
        <f ca="1">(M119-M116)/3*2+M116</f>
        <v>-0.23336666666666667</v>
      </c>
      <c r="N118" s="3" t="s">
        <v>322</v>
      </c>
    </row>
    <row r="119" spans="3:14" x14ac:dyDescent="0.25">
      <c r="E119" s="1">
        <f t="shared" si="9"/>
        <v>48917</v>
      </c>
      <c r="F119" s="3">
        <f ca="1">_xll.BDP(J119,"PX_LAST")+M119</f>
        <v>0.46870000000000001</v>
      </c>
      <c r="J119" s="3" t="s">
        <v>195</v>
      </c>
      <c r="M119" s="3">
        <f ca="1">_xll.BDP(N119,"PX_LAST")/100</f>
        <v>-0.2288</v>
      </c>
      <c r="N119" s="3" t="s">
        <v>323</v>
      </c>
    </row>
    <row r="120" spans="3:14" x14ac:dyDescent="0.25">
      <c r="E120" s="1">
        <f>EDATE(E119,60)</f>
        <v>50743</v>
      </c>
      <c r="F120" s="3">
        <f ca="1">_xll.BDP(J120,"PX_LAST")+M120</f>
        <v>0.64250000000000007</v>
      </c>
      <c r="J120" s="3" t="s">
        <v>196</v>
      </c>
      <c r="M120" s="3">
        <f ca="1">_xll.BDP(N120,"PX_LAST")/100</f>
        <v>-0.19879999999999998</v>
      </c>
      <c r="N120" s="3" t="s">
        <v>324</v>
      </c>
    </row>
    <row r="121" spans="3:14" x14ac:dyDescent="0.25">
      <c r="E121" s="1">
        <f>EDATE(E120,60)</f>
        <v>52569</v>
      </c>
      <c r="F121" s="3">
        <f ca="1">_xll.BDP(J121,"PX_LAST")+M121</f>
        <v>0.72499999999999998</v>
      </c>
      <c r="J121" s="3" t="s">
        <v>197</v>
      </c>
      <c r="M121" s="18">
        <f ca="1">(M120+M122)/2</f>
        <v>-0.17630000000000001</v>
      </c>
      <c r="N121" s="3" t="s">
        <v>325</v>
      </c>
    </row>
    <row r="122" spans="3:14" x14ac:dyDescent="0.25">
      <c r="E122" s="1">
        <f>EDATE(E121,60)</f>
        <v>54396</v>
      </c>
      <c r="F122" s="3">
        <f ca="1">_xll.BDP(J122,"PX_LAST")+M122</f>
        <v>0.76749999999999996</v>
      </c>
      <c r="J122" s="3" t="s">
        <v>198</v>
      </c>
      <c r="M122" s="3">
        <f ca="1">_xll.BDP(N122,"PX_LAST")/100</f>
        <v>-0.15380000000000002</v>
      </c>
      <c r="N122" s="3" t="s">
        <v>326</v>
      </c>
    </row>
    <row r="123" spans="3:14" x14ac:dyDescent="0.25">
      <c r="E123" s="1">
        <f>EDATE(E122,120)</f>
        <v>58048</v>
      </c>
      <c r="F123" s="3">
        <f ca="1">_xll.BDP(J123,"PX_LAST")+M123</f>
        <v>0.80869999999999997</v>
      </c>
      <c r="J123" s="3" t="s">
        <v>199</v>
      </c>
      <c r="M123" s="18">
        <f ca="1">$M$122</f>
        <v>-0.15380000000000002</v>
      </c>
      <c r="N123" s="3" t="s">
        <v>327</v>
      </c>
    </row>
    <row r="124" spans="3:14" x14ac:dyDescent="0.25">
      <c r="E124" s="1">
        <f>EDATE(E123,12)</f>
        <v>58413</v>
      </c>
      <c r="F124" s="3">
        <f ca="1">$F$123</f>
        <v>0.80869999999999997</v>
      </c>
    </row>
    <row r="125" spans="3:14" x14ac:dyDescent="0.25">
      <c r="E125" s="1"/>
    </row>
    <row r="129" spans="1:17" x14ac:dyDescent="0.25">
      <c r="A129" s="8" t="s">
        <v>21</v>
      </c>
      <c r="B129" s="9">
        <v>7</v>
      </c>
      <c r="C129" s="9"/>
      <c r="D129" s="9">
        <v>8</v>
      </c>
      <c r="E129" s="9"/>
      <c r="F129" s="9">
        <v>16</v>
      </c>
    </row>
    <row r="130" spans="1:17" x14ac:dyDescent="0.25">
      <c r="A130" s="3" t="s">
        <v>29</v>
      </c>
      <c r="B130" s="3" t="s">
        <v>30</v>
      </c>
      <c r="C130" s="3" t="s">
        <v>31</v>
      </c>
      <c r="D130" s="3" t="s">
        <v>32</v>
      </c>
      <c r="E130" s="3" t="s">
        <v>33</v>
      </c>
      <c r="F130" s="3" t="s">
        <v>34</v>
      </c>
      <c r="M130" s="5" t="s">
        <v>249</v>
      </c>
      <c r="N130" s="5" t="s">
        <v>35</v>
      </c>
    </row>
    <row r="131" spans="1:17" x14ac:dyDescent="0.25">
      <c r="A131" s="1">
        <f>WORKDAY(Pre_Date,1)</f>
        <v>43439</v>
      </c>
      <c r="B131" s="3">
        <f ca="1">_xll.BDP(H131,"PX_LAST")+$P$131</f>
        <v>1.585</v>
      </c>
      <c r="C131" s="1">
        <f>nextimm(Pre_Date)</f>
        <v>43453</v>
      </c>
      <c r="D131" s="3" t="e">
        <f ca="1">$P$131+100-IF(_xll.BDP(I131,"PX_LAST")="#N/A N/A",100-B134,_xll.BDP(I131,"PX_LAST"))</f>
        <v>#VALUE!</v>
      </c>
      <c r="E131" s="1">
        <f>EDATE(Pre_Date,24)</f>
        <v>44169</v>
      </c>
      <c r="F131" s="3">
        <f ca="1">_xll.BDP(J131,"PX_LAST")+M131</f>
        <v>2.3651999999999997</v>
      </c>
      <c r="H131" s="3" t="s">
        <v>200</v>
      </c>
      <c r="I131" s="3" t="s">
        <v>206</v>
      </c>
      <c r="J131" s="3" t="s">
        <v>214</v>
      </c>
      <c r="M131" s="3">
        <f ca="1">_xll.BDP(N131,"PX_LAST")/100</f>
        <v>-0.13500000000000001</v>
      </c>
      <c r="N131" s="3" t="s">
        <v>328</v>
      </c>
      <c r="P131" s="3">
        <f ca="1">_xll.BDP(Q131,"PX_LAST")/100</f>
        <v>-0.16500000000000001</v>
      </c>
      <c r="Q131" s="3" t="s">
        <v>366</v>
      </c>
    </row>
    <row r="132" spans="1:17" x14ac:dyDescent="0.25">
      <c r="A132" s="1">
        <f>EDATE(Pre_Date,1)</f>
        <v>43469</v>
      </c>
      <c r="B132" s="3">
        <f ca="1">_xll.BDP(H132,"PX_LAST")+$P$131</f>
        <v>1.9962499999999999</v>
      </c>
      <c r="C132" s="1">
        <f>nextimm(C131+1)</f>
        <v>43544</v>
      </c>
      <c r="D132" s="3">
        <f ca="1">$P$131+100-_xll.BDP(I132,"PX_LAST")</f>
        <v>2.1199999999999903</v>
      </c>
      <c r="E132" s="1">
        <f>EDATE(E131,12)</f>
        <v>44534</v>
      </c>
      <c r="F132" s="3">
        <f ca="1">_xll.BDP(J132,"PX_LAST")+M132</f>
        <v>2.4262999999999999</v>
      </c>
      <c r="H132" s="3" t="s">
        <v>201</v>
      </c>
      <c r="I132" s="3" t="s">
        <v>207</v>
      </c>
      <c r="J132" s="3" t="s">
        <v>215</v>
      </c>
      <c r="M132" s="18">
        <f ca="1">(M131+M133)/2</f>
        <v>-0.115</v>
      </c>
      <c r="N132" s="3" t="s">
        <v>329</v>
      </c>
    </row>
    <row r="133" spans="1:17" x14ac:dyDescent="0.25">
      <c r="A133" s="1">
        <f>EDATE(Pre_Date,2)</f>
        <v>43500</v>
      </c>
      <c r="B133" s="3">
        <f ca="1">_xll.BDP(H133,"PX_LAST")+$P$131</f>
        <v>2.0249999999999999</v>
      </c>
      <c r="C133" s="1">
        <f t="shared" ref="C133:C138" si="10">nextimm(C132+1)</f>
        <v>43635</v>
      </c>
      <c r="D133" s="3">
        <f ca="1">$P$131+100-_xll.BDP(I133,"PX_LAST")</f>
        <v>2.2399999999999949</v>
      </c>
      <c r="E133" s="1">
        <f t="shared" ref="E133:E139" si="11">EDATE(E132,12)</f>
        <v>44899</v>
      </c>
      <c r="F133" s="3">
        <f ca="1">_xll.BDP(J133,"PX_LAST")+M133</f>
        <v>2.4657</v>
      </c>
      <c r="H133" s="3" t="s">
        <v>202</v>
      </c>
      <c r="I133" s="3" t="s">
        <v>208</v>
      </c>
      <c r="J133" s="3" t="s">
        <v>216</v>
      </c>
      <c r="M133" s="3">
        <f ca="1">_xll.BDP(N133,"PX_LAST")/100</f>
        <v>-9.5000000000000001E-2</v>
      </c>
      <c r="N133" s="3" t="s">
        <v>330</v>
      </c>
    </row>
    <row r="134" spans="1:17" x14ac:dyDescent="0.25">
      <c r="A134" s="1">
        <f>EDATE(Pre_Date,3)</f>
        <v>43528</v>
      </c>
      <c r="B134" s="3">
        <f ca="1">_xll.BDP(H134,"PX_LAST")+$P$131</f>
        <v>2.0874999999999999</v>
      </c>
      <c r="C134" s="1">
        <f t="shared" si="10"/>
        <v>43726</v>
      </c>
      <c r="D134" s="3">
        <f ca="1">$P$131+100-_xll.BDP(I134,"PX_LAST")</f>
        <v>2.3199999999999932</v>
      </c>
      <c r="E134" s="1">
        <f t="shared" si="11"/>
        <v>45264</v>
      </c>
      <c r="F134" s="3">
        <f ca="1">_xll.BDP(J134,"PX_LAST")+M134</f>
        <v>2.4949999999999997</v>
      </c>
      <c r="H134" s="3" t="s">
        <v>203</v>
      </c>
      <c r="I134" s="3" t="s">
        <v>209</v>
      </c>
      <c r="J134" s="3" t="s">
        <v>217</v>
      </c>
      <c r="M134" s="3">
        <f ca="1">_xll.BDP(N134,"PX_LAST")/100</f>
        <v>-7.7499999999999999E-2</v>
      </c>
      <c r="N134" s="3" t="s">
        <v>331</v>
      </c>
    </row>
    <row r="135" spans="1:17" x14ac:dyDescent="0.25">
      <c r="A135" s="1">
        <f>EDATE(Pre_Date,6)</f>
        <v>43620</v>
      </c>
      <c r="B135" s="3">
        <f ca="1">_xll.BDP(H135,"PX_LAST")+$P$131</f>
        <v>2.1799999999999997</v>
      </c>
      <c r="C135" s="1">
        <f t="shared" si="10"/>
        <v>43817</v>
      </c>
      <c r="D135" s="3">
        <f ca="1">$P$131+100-_xll.BDP(I135,"PX_LAST")</f>
        <v>2.3699999999999903</v>
      </c>
      <c r="E135" s="1">
        <f t="shared" si="11"/>
        <v>45630</v>
      </c>
      <c r="F135" s="3">
        <f ca="1">_xll.BDP(J135,"PX_LAST")+M135</f>
        <v>2.5256499999999997</v>
      </c>
      <c r="H135" s="3" t="s">
        <v>204</v>
      </c>
      <c r="I135" s="3" t="s">
        <v>210</v>
      </c>
      <c r="J135" s="3" t="s">
        <v>218</v>
      </c>
      <c r="M135" s="3">
        <f ca="1">_xll.BDP(N135,"PX_LAST")/100</f>
        <v>-6.3750000000000001E-2</v>
      </c>
      <c r="N135" s="3" t="s">
        <v>332</v>
      </c>
    </row>
    <row r="136" spans="1:17" x14ac:dyDescent="0.25">
      <c r="A136" s="1">
        <f>EDATE(Pre_Date,12)</f>
        <v>43803</v>
      </c>
      <c r="B136" s="3">
        <f ca="1">_xll.BDP(H136,"PX_LAST")+$P$131</f>
        <v>2.3987499999999997</v>
      </c>
      <c r="C136" s="1">
        <f t="shared" si="10"/>
        <v>43908</v>
      </c>
      <c r="D136" s="3">
        <f ca="1">$P$131+100-_xll.BDP(I136,"PX_LAST")</f>
        <v>2.4199999999999875</v>
      </c>
      <c r="E136" s="1">
        <f t="shared" si="11"/>
        <v>45995</v>
      </c>
      <c r="F136" s="3">
        <f ca="1">_xll.BDP(J136,"PX_LAST")+M136</f>
        <v>2.55755</v>
      </c>
      <c r="H136" s="3" t="s">
        <v>205</v>
      </c>
      <c r="I136" s="3" t="s">
        <v>211</v>
      </c>
      <c r="J136" s="3" t="s">
        <v>219</v>
      </c>
      <c r="M136" s="3">
        <f ca="1">_xll.BDP(N136,"PX_LAST")/100</f>
        <v>-5.3749999999999999E-2</v>
      </c>
      <c r="N136" s="3" t="s">
        <v>333</v>
      </c>
    </row>
    <row r="137" spans="1:17" x14ac:dyDescent="0.25">
      <c r="A137" s="11">
        <f>EDATE(A136,10)</f>
        <v>44108</v>
      </c>
      <c r="B137" s="12">
        <f ca="1">$B$136</f>
        <v>2.3987499999999997</v>
      </c>
      <c r="C137" s="1">
        <f t="shared" si="10"/>
        <v>43999</v>
      </c>
      <c r="D137" s="3">
        <f ca="1">$P$131+100-_xll.BDP(I137,"PX_LAST")</f>
        <v>2.4449999999999932</v>
      </c>
      <c r="E137" s="1">
        <f t="shared" si="11"/>
        <v>46360</v>
      </c>
      <c r="F137" s="3">
        <f ca="1">_xll.BDP(J137,"PX_LAST")+M137</f>
        <v>2.5861200000000002</v>
      </c>
      <c r="I137" s="3" t="s">
        <v>212</v>
      </c>
      <c r="J137" s="3" t="s">
        <v>220</v>
      </c>
      <c r="M137" s="3">
        <f ca="1">_xll.BDP(N137,"PX_LAST")/100</f>
        <v>-4.7080000000000004E-2</v>
      </c>
      <c r="N137" s="3" t="s">
        <v>334</v>
      </c>
    </row>
    <row r="138" spans="1:17" x14ac:dyDescent="0.25">
      <c r="C138" s="1">
        <f t="shared" si="10"/>
        <v>44090</v>
      </c>
      <c r="D138" s="3">
        <f ca="1">$P$131+100-_xll.BDP(I138,"PX_LAST")</f>
        <v>2.4549999999999983</v>
      </c>
      <c r="E138" s="1">
        <f t="shared" si="11"/>
        <v>46725</v>
      </c>
      <c r="F138" s="3">
        <f ca="1">_xll.BDP(J138,"PX_LAST")+M138</f>
        <v>2.6146799999999999</v>
      </c>
      <c r="I138" s="3" t="s">
        <v>213</v>
      </c>
      <c r="J138" s="3" t="s">
        <v>221</v>
      </c>
      <c r="M138" s="3">
        <f ca="1">_xll.BDP(N138,"PX_LAST")/100</f>
        <v>-4.0419999999999998E-2</v>
      </c>
      <c r="N138" s="3" t="s">
        <v>335</v>
      </c>
    </row>
    <row r="139" spans="1:17" x14ac:dyDescent="0.25">
      <c r="E139" s="1">
        <f t="shared" si="11"/>
        <v>47091</v>
      </c>
      <c r="F139" s="3">
        <f ca="1">_xll.BDP(J139,"PX_LAST")+M139</f>
        <v>2.6385999999999998</v>
      </c>
      <c r="J139" s="3" t="s">
        <v>222</v>
      </c>
      <c r="M139" s="3">
        <f ca="1">_xll.BDP(N139,"PX_LAST")/100</f>
        <v>-3.5000000000000003E-2</v>
      </c>
      <c r="N139" s="3" t="s">
        <v>336</v>
      </c>
    </row>
    <row r="140" spans="1:17" x14ac:dyDescent="0.25">
      <c r="E140" s="1">
        <f>EDATE(E139,24)</f>
        <v>47821</v>
      </c>
      <c r="F140" s="3">
        <f ca="1">_xll.BDP(J140,"PX_LAST")+M140</f>
        <v>2.6943000000000001</v>
      </c>
      <c r="J140" s="3" t="s">
        <v>223</v>
      </c>
      <c r="M140" s="3">
        <f ca="1">_xll.BDP(N140,"PX_LAST")/100</f>
        <v>-2.5000000000000001E-2</v>
      </c>
      <c r="N140" s="3" t="s">
        <v>337</v>
      </c>
    </row>
    <row r="141" spans="1:17" x14ac:dyDescent="0.25">
      <c r="E141" s="1">
        <f>EDATE(E140,36)</f>
        <v>48917</v>
      </c>
      <c r="F141" s="3">
        <f ca="1">_xll.BDP(J141,"PX_LAST")+M141</f>
        <v>2.7294999999999998</v>
      </c>
      <c r="J141" s="3" t="s">
        <v>224</v>
      </c>
      <c r="M141" s="3">
        <f ca="1">_xll.BDP(N141,"PX_LAST")/100</f>
        <v>-0.04</v>
      </c>
      <c r="N141" s="3" t="s">
        <v>338</v>
      </c>
    </row>
    <row r="142" spans="1:17" x14ac:dyDescent="0.25">
      <c r="E142" s="1">
        <f>EDATE(E141,60)</f>
        <v>50743</v>
      </c>
      <c r="F142" s="3">
        <f ca="1">_xll.BDP(J142,"PX_LAST")+M142</f>
        <v>2.7712999999999997</v>
      </c>
      <c r="J142" s="3" t="s">
        <v>225</v>
      </c>
      <c r="M142" s="3">
        <f ca="1">_xll.BDP(N142,"PX_LAST")/100</f>
        <v>-5.5E-2</v>
      </c>
      <c r="N142" s="3" t="s">
        <v>339</v>
      </c>
    </row>
    <row r="143" spans="1:17" x14ac:dyDescent="0.25">
      <c r="E143" s="1">
        <f>EDATE(E142,60)</f>
        <v>52569</v>
      </c>
      <c r="F143" s="3">
        <f ca="1">_xll.BDP(J143,"PX_LAST")+M143</f>
        <v>2.6571000000000002</v>
      </c>
      <c r="J143" s="3" t="s">
        <v>226</v>
      </c>
      <c r="M143" s="18">
        <f ca="1">$M$122</f>
        <v>-0.15380000000000002</v>
      </c>
      <c r="N143" s="3" t="s">
        <v>340</v>
      </c>
    </row>
    <row r="144" spans="1:17" x14ac:dyDescent="0.25">
      <c r="E144" s="1">
        <f>EDATE(E143,60)</f>
        <v>54396</v>
      </c>
      <c r="F144" s="3">
        <f ca="1">_xll.BDP(J144,"PX_LAST")+M144</f>
        <v>2.6367000000000003</v>
      </c>
      <c r="J144" s="3" t="s">
        <v>227</v>
      </c>
      <c r="M144" s="18">
        <f ca="1">$M$122</f>
        <v>-0.15380000000000002</v>
      </c>
      <c r="N144" s="3" t="s">
        <v>341</v>
      </c>
    </row>
    <row r="145" spans="1:22" x14ac:dyDescent="0.25">
      <c r="E145" s="1">
        <f>EDATE(E144,120)</f>
        <v>58048</v>
      </c>
      <c r="F145" s="3">
        <f ca="1">_xll.BDP(J145,"PX_LAST")+M145</f>
        <v>2.6266000000000003</v>
      </c>
      <c r="J145" s="3" t="s">
        <v>228</v>
      </c>
      <c r="M145" s="18">
        <f ca="1">$M$122</f>
        <v>-0.15380000000000002</v>
      </c>
      <c r="N145" s="3" t="s">
        <v>342</v>
      </c>
    </row>
    <row r="146" spans="1:22" x14ac:dyDescent="0.25">
      <c r="E146" s="1">
        <f>EDATE(E145,12)</f>
        <v>58413</v>
      </c>
      <c r="F146" s="3">
        <f ca="1">$F$145</f>
        <v>2.6266000000000003</v>
      </c>
    </row>
    <row r="154" spans="1:22" ht="15.75" x14ac:dyDescent="0.25">
      <c r="A154" s="8" t="s">
        <v>231</v>
      </c>
      <c r="B154" s="9">
        <v>7</v>
      </c>
      <c r="C154" s="9"/>
      <c r="D154" s="9">
        <v>8</v>
      </c>
      <c r="E154" s="9"/>
      <c r="F154" s="9">
        <v>16</v>
      </c>
      <c r="M154" s="2">
        <v>43430</v>
      </c>
      <c r="S154" s="21" t="s">
        <v>483</v>
      </c>
    </row>
    <row r="155" spans="1:22" ht="15.75" x14ac:dyDescent="0.25">
      <c r="A155" s="3" t="s">
        <v>29</v>
      </c>
      <c r="B155" s="3" t="s">
        <v>30</v>
      </c>
      <c r="C155" s="3" t="s">
        <v>31</v>
      </c>
      <c r="D155" s="3" t="s">
        <v>32</v>
      </c>
      <c r="E155" s="3" t="s">
        <v>33</v>
      </c>
      <c r="F155" s="3" t="s">
        <v>34</v>
      </c>
      <c r="M155" s="5" t="s">
        <v>249</v>
      </c>
      <c r="N155" s="5" t="s">
        <v>35</v>
      </c>
      <c r="S155" s="21" t="s">
        <v>482</v>
      </c>
    </row>
    <row r="156" spans="1:22" x14ac:dyDescent="0.25">
      <c r="A156" s="1">
        <f>WORKDAY(Pre_Date,1)</f>
        <v>43439</v>
      </c>
      <c r="B156" s="3" t="s">
        <v>247</v>
      </c>
      <c r="C156" s="1">
        <f>nextimm(Pre_Date)</f>
        <v>43453</v>
      </c>
      <c r="D156" s="3" t="s">
        <v>247</v>
      </c>
      <c r="E156" s="1">
        <f>EDATE(Pre_Date,12)</f>
        <v>43803</v>
      </c>
      <c r="F156" s="3">
        <f>T156</f>
        <v>5.7073999999999998</v>
      </c>
      <c r="I156" s="3">
        <f ca="1">_xll.BDP(J156,"PX_LAST",Pre_Date_BRL,Pre_Date_BRL)</f>
        <v>6.9257</v>
      </c>
      <c r="J156" s="3" t="s">
        <v>237</v>
      </c>
      <c r="M156" s="3" t="e">
        <f ca="1">_xll.BDP(N156,"PX_LAST",M154,M154)/100</f>
        <v>#VALUE!</v>
      </c>
      <c r="N156" s="3" t="s">
        <v>343</v>
      </c>
      <c r="P156" s="3" t="e">
        <f ca="1">_xll.BDP(Q156,"PX_LAST")/100</f>
        <v>#VALUE!</v>
      </c>
      <c r="Q156" s="3" t="s">
        <v>368</v>
      </c>
      <c r="R156" s="3">
        <f ca="1">I156-F156</f>
        <v>1.2183000000000002</v>
      </c>
      <c r="S156" s="12">
        <v>5.7073999999999998</v>
      </c>
      <c r="T156" s="3">
        <f>S156</f>
        <v>5.7073999999999998</v>
      </c>
    </row>
    <row r="157" spans="1:22" x14ac:dyDescent="0.25">
      <c r="A157" s="1">
        <f>EDATE(Pre_Date,1)</f>
        <v>43469</v>
      </c>
      <c r="B157" s="3">
        <f t="shared" ref="B157:B162" ca="1" si="12">U157</f>
        <v>5.1973000000000003</v>
      </c>
      <c r="C157" s="1">
        <f>nextimm(C156+1)</f>
        <v>43544</v>
      </c>
      <c r="D157" s="3" t="s">
        <v>247</v>
      </c>
      <c r="E157" s="1">
        <f>EDATE(E156,12)</f>
        <v>44169</v>
      </c>
      <c r="F157" s="3">
        <f t="shared" ref="F157:F172" si="13">T157</f>
        <v>6.5526</v>
      </c>
      <c r="G157" s="3">
        <f t="shared" ref="G157:G164" si="14">100*(F157-F156)</f>
        <v>84.52000000000001</v>
      </c>
      <c r="H157" s="3" t="s">
        <v>232</v>
      </c>
      <c r="I157" s="3">
        <f ca="1">_xll.BDP(J157,"PX_LAST",Pre_Date_BRL,Pre_Date_BRL)</f>
        <v>7.9432</v>
      </c>
      <c r="J157" s="3" t="s">
        <v>238</v>
      </c>
      <c r="M157" s="3" t="e">
        <f ca="1">_xll.BDP(N157,"PX_LAST",M155,M155)/100</f>
        <v>#VALUE!</v>
      </c>
      <c r="N157" s="3" t="s">
        <v>344</v>
      </c>
      <c r="S157" s="12">
        <v>6.5526</v>
      </c>
      <c r="T157" s="3">
        <f t="shared" ref="T157:T164" si="15">S157</f>
        <v>6.5526</v>
      </c>
      <c r="U157" s="3">
        <f ca="1">V157-$R$156</f>
        <v>5.1973000000000003</v>
      </c>
      <c r="V157" s="3">
        <f ca="1">_xll.BDP(H157,"PX_LAST")</f>
        <v>6.4156000000000004</v>
      </c>
    </row>
    <row r="158" spans="1:22" x14ac:dyDescent="0.25">
      <c r="A158" s="1">
        <f>EDATE(Pre_Date,2)</f>
        <v>43500</v>
      </c>
      <c r="B158" s="3">
        <f t="shared" ca="1" si="12"/>
        <v>5.1973000000000003</v>
      </c>
      <c r="C158" s="1">
        <f t="shared" ref="C158:C163" si="16">nextimm(C157+1)</f>
        <v>43635</v>
      </c>
      <c r="D158" s="3" t="s">
        <v>247</v>
      </c>
      <c r="E158" s="1">
        <f>EDATE(E157,12)</f>
        <v>44534</v>
      </c>
      <c r="F158" s="3">
        <f t="shared" si="13"/>
        <v>7.1788999999999996</v>
      </c>
      <c r="G158" s="3">
        <f t="shared" si="14"/>
        <v>62.629999999999967</v>
      </c>
      <c r="H158" s="3" t="s">
        <v>233</v>
      </c>
      <c r="I158" s="3">
        <f ca="1">_xll.BDP(J158,"PX_LAST",Pre_Date_BRL,Pre_Date_BRL)</f>
        <v>8.7112999999999996</v>
      </c>
      <c r="J158" s="3" t="s">
        <v>239</v>
      </c>
      <c r="M158" s="3" t="e">
        <f ca="1">_xll.BDP(N158,"PX_LAST",M156,M156)/100</f>
        <v>#VALUE!</v>
      </c>
      <c r="N158" s="3" t="s">
        <v>345</v>
      </c>
      <c r="S158" s="12">
        <v>7.1788999999999996</v>
      </c>
      <c r="T158" s="3">
        <f t="shared" si="15"/>
        <v>7.1788999999999996</v>
      </c>
      <c r="U158" s="3">
        <f t="shared" ref="U158:U162" ca="1" si="17">V158-$R$156</f>
        <v>5.1973000000000003</v>
      </c>
      <c r="V158" s="3">
        <f ca="1">V157</f>
        <v>6.4156000000000004</v>
      </c>
    </row>
    <row r="159" spans="1:22" x14ac:dyDescent="0.25">
      <c r="A159" s="1">
        <f>EDATE(Pre_Date,3)</f>
        <v>43528</v>
      </c>
      <c r="B159" s="3">
        <f t="shared" ca="1" si="12"/>
        <v>5.2187000000000001</v>
      </c>
      <c r="C159" s="1">
        <f t="shared" si="16"/>
        <v>43726</v>
      </c>
      <c r="D159" s="3" t="s">
        <v>247</v>
      </c>
      <c r="E159" s="1">
        <f t="shared" ref="E159:E165" si="18">EDATE(E158,12)</f>
        <v>44899</v>
      </c>
      <c r="F159" s="3">
        <f t="shared" si="13"/>
        <v>7.5522999999999998</v>
      </c>
      <c r="G159" s="3">
        <f t="shared" si="14"/>
        <v>37.340000000000018</v>
      </c>
      <c r="H159" s="3" t="s">
        <v>234</v>
      </c>
      <c r="I159" s="3">
        <f ca="1">_xll.BDP(J159,"PX_LAST",Pre_Date_BRL,Pre_Date_BRL)</f>
        <v>9.1854999999999993</v>
      </c>
      <c r="J159" s="3" t="s">
        <v>240</v>
      </c>
      <c r="M159" s="3" t="e">
        <f ca="1">_xll.BDP(N159,"PX_LAST",M157,M157)/100</f>
        <v>#VALUE!</v>
      </c>
      <c r="N159" s="3" t="s">
        <v>346</v>
      </c>
      <c r="S159" s="12">
        <v>7.5522999999999998</v>
      </c>
      <c r="T159" s="3">
        <f t="shared" si="15"/>
        <v>7.5522999999999998</v>
      </c>
      <c r="U159" s="3">
        <f t="shared" ca="1" si="17"/>
        <v>5.2187000000000001</v>
      </c>
      <c r="V159" s="3">
        <f ca="1">_xll.BDP(H159,"PX_LAST")</f>
        <v>6.4370000000000003</v>
      </c>
    </row>
    <row r="160" spans="1:22" x14ac:dyDescent="0.25">
      <c r="A160" s="1">
        <f>EDATE(Pre_Date,6)</f>
        <v>43620</v>
      </c>
      <c r="B160" s="3">
        <f t="shared" ca="1" si="12"/>
        <v>5.3136999999999999</v>
      </c>
      <c r="C160" s="1">
        <f t="shared" si="16"/>
        <v>43817</v>
      </c>
      <c r="D160" s="3" t="s">
        <v>247</v>
      </c>
      <c r="E160" s="1">
        <f t="shared" si="18"/>
        <v>45264</v>
      </c>
      <c r="F160" s="3">
        <f t="shared" si="13"/>
        <v>7.8151999999999999</v>
      </c>
      <c r="G160" s="3">
        <f t="shared" si="14"/>
        <v>26.290000000000013</v>
      </c>
      <c r="H160" s="3" t="s">
        <v>235</v>
      </c>
      <c r="I160" s="3">
        <f ca="1">_xll.BDP(J160,"PX_LAST",Pre_Date_BRL,Pre_Date_BRL)</f>
        <v>9.5045000000000002</v>
      </c>
      <c r="J160" s="3" t="s">
        <v>241</v>
      </c>
      <c r="M160" s="3" t="e">
        <f ca="1">_xll.BDP(N160,"PX_LAST",M158,M158)/100</f>
        <v>#VALUE!</v>
      </c>
      <c r="N160" s="3" t="s">
        <v>347</v>
      </c>
      <c r="S160" s="12">
        <v>7.8151999999999999</v>
      </c>
      <c r="T160" s="3">
        <f t="shared" si="15"/>
        <v>7.8151999999999999</v>
      </c>
      <c r="U160" s="3">
        <f t="shared" ca="1" si="17"/>
        <v>5.3136999999999999</v>
      </c>
      <c r="V160" s="3">
        <f ca="1">_xll.BDP(H160,"PX_LAST")</f>
        <v>6.532</v>
      </c>
    </row>
    <row r="161" spans="1:22" x14ac:dyDescent="0.25">
      <c r="A161" s="1">
        <f>EDATE(Pre_Date,12)</f>
        <v>43803</v>
      </c>
      <c r="B161" s="3">
        <f t="shared" ca="1" si="12"/>
        <v>5.4455</v>
      </c>
      <c r="C161" s="1">
        <f t="shared" si="16"/>
        <v>43908</v>
      </c>
      <c r="D161" s="3" t="s">
        <v>247</v>
      </c>
      <c r="E161" s="1">
        <f t="shared" si="18"/>
        <v>45630</v>
      </c>
      <c r="F161" s="3">
        <f t="shared" si="13"/>
        <v>8.0724999999999998</v>
      </c>
      <c r="G161" s="3">
        <f t="shared" si="14"/>
        <v>25.729999999999986</v>
      </c>
      <c r="H161" s="3" t="s">
        <v>236</v>
      </c>
      <c r="I161" s="3">
        <f ca="1">_xll.BDP(J161,"PX_LAST",Pre_Date_BRL,Pre_Date_BRL)</f>
        <v>9.7401</v>
      </c>
      <c r="J161" s="3" t="s">
        <v>242</v>
      </c>
      <c r="M161" s="3" t="e">
        <f ca="1">_xll.BDP(N161,"PX_LAST",M159,M159)/100</f>
        <v>#VALUE!</v>
      </c>
      <c r="N161" s="3" t="s">
        <v>348</v>
      </c>
      <c r="S161" s="12">
        <v>8.0724999999999998</v>
      </c>
      <c r="T161" s="3">
        <f t="shared" si="15"/>
        <v>8.0724999999999998</v>
      </c>
      <c r="U161" s="3">
        <f t="shared" ca="1" si="17"/>
        <v>5.4455</v>
      </c>
      <c r="V161" s="3">
        <f ca="1">_xll.BDP(H161,"PX_LAST")</f>
        <v>6.6638000000000002</v>
      </c>
    </row>
    <row r="162" spans="1:22" x14ac:dyDescent="0.25">
      <c r="A162" s="11">
        <f>EDATE(A161,10)</f>
        <v>44108</v>
      </c>
      <c r="B162" s="12">
        <f t="shared" ca="1" si="12"/>
        <v>5.4455</v>
      </c>
      <c r="C162" s="1">
        <f t="shared" si="16"/>
        <v>43999</v>
      </c>
      <c r="D162" s="3" t="s">
        <v>247</v>
      </c>
      <c r="E162" s="1">
        <f t="shared" si="18"/>
        <v>45995</v>
      </c>
      <c r="F162" s="3">
        <f t="shared" si="13"/>
        <v>8.2072000000000003</v>
      </c>
      <c r="G162" s="3">
        <f t="shared" si="14"/>
        <v>13.470000000000049</v>
      </c>
      <c r="I162" s="3">
        <f ca="1">_xll.BDP(J162,"PX_LAST",Pre_Date_BRL,Pre_Date_BRL)</f>
        <v>9.9295000000000009</v>
      </c>
      <c r="J162" s="3" t="s">
        <v>243</v>
      </c>
      <c r="M162" s="3" t="e">
        <f ca="1">_xll.BDP(N162,"PX_LAST",M160,M160)/100</f>
        <v>#VALUE!</v>
      </c>
      <c r="N162" s="3" t="s">
        <v>349</v>
      </c>
      <c r="S162" s="12">
        <v>8.2072000000000003</v>
      </c>
      <c r="T162" s="3">
        <f t="shared" si="15"/>
        <v>8.2072000000000003</v>
      </c>
      <c r="U162" s="3">
        <f t="shared" ca="1" si="17"/>
        <v>5.4455</v>
      </c>
      <c r="V162" s="3">
        <f ca="1">V161</f>
        <v>6.6638000000000002</v>
      </c>
    </row>
    <row r="163" spans="1:22" x14ac:dyDescent="0.25">
      <c r="C163" s="1">
        <f t="shared" si="16"/>
        <v>44090</v>
      </c>
      <c r="D163" s="3" t="s">
        <v>247</v>
      </c>
      <c r="E163" s="1">
        <f t="shared" si="18"/>
        <v>46360</v>
      </c>
      <c r="F163" s="3">
        <f t="shared" si="13"/>
        <v>8.3289000000000009</v>
      </c>
      <c r="G163" s="3">
        <f t="shared" si="14"/>
        <v>12.170000000000059</v>
      </c>
      <c r="I163" s="3">
        <f ca="1">_xll.BDP(J163,"PX_LAST",Pre_Date_BRL,Pre_Date_BRL)</f>
        <v>10.0823</v>
      </c>
      <c r="J163" s="3" t="s">
        <v>244</v>
      </c>
      <c r="M163" s="3" t="e">
        <f ca="1">_xll.BDP(N163,"PX_LAST",M161,M161)/100</f>
        <v>#VALUE!</v>
      </c>
      <c r="N163" s="3" t="s">
        <v>350</v>
      </c>
      <c r="S163" s="12">
        <v>8.3289000000000009</v>
      </c>
      <c r="T163" s="3">
        <f t="shared" si="15"/>
        <v>8.3289000000000009</v>
      </c>
    </row>
    <row r="164" spans="1:22" x14ac:dyDescent="0.25">
      <c r="E164" s="1">
        <f t="shared" si="18"/>
        <v>46725</v>
      </c>
      <c r="F164" s="3">
        <f t="shared" si="13"/>
        <v>8.3926999999999996</v>
      </c>
      <c r="G164" s="3">
        <f t="shared" si="14"/>
        <v>6.3799999999998747</v>
      </c>
      <c r="I164" s="3">
        <f ca="1">_xll.BDP(J164,"PX_LAST",Pre_Date_BRL,Pre_Date_BRL)</f>
        <v>10.1591</v>
      </c>
      <c r="J164" s="3" t="s">
        <v>245</v>
      </c>
      <c r="M164" s="3" t="e">
        <f ca="1">_xll.BDP(N164,"PX_LAST",M162,M162)/100</f>
        <v>#VALUE!</v>
      </c>
      <c r="N164" s="3" t="s">
        <v>351</v>
      </c>
      <c r="S164" s="12">
        <v>8.3926999999999996</v>
      </c>
      <c r="T164" s="3">
        <f t="shared" si="15"/>
        <v>8.3926999999999996</v>
      </c>
    </row>
    <row r="165" spans="1:22" x14ac:dyDescent="0.25">
      <c r="E165" s="1">
        <f t="shared" si="18"/>
        <v>47091</v>
      </c>
      <c r="F165" s="3">
        <f t="shared" ca="1" si="13"/>
        <v>8.4964999999999993</v>
      </c>
      <c r="G165" s="3">
        <f ca="1">100*(F165-F164)</f>
        <v>10.379999999999967</v>
      </c>
      <c r="I165" s="3">
        <f ca="1">_xll.BDP(J165,"PX_LAST",Pre_Date_BRL,Pre_Date_BRL)</f>
        <v>10.2629</v>
      </c>
      <c r="J165" s="3" t="s">
        <v>246</v>
      </c>
      <c r="M165" s="3" t="e">
        <f ca="1">_xll.BDP(N165,"PX_LAST",M163,M163)/100</f>
        <v>#VALUE!</v>
      </c>
      <c r="N165" s="3" t="s">
        <v>352</v>
      </c>
      <c r="T165" s="3">
        <f ca="1">I165-($I$164-$S$164)</f>
        <v>8.4964999999999993</v>
      </c>
    </row>
    <row r="166" spans="1:22" x14ac:dyDescent="0.25">
      <c r="E166" s="1">
        <f>EDATE(E165,24)</f>
        <v>47821</v>
      </c>
      <c r="F166" s="3">
        <f t="shared" ca="1" si="13"/>
        <v>8.6480969331872934</v>
      </c>
      <c r="I166" s="3">
        <f ca="1">I165+(E166-E165)/(E167-E165)*(I167-I165)</f>
        <v>10.414496933187294</v>
      </c>
      <c r="J166" s="3" t="s">
        <v>246</v>
      </c>
      <c r="M166" s="3" t="e">
        <f ca="1">_xll.BDP(N166,"PX_LAST",M164,M164)/100</f>
        <v>#VALUE!</v>
      </c>
      <c r="N166" s="3" t="s">
        <v>353</v>
      </c>
      <c r="T166" s="3">
        <f t="shared" ref="T166:T172" ca="1" si="19">I166-($I$164-$S$164)</f>
        <v>8.6480969331872934</v>
      </c>
    </row>
    <row r="167" spans="1:22" x14ac:dyDescent="0.25">
      <c r="E167" s="1">
        <f>EDATE(E166,36)</f>
        <v>48917</v>
      </c>
      <c r="F167" s="3">
        <f t="shared" ca="1" si="13"/>
        <v>8.8756999999999984</v>
      </c>
      <c r="I167" s="3">
        <f ca="1">I165+(I165-I160)/2</f>
        <v>10.642099999999999</v>
      </c>
      <c r="J167" s="3" t="s">
        <v>246</v>
      </c>
      <c r="M167" s="3" t="e">
        <f ca="1">_xll.BDP(N167,"PX_LAST",M165,M165)/100</f>
        <v>#VALUE!</v>
      </c>
      <c r="N167" s="3" t="s">
        <v>354</v>
      </c>
      <c r="T167" s="3">
        <f t="shared" ca="1" si="19"/>
        <v>8.8756999999999984</v>
      </c>
    </row>
    <row r="168" spans="1:22" x14ac:dyDescent="0.25">
      <c r="E168" s="1">
        <f>EDATE(E167,60)</f>
        <v>50743</v>
      </c>
      <c r="F168" s="3">
        <f t="shared" ca="1" si="13"/>
        <v>9.0652999999999988</v>
      </c>
      <c r="I168" s="3">
        <f ca="1">I167+(I165-I160)/4</f>
        <v>10.8317</v>
      </c>
      <c r="J168" s="3" t="s">
        <v>246</v>
      </c>
      <c r="M168" s="3" t="e">
        <f ca="1">_xll.BDP(N168,"PX_LAST",M166,M166)/100</f>
        <v>#VALUE!</v>
      </c>
      <c r="N168" s="3" t="s">
        <v>355</v>
      </c>
      <c r="T168" s="3">
        <f t="shared" ca="1" si="19"/>
        <v>9.0652999999999988</v>
      </c>
    </row>
    <row r="169" spans="1:22" x14ac:dyDescent="0.25">
      <c r="E169" s="1">
        <f>EDATE(E168,60)</f>
        <v>52569</v>
      </c>
      <c r="F169" s="3">
        <f t="shared" ca="1" si="13"/>
        <v>9.1600999999999981</v>
      </c>
      <c r="I169" s="3">
        <f ca="1">I168+(I165-I160)/8</f>
        <v>10.926499999999999</v>
      </c>
      <c r="J169" s="3" t="s">
        <v>246</v>
      </c>
      <c r="M169" s="3" t="e">
        <f ca="1">_xll.BDP(N169,"PX_LAST",M167,M167)/100</f>
        <v>#VALUE!</v>
      </c>
      <c r="N169" s="3" t="s">
        <v>356</v>
      </c>
      <c r="T169" s="3">
        <f t="shared" ca="1" si="19"/>
        <v>9.1600999999999981</v>
      </c>
    </row>
    <row r="170" spans="1:22" x14ac:dyDescent="0.25">
      <c r="E170" s="1">
        <f>EDATE(E169,60)</f>
        <v>54396</v>
      </c>
      <c r="F170" s="3">
        <f t="shared" ca="1" si="13"/>
        <v>9.2074999999999978</v>
      </c>
      <c r="I170" s="3">
        <f ca="1">I169+(I165-I160)/16</f>
        <v>10.973899999999999</v>
      </c>
      <c r="J170" s="3" t="s">
        <v>246</v>
      </c>
      <c r="M170" s="3" t="e">
        <f ca="1">_xll.BDP(N170,"PX_LAST",M168,M168)/100</f>
        <v>#VALUE!</v>
      </c>
      <c r="N170" s="3" t="s">
        <v>357</v>
      </c>
      <c r="T170" s="3">
        <f t="shared" ca="1" si="19"/>
        <v>9.2074999999999978</v>
      </c>
    </row>
    <row r="171" spans="1:22" x14ac:dyDescent="0.25">
      <c r="E171" s="1">
        <f>EDATE(E170,120)</f>
        <v>58048</v>
      </c>
      <c r="F171" s="3">
        <f t="shared" ca="1" si="13"/>
        <v>9.2193499999999986</v>
      </c>
      <c r="I171" s="3">
        <f ca="1">I170+(I165-I160)/64</f>
        <v>10.985749999999999</v>
      </c>
      <c r="J171" s="3" t="s">
        <v>246</v>
      </c>
      <c r="M171" s="3" t="e">
        <f ca="1">_xll.BDP(N171,"PX_LAST",M169,M169)/100</f>
        <v>#VALUE!</v>
      </c>
      <c r="N171" s="3" t="s">
        <v>358</v>
      </c>
      <c r="T171" s="3">
        <f t="shared" ca="1" si="19"/>
        <v>9.2193499999999986</v>
      </c>
    </row>
    <row r="172" spans="1:22" x14ac:dyDescent="0.25">
      <c r="E172" s="1">
        <f>EDATE(E171,12)</f>
        <v>58413</v>
      </c>
      <c r="F172" s="3">
        <f t="shared" ca="1" si="13"/>
        <v>9.2193499999999986</v>
      </c>
      <c r="I172" s="3">
        <f ca="1">I171</f>
        <v>10.985749999999999</v>
      </c>
      <c r="J172" s="3" t="s">
        <v>246</v>
      </c>
      <c r="M172" s="3" t="e">
        <f ca="1">_xll.BDP(N172,"PX_LAST",M170,M170)/100</f>
        <v>#VALUE!</v>
      </c>
      <c r="N172" s="3" t="s">
        <v>359</v>
      </c>
      <c r="T172" s="3">
        <f t="shared" ca="1" si="19"/>
        <v>9.2193499999999986</v>
      </c>
    </row>
    <row r="173" spans="1:22" x14ac:dyDescent="0.25">
      <c r="N173" s="3" t="s">
        <v>360</v>
      </c>
    </row>
    <row r="174" spans="1:22" x14ac:dyDescent="0.25">
      <c r="N174" s="3" t="s">
        <v>361</v>
      </c>
    </row>
    <row r="175" spans="1:22" x14ac:dyDescent="0.25">
      <c r="N175" s="3" t="s">
        <v>362</v>
      </c>
    </row>
  </sheetData>
  <mergeCells count="3">
    <mergeCell ref="A1:B1"/>
    <mergeCell ref="A2:B2"/>
    <mergeCell ref="A3:B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4F315-7458-4B5F-811C-EFF400652239}">
  <sheetPr codeName="Sheet39"/>
  <dimension ref="A1:D131"/>
  <sheetViews>
    <sheetView workbookViewId="0">
      <selection activeCell="G21" sqref="G21"/>
    </sheetView>
  </sheetViews>
  <sheetFormatPr defaultRowHeight="15" x14ac:dyDescent="0.25"/>
  <cols>
    <col min="1" max="1" width="10.28515625" style="3" bestFit="1" customWidth="1"/>
    <col min="4" max="4" width="11.5703125" customWidth="1"/>
  </cols>
  <sheetData>
    <row r="1" spans="1:4" s="3" customFormat="1" ht="15.75" x14ac:dyDescent="0.25">
      <c r="A1" s="38" t="s">
        <v>427</v>
      </c>
      <c r="B1" s="38"/>
      <c r="C1" s="38"/>
      <c r="D1" s="38"/>
    </row>
    <row r="2" spans="1:4" s="3" customFormat="1" x14ac:dyDescent="0.25">
      <c r="A2" s="19" t="s">
        <v>229</v>
      </c>
      <c r="B2" s="19" t="s">
        <v>231</v>
      </c>
    </row>
    <row r="3" spans="1:4" s="3" customFormat="1" x14ac:dyDescent="0.25">
      <c r="A3" s="3" t="s">
        <v>24</v>
      </c>
      <c r="B3" s="3" t="s">
        <v>389</v>
      </c>
      <c r="D3" s="3" t="s">
        <v>390</v>
      </c>
    </row>
    <row r="4" spans="1:4" x14ac:dyDescent="0.25">
      <c r="A4" s="4">
        <f>EDATE(Pre_Date,0.25)</f>
        <v>43438</v>
      </c>
      <c r="B4" t="s">
        <v>371</v>
      </c>
      <c r="D4" s="3">
        <f ca="1">_xll.BDH(B4,"PX_LAST",Pre_Date,Pre_Date)</f>
        <v>19</v>
      </c>
    </row>
    <row r="5" spans="1:4" x14ac:dyDescent="0.25">
      <c r="A5" s="4">
        <f>EDATE(Pre_Date,1)</f>
        <v>43469</v>
      </c>
      <c r="B5" t="s">
        <v>372</v>
      </c>
      <c r="D5" s="3">
        <f ca="1">_xll.BDH(B5,"PX_LAST",Pre_Date,Pre_Date)</f>
        <v>45.69</v>
      </c>
    </row>
    <row r="6" spans="1:4" x14ac:dyDescent="0.25">
      <c r="A6" s="4">
        <f>EDATE(A5,1)</f>
        <v>43500</v>
      </c>
      <c r="B6" t="s">
        <v>373</v>
      </c>
      <c r="D6" s="3">
        <f ca="1">_xll.BDH(B6,"PX_LAST",Pre_Date,Pre_Date)</f>
        <v>144.19999999999999</v>
      </c>
    </row>
    <row r="7" spans="1:4" x14ac:dyDescent="0.25">
      <c r="A7" s="4">
        <f t="shared" ref="A7:A10" si="0">EDATE(A6,1)</f>
        <v>43528</v>
      </c>
      <c r="B7" t="s">
        <v>374</v>
      </c>
      <c r="D7" s="3">
        <f ca="1">_xll.BDH(B7,"PX_LAST",Pre_Date,Pre_Date)</f>
        <v>218.14</v>
      </c>
    </row>
    <row r="8" spans="1:4" x14ac:dyDescent="0.25">
      <c r="A8" s="4">
        <f t="shared" si="0"/>
        <v>43559</v>
      </c>
      <c r="B8" t="s">
        <v>375</v>
      </c>
      <c r="D8" s="3">
        <f ca="1">D7+1/3*(D10-D7)</f>
        <v>317.81999999999994</v>
      </c>
    </row>
    <row r="9" spans="1:4" x14ac:dyDescent="0.25">
      <c r="A9" s="4">
        <f t="shared" si="0"/>
        <v>43589</v>
      </c>
      <c r="B9" t="s">
        <v>376</v>
      </c>
      <c r="D9" s="3">
        <f ca="1">D7+2/3*(D10-D7)</f>
        <v>417.49999999999994</v>
      </c>
    </row>
    <row r="10" spans="1:4" x14ac:dyDescent="0.25">
      <c r="A10" s="4">
        <f t="shared" si="0"/>
        <v>43620</v>
      </c>
      <c r="B10" t="s">
        <v>377</v>
      </c>
      <c r="D10" s="3">
        <f ca="1">_xll.BDH(B10,"PX_LAST",Pre_Date,Pre_Date)</f>
        <v>517.17999999999995</v>
      </c>
    </row>
    <row r="11" spans="1:4" x14ac:dyDescent="0.25">
      <c r="A11" s="4">
        <f>EDATE(A10,3)</f>
        <v>43712</v>
      </c>
      <c r="B11" t="s">
        <v>378</v>
      </c>
      <c r="D11" s="3">
        <f ca="1">_xll.BDH(B11,"PX_LAST",Pre_Date,Pre_Date)</f>
        <v>841.17</v>
      </c>
    </row>
    <row r="12" spans="1:4" x14ac:dyDescent="0.25">
      <c r="A12" s="4">
        <f>EDATE(A11,3)</f>
        <v>43803</v>
      </c>
      <c r="B12" t="s">
        <v>379</v>
      </c>
      <c r="D12" s="3">
        <f ca="1">_xll.BDH(B12,"PX_LAST",Pre_Date,Pre_Date)</f>
        <v>1177.83</v>
      </c>
    </row>
    <row r="13" spans="1:4" x14ac:dyDescent="0.25">
      <c r="A13" s="4">
        <f>EDATE(A12,12)</f>
        <v>44169</v>
      </c>
      <c r="B13" t="s">
        <v>380</v>
      </c>
      <c r="D13" s="3">
        <f ca="1">_xll.BDH(B13,"PX_LAST",Pre_Date,Pre_Date)</f>
        <v>3033.19</v>
      </c>
    </row>
    <row r="14" spans="1:4" x14ac:dyDescent="0.25">
      <c r="A14" s="4">
        <f t="shared" ref="A14:A21" si="1">EDATE(A13,12)</f>
        <v>44534</v>
      </c>
      <c r="B14" t="s">
        <v>381</v>
      </c>
      <c r="D14" s="3">
        <f ca="1">_xll.BDH(B14,"PX_LAST",Pre_Date,Pre_Date)</f>
        <v>5530.05</v>
      </c>
    </row>
    <row r="15" spans="1:4" x14ac:dyDescent="0.25">
      <c r="A15" s="4">
        <f t="shared" si="1"/>
        <v>44899</v>
      </c>
      <c r="B15" t="s">
        <v>382</v>
      </c>
      <c r="D15" s="3">
        <f ca="1">_xll.BDH(B15,"PX_LAST",Pre_Date,Pre_Date)</f>
        <v>8370.9599999999991</v>
      </c>
    </row>
    <row r="16" spans="1:4" x14ac:dyDescent="0.25">
      <c r="A16" s="4">
        <f t="shared" si="1"/>
        <v>45264</v>
      </c>
      <c r="B16" t="s">
        <v>383</v>
      </c>
      <c r="D16" s="3">
        <f ca="1">_xll.BDH(B16,"PX_LAST",Pre_Date,Pre_Date)</f>
        <v>11452.71</v>
      </c>
    </row>
    <row r="17" spans="1:4" x14ac:dyDescent="0.25">
      <c r="A17" s="4">
        <f t="shared" si="1"/>
        <v>45630</v>
      </c>
      <c r="B17" t="s">
        <v>384</v>
      </c>
      <c r="D17" s="3">
        <f ca="1">0.5*(D16+D18)</f>
        <v>14967.125</v>
      </c>
    </row>
    <row r="18" spans="1:4" x14ac:dyDescent="0.25">
      <c r="A18" s="4">
        <f t="shared" si="1"/>
        <v>45995</v>
      </c>
      <c r="B18" t="s">
        <v>385</v>
      </c>
      <c r="D18" s="3">
        <f ca="1">_xll.BDH(B18,"PX_LAST",Pre_Date,Pre_Date)</f>
        <v>18481.54</v>
      </c>
    </row>
    <row r="19" spans="1:4" x14ac:dyDescent="0.25">
      <c r="A19" s="4">
        <f t="shared" si="1"/>
        <v>46360</v>
      </c>
      <c r="B19" t="s">
        <v>386</v>
      </c>
      <c r="D19" s="3">
        <f ca="1">D18+1/3*(D21-D18)</f>
        <v>22272.406666666666</v>
      </c>
    </row>
    <row r="20" spans="1:4" x14ac:dyDescent="0.25">
      <c r="A20" s="4">
        <f t="shared" si="1"/>
        <v>46725</v>
      </c>
      <c r="B20" t="s">
        <v>387</v>
      </c>
      <c r="D20" s="3">
        <f ca="1">D18+2/3*(D21-D18)</f>
        <v>26063.273333333331</v>
      </c>
    </row>
    <row r="21" spans="1:4" x14ac:dyDescent="0.25">
      <c r="A21" s="4">
        <f t="shared" si="1"/>
        <v>47091</v>
      </c>
      <c r="B21" t="s">
        <v>388</v>
      </c>
      <c r="D21" s="3">
        <f ca="1">_xll.BDH(B21,"PX_LAST",Pre_Date,Pre_Date)</f>
        <v>29854.14</v>
      </c>
    </row>
    <row r="24" spans="1:4" x14ac:dyDescent="0.25">
      <c r="A24" s="19" t="s">
        <v>229</v>
      </c>
      <c r="B24" s="19" t="s">
        <v>13</v>
      </c>
      <c r="C24" s="3"/>
      <c r="D24" s="3"/>
    </row>
    <row r="25" spans="1:4" x14ac:dyDescent="0.25">
      <c r="A25" s="3" t="s">
        <v>24</v>
      </c>
      <c r="B25" s="3" t="s">
        <v>389</v>
      </c>
      <c r="C25" s="3"/>
      <c r="D25" s="3" t="s">
        <v>390</v>
      </c>
    </row>
    <row r="26" spans="1:4" x14ac:dyDescent="0.25">
      <c r="A26" s="4">
        <f>EDATE(Pre_Date,0.25)</f>
        <v>43438</v>
      </c>
      <c r="B26" s="3" t="s">
        <v>391</v>
      </c>
      <c r="C26" s="3"/>
      <c r="D26" s="3">
        <f ca="1">_xll.BDH(B26,"PX_LAST",Pre_Date,Pre_Date)</f>
        <v>5.9399999999999995</v>
      </c>
    </row>
    <row r="27" spans="1:4" x14ac:dyDescent="0.25">
      <c r="A27" s="4">
        <f>EDATE(Pre_Date,1)</f>
        <v>43469</v>
      </c>
      <c r="B27" s="3" t="s">
        <v>392</v>
      </c>
      <c r="C27" s="3"/>
      <c r="D27" s="3">
        <f ca="1">_xll.BDH(B27,"PX_LAST",Pre_Date,Pre_Date)</f>
        <v>38.01</v>
      </c>
    </row>
    <row r="28" spans="1:4" x14ac:dyDescent="0.25">
      <c r="A28" s="4">
        <f>EDATE(A27,1)</f>
        <v>43500</v>
      </c>
      <c r="B28" s="3" t="s">
        <v>393</v>
      </c>
      <c r="C28" s="3"/>
      <c r="D28" s="3">
        <f ca="1">_xll.BDH(B28,"PX_LAST",Pre_Date,Pre_Date)</f>
        <v>66.400000000000006</v>
      </c>
    </row>
    <row r="29" spans="1:4" x14ac:dyDescent="0.25">
      <c r="A29" s="4">
        <f t="shared" ref="A29:A32" si="2">EDATE(A28,1)</f>
        <v>43528</v>
      </c>
      <c r="B29" s="3" t="s">
        <v>394</v>
      </c>
      <c r="C29" s="3"/>
      <c r="D29" s="3">
        <f ca="1">_xll.BDH(B29,"PX_LAST",Pre_Date,Pre_Date)</f>
        <v>93.24</v>
      </c>
    </row>
    <row r="30" spans="1:4" x14ac:dyDescent="0.25">
      <c r="A30" s="4">
        <f t="shared" si="2"/>
        <v>43559</v>
      </c>
      <c r="B30" s="3" t="s">
        <v>395</v>
      </c>
      <c r="C30" s="3"/>
      <c r="D30" s="3">
        <f ca="1">_xll.BDH(B30,"PX_LAST",Pre_Date,Pre_Date)</f>
        <v>127.55</v>
      </c>
    </row>
    <row r="31" spans="1:4" x14ac:dyDescent="0.25">
      <c r="A31" s="4">
        <f t="shared" si="2"/>
        <v>43589</v>
      </c>
      <c r="B31" s="3" t="s">
        <v>396</v>
      </c>
      <c r="C31" s="3"/>
      <c r="D31" s="3">
        <f ca="1">_xll.BDH(B31,"PX_LAST",Pre_Date,Pre_Date)</f>
        <v>155.6</v>
      </c>
    </row>
    <row r="32" spans="1:4" x14ac:dyDescent="0.25">
      <c r="A32" s="4">
        <f t="shared" si="2"/>
        <v>43620</v>
      </c>
      <c r="B32" s="3" t="s">
        <v>397</v>
      </c>
      <c r="C32" s="3"/>
      <c r="D32" s="3">
        <f ca="1">_xll.BDH(B32,"PX_LAST",Pre_Date,Pre_Date)</f>
        <v>186.9</v>
      </c>
    </row>
    <row r="33" spans="1:4" x14ac:dyDescent="0.25">
      <c r="A33" s="4">
        <f>EDATE(A32,3)</f>
        <v>43712</v>
      </c>
      <c r="B33" s="3" t="s">
        <v>398</v>
      </c>
      <c r="C33" s="3"/>
      <c r="D33" s="3">
        <f ca="1">_xll.BDH(B33,"PX_LAST",Pre_Date,Pre_Date)</f>
        <v>284.08999999999997</v>
      </c>
    </row>
    <row r="34" spans="1:4" x14ac:dyDescent="0.25">
      <c r="A34" s="4">
        <f>EDATE(A33,3)</f>
        <v>43803</v>
      </c>
      <c r="B34" s="3" t="s">
        <v>399</v>
      </c>
      <c r="C34" s="3"/>
      <c r="D34" s="3">
        <f ca="1">_xll.BDH(B34,"PX_LAST",Pre_Date,Pre_Date)</f>
        <v>381.5</v>
      </c>
    </row>
    <row r="35" spans="1:4" x14ac:dyDescent="0.25">
      <c r="A35" s="4">
        <f>EDATE(A34,12)</f>
        <v>44169</v>
      </c>
      <c r="B35" s="3" t="s">
        <v>400</v>
      </c>
      <c r="C35" s="3"/>
      <c r="D35" s="3">
        <f ca="1">_xll.BDH(B35,"PX_LAST",Pre_Date,Pre_Date)</f>
        <v>771.84</v>
      </c>
    </row>
    <row r="36" spans="1:4" x14ac:dyDescent="0.25">
      <c r="A36" s="4">
        <f t="shared" ref="A36:A43" si="3">EDATE(A35,12)</f>
        <v>44534</v>
      </c>
      <c r="B36" t="s">
        <v>401</v>
      </c>
      <c r="C36" s="3"/>
      <c r="D36" s="3">
        <f ca="1">_xll.BDH(B36,"PX_LAST",Pre_Date,Pre_Date)</f>
        <v>1126.7</v>
      </c>
    </row>
    <row r="37" spans="1:4" x14ac:dyDescent="0.25">
      <c r="A37" s="4">
        <f t="shared" si="3"/>
        <v>44899</v>
      </c>
      <c r="B37" t="s">
        <v>402</v>
      </c>
      <c r="C37" s="3"/>
      <c r="D37" s="3">
        <f ca="1">_xll.BDH(B37,"PX_LAST",Pre_Date,Pre_Date)</f>
        <v>1450.95</v>
      </c>
    </row>
    <row r="38" spans="1:4" x14ac:dyDescent="0.25">
      <c r="A38" s="4">
        <f t="shared" si="3"/>
        <v>45264</v>
      </c>
      <c r="B38" t="s">
        <v>403</v>
      </c>
      <c r="C38" s="3"/>
      <c r="D38" s="3">
        <f ca="1">_xll.BDH(B38,"PX_LAST",Pre_Date,Pre_Date)</f>
        <v>1746.25</v>
      </c>
    </row>
    <row r="39" spans="1:4" x14ac:dyDescent="0.25">
      <c r="A39" s="4">
        <f t="shared" si="3"/>
        <v>45630</v>
      </c>
      <c r="B39" t="s">
        <v>404</v>
      </c>
      <c r="C39" s="3"/>
      <c r="D39" s="3">
        <f ca="1">_xll.BDH(B39,"PX_LAST",Pre_Date,Pre_Date)</f>
        <v>2020.4</v>
      </c>
    </row>
    <row r="40" spans="1:4" x14ac:dyDescent="0.25">
      <c r="A40" s="4">
        <f t="shared" si="3"/>
        <v>45995</v>
      </c>
      <c r="B40" t="s">
        <v>405</v>
      </c>
      <c r="C40" s="3"/>
      <c r="D40" s="3">
        <f ca="1">_xll.BDH(B40,"PX_LAST",Pre_Date,Pre_Date)</f>
        <v>2273.9299999999998</v>
      </c>
    </row>
    <row r="41" spans="1:4" x14ac:dyDescent="0.25">
      <c r="A41" s="4">
        <f t="shared" si="3"/>
        <v>46360</v>
      </c>
      <c r="B41" t="s">
        <v>406</v>
      </c>
      <c r="C41" s="3"/>
      <c r="D41" s="3">
        <f ca="1">_xll.BDH(B41,"PX_LAST",Pre_Date,Pre_Date)</f>
        <v>2497</v>
      </c>
    </row>
    <row r="42" spans="1:4" x14ac:dyDescent="0.25">
      <c r="A42" s="4">
        <f t="shared" si="3"/>
        <v>46725</v>
      </c>
      <c r="B42" t="s">
        <v>407</v>
      </c>
      <c r="C42" s="3"/>
      <c r="D42" s="3">
        <f ca="1">_xll.BDH(B42,"PX_LAST",Pre_Date,Pre_Date)</f>
        <v>2739</v>
      </c>
    </row>
    <row r="43" spans="1:4" x14ac:dyDescent="0.25">
      <c r="A43" s="4">
        <f t="shared" si="3"/>
        <v>47091</v>
      </c>
      <c r="B43" t="s">
        <v>408</v>
      </c>
      <c r="C43" s="3"/>
      <c r="D43" s="3">
        <f ca="1">_xll.BDH(B43,"PX_LAST",Pre_Date,Pre_Date)</f>
        <v>2949.71</v>
      </c>
    </row>
    <row r="46" spans="1:4" x14ac:dyDescent="0.25">
      <c r="A46" s="19" t="s">
        <v>229</v>
      </c>
      <c r="B46" s="19" t="s">
        <v>14</v>
      </c>
      <c r="C46" s="3"/>
      <c r="D46" s="3"/>
    </row>
    <row r="47" spans="1:4" x14ac:dyDescent="0.25">
      <c r="A47" s="3" t="s">
        <v>24</v>
      </c>
      <c r="B47" s="3" t="s">
        <v>389</v>
      </c>
      <c r="C47" s="3"/>
      <c r="D47" s="3" t="s">
        <v>390</v>
      </c>
    </row>
    <row r="48" spans="1:4" x14ac:dyDescent="0.25">
      <c r="A48" s="4">
        <f>EDATE(Pre_Date,0.25)</f>
        <v>43438</v>
      </c>
      <c r="B48" s="3" t="s">
        <v>409</v>
      </c>
      <c r="C48" s="3"/>
      <c r="D48" s="3">
        <f ca="1">_xll.BDH(B48,"PX_LAST",Pre_Date,Pre_Date)</f>
        <v>3.7199999999999998</v>
      </c>
    </row>
    <row r="49" spans="1:4" x14ac:dyDescent="0.25">
      <c r="A49" s="4">
        <f>EDATE(Pre_Date,1)</f>
        <v>43469</v>
      </c>
      <c r="B49" s="3" t="s">
        <v>410</v>
      </c>
      <c r="C49" s="3"/>
      <c r="D49" s="3">
        <f ca="1">_xll.BDH(B49,"PX_LAST",Pre_Date,Pre_Date)</f>
        <v>26.74</v>
      </c>
    </row>
    <row r="50" spans="1:4" x14ac:dyDescent="0.25">
      <c r="A50" s="4">
        <f>EDATE(A49,1)</f>
        <v>43500</v>
      </c>
      <c r="B50" s="3" t="s">
        <v>411</v>
      </c>
      <c r="C50" s="3"/>
      <c r="D50" s="3">
        <f ca="1">_xll.BDH(B50,"PX_LAST",Pre_Date,Pre_Date)</f>
        <v>45.11</v>
      </c>
    </row>
    <row r="51" spans="1:4" x14ac:dyDescent="0.25">
      <c r="A51" s="4">
        <f t="shared" ref="A51:A54" si="4">EDATE(A50,1)</f>
        <v>43528</v>
      </c>
      <c r="B51" s="3" t="s">
        <v>412</v>
      </c>
      <c r="C51" s="3"/>
      <c r="D51" s="3">
        <f ca="1">_xll.BDH(B51,"PX_LAST",Pre_Date,Pre_Date)</f>
        <v>62.25</v>
      </c>
    </row>
    <row r="52" spans="1:4" x14ac:dyDescent="0.25">
      <c r="A52" s="4">
        <f t="shared" si="4"/>
        <v>43559</v>
      </c>
      <c r="B52" s="3" t="s">
        <v>413</v>
      </c>
      <c r="C52" s="3"/>
      <c r="D52" s="3">
        <f ca="1">_xll.BDH(B52,"PX_LAST",Pre_Date,Pre_Date)</f>
        <v>83.73</v>
      </c>
    </row>
    <row r="53" spans="1:4" x14ac:dyDescent="0.25">
      <c r="A53" s="4">
        <f t="shared" si="4"/>
        <v>43589</v>
      </c>
      <c r="B53" s="3" t="s">
        <v>414</v>
      </c>
      <c r="C53" s="3"/>
      <c r="D53" s="3">
        <f ca="1">_xll.BDH(B53,"PX_LAST",Pre_Date,Pre_Date)</f>
        <v>102.3</v>
      </c>
    </row>
    <row r="54" spans="1:4" x14ac:dyDescent="0.25">
      <c r="A54" s="4">
        <f t="shared" si="4"/>
        <v>43620</v>
      </c>
      <c r="B54" s="3" t="s">
        <v>415</v>
      </c>
      <c r="C54" s="3"/>
      <c r="D54" s="3">
        <f ca="1">_xll.BDH(B54,"PX_LAST",Pre_Date,Pre_Date)</f>
        <v>121.18</v>
      </c>
    </row>
    <row r="55" spans="1:4" x14ac:dyDescent="0.25">
      <c r="A55" s="4">
        <f>EDATE(A54,3)</f>
        <v>43712</v>
      </c>
      <c r="B55" s="3" t="s">
        <v>416</v>
      </c>
      <c r="C55" s="3"/>
      <c r="D55" s="3">
        <f ca="1">_xll.BDH(B55,"PX_LAST",Pre_Date,Pre_Date)</f>
        <v>180.53</v>
      </c>
    </row>
    <row r="56" spans="1:4" x14ac:dyDescent="0.25">
      <c r="A56" s="4">
        <f>EDATE(A55,3)</f>
        <v>43803</v>
      </c>
      <c r="B56" s="3" t="s">
        <v>417</v>
      </c>
      <c r="C56" s="3"/>
      <c r="D56" s="3">
        <f ca="1">_xll.BDH(B56,"PX_LAST",Pre_Date,Pre_Date)</f>
        <v>239.4</v>
      </c>
    </row>
    <row r="57" spans="1:4" x14ac:dyDescent="0.25">
      <c r="A57" s="4">
        <f>EDATE(A56,12)</f>
        <v>44169</v>
      </c>
      <c r="B57" s="3" t="s">
        <v>418</v>
      </c>
      <c r="C57" s="3"/>
      <c r="D57" s="3">
        <f ca="1">_xll.BDH(B57,"PX_LAST",Pre_Date,Pre_Date)</f>
        <v>467.6</v>
      </c>
    </row>
    <row r="58" spans="1:4" x14ac:dyDescent="0.25">
      <c r="A58" s="4">
        <f t="shared" ref="A58:A65" si="5">EDATE(A57,12)</f>
        <v>44534</v>
      </c>
      <c r="B58" t="s">
        <v>419</v>
      </c>
      <c r="C58" s="3"/>
      <c r="D58" s="3">
        <f ca="1">_xll.BDH(B58,"PX_LAST",Pre_Date,Pre_Date)</f>
        <v>667</v>
      </c>
    </row>
    <row r="59" spans="1:4" x14ac:dyDescent="0.25">
      <c r="A59" s="4">
        <f t="shared" si="5"/>
        <v>44899</v>
      </c>
      <c r="B59" t="s">
        <v>420</v>
      </c>
      <c r="C59" s="3"/>
      <c r="D59" s="3">
        <f ca="1">_xll.BDH(B59,"PX_LAST",Pre_Date,Pre_Date)</f>
        <v>851</v>
      </c>
    </row>
    <row r="60" spans="1:4" x14ac:dyDescent="0.25">
      <c r="A60" s="4">
        <f t="shared" si="5"/>
        <v>45264</v>
      </c>
      <c r="B60" t="s">
        <v>421</v>
      </c>
      <c r="C60" s="3"/>
      <c r="D60" s="3">
        <f ca="1">_xll.BDH(B60,"PX_LAST",Pre_Date,Pre_Date)</f>
        <v>1021.7</v>
      </c>
    </row>
    <row r="61" spans="1:4" x14ac:dyDescent="0.25">
      <c r="A61" s="4">
        <f t="shared" si="5"/>
        <v>45630</v>
      </c>
      <c r="B61" t="s">
        <v>422</v>
      </c>
      <c r="C61" s="3"/>
      <c r="D61" s="3">
        <f ca="1">_xll.BDH(B61,"PX_LAST",Pre_Date,Pre_Date)</f>
        <v>1183.5</v>
      </c>
    </row>
    <row r="62" spans="1:4" x14ac:dyDescent="0.25">
      <c r="A62" s="4">
        <f t="shared" si="5"/>
        <v>45995</v>
      </c>
      <c r="B62" t="s">
        <v>423</v>
      </c>
      <c r="C62" s="3"/>
      <c r="D62" s="3">
        <f ca="1">_xll.BDH(B62,"PX_LAST",Pre_Date,Pre_Date)</f>
        <v>1354</v>
      </c>
    </row>
    <row r="63" spans="1:4" x14ac:dyDescent="0.25">
      <c r="A63" s="4">
        <f t="shared" si="5"/>
        <v>46360</v>
      </c>
      <c r="B63" t="s">
        <v>424</v>
      </c>
      <c r="C63" s="3"/>
      <c r="D63" s="3">
        <f ca="1">_xll.BDH(B63,"PX_LAST",Pre_Date,Pre_Date)</f>
        <v>1514</v>
      </c>
    </row>
    <row r="64" spans="1:4" x14ac:dyDescent="0.25">
      <c r="A64" s="4">
        <f t="shared" si="5"/>
        <v>46725</v>
      </c>
      <c r="B64" t="s">
        <v>425</v>
      </c>
      <c r="C64" s="3"/>
      <c r="D64" s="3">
        <f ca="1">_xll.BDH(B64,"PX_LAST",Pre_Date,Pre_Date)</f>
        <v>1675</v>
      </c>
    </row>
    <row r="65" spans="1:4" x14ac:dyDescent="0.25">
      <c r="A65" s="4">
        <f t="shared" si="5"/>
        <v>47091</v>
      </c>
      <c r="B65" t="s">
        <v>426</v>
      </c>
      <c r="C65" s="3"/>
      <c r="D65" s="3">
        <f ca="1">_xll.BDH(B65,"PX_LAST",Pre_Date,Pre_Date)</f>
        <v>1834</v>
      </c>
    </row>
    <row r="68" spans="1:4" x14ac:dyDescent="0.25">
      <c r="A68" s="19" t="s">
        <v>229</v>
      </c>
      <c r="B68" s="19" t="s">
        <v>19</v>
      </c>
      <c r="C68" s="3"/>
      <c r="D68" s="3"/>
    </row>
    <row r="69" spans="1:4" x14ac:dyDescent="0.25">
      <c r="A69" s="3" t="s">
        <v>24</v>
      </c>
      <c r="B69" s="3" t="s">
        <v>389</v>
      </c>
      <c r="C69" s="3"/>
      <c r="D69" s="3" t="s">
        <v>390</v>
      </c>
    </row>
    <row r="70" spans="1:4" x14ac:dyDescent="0.25">
      <c r="A70" s="4">
        <f>EDATE(Pre_Date,0.25)</f>
        <v>43438</v>
      </c>
      <c r="B70" s="3" t="s">
        <v>428</v>
      </c>
      <c r="C70" s="3"/>
      <c r="D70" s="3">
        <f ca="1">_xll.BDH(B70,"PX_LAST",Pre_Date,Pre_Date)</f>
        <v>-5.23</v>
      </c>
    </row>
    <row r="71" spans="1:4" x14ac:dyDescent="0.25">
      <c r="A71" s="4">
        <f>EDATE(Pre_Date,1)</f>
        <v>43469</v>
      </c>
      <c r="B71" s="3" t="s">
        <v>429</v>
      </c>
      <c r="C71" s="3"/>
      <c r="D71" s="3">
        <f ca="1">_xll.BDH(B71,"PX_LAST",Pre_Date,Pre_Date)</f>
        <v>-41.28</v>
      </c>
    </row>
    <row r="72" spans="1:4" x14ac:dyDescent="0.25">
      <c r="A72" s="4">
        <f>EDATE(A71,1)</f>
        <v>43500</v>
      </c>
      <c r="B72" s="3" t="s">
        <v>430</v>
      </c>
      <c r="C72" s="3"/>
      <c r="D72" s="3">
        <f ca="1">_xll.BDH(B72,"PX_LAST",Pre_Date,Pre_Date)</f>
        <v>-67.510000000000005</v>
      </c>
    </row>
    <row r="73" spans="1:4" x14ac:dyDescent="0.25">
      <c r="A73" s="4">
        <f t="shared" ref="A73:A76" si="6">EDATE(A72,1)</f>
        <v>43528</v>
      </c>
      <c r="B73" s="3" t="s">
        <v>431</v>
      </c>
      <c r="C73" s="3"/>
      <c r="D73" s="3">
        <f ca="1">_xll.BDH(B73,"PX_LAST",Pre_Date,Pre_Date)</f>
        <v>-92.28</v>
      </c>
    </row>
    <row r="74" spans="1:4" x14ac:dyDescent="0.25">
      <c r="A74" s="4">
        <f t="shared" si="6"/>
        <v>43559</v>
      </c>
      <c r="B74" s="3" t="s">
        <v>432</v>
      </c>
      <c r="C74" s="3"/>
      <c r="D74" s="3">
        <f ca="1">_xll.BDH(B74,"PX_LAST",Pre_Date,Pre_Date)</f>
        <v>-125.6</v>
      </c>
    </row>
    <row r="75" spans="1:4" x14ac:dyDescent="0.25">
      <c r="A75" s="4">
        <f t="shared" si="6"/>
        <v>43589</v>
      </c>
      <c r="B75" s="3" t="s">
        <v>433</v>
      </c>
      <c r="C75" s="3"/>
      <c r="D75" s="3">
        <f ca="1">_xll.BDH(B75,"PX_LAST",Pre_Date,Pre_Date)</f>
        <v>-152.1</v>
      </c>
    </row>
    <row r="76" spans="1:4" x14ac:dyDescent="0.25">
      <c r="A76" s="4">
        <f t="shared" si="6"/>
        <v>43620</v>
      </c>
      <c r="B76" s="3" t="s">
        <v>434</v>
      </c>
      <c r="C76" s="3"/>
      <c r="D76" s="3">
        <f ca="1">_xll.BDH(B76,"PX_LAST",Pre_Date,Pre_Date)</f>
        <v>-179.85</v>
      </c>
    </row>
    <row r="77" spans="1:4" x14ac:dyDescent="0.25">
      <c r="A77" s="4">
        <f>EDATE(A76,3)</f>
        <v>43712</v>
      </c>
      <c r="B77" s="3" t="s">
        <v>435</v>
      </c>
      <c r="C77" s="3"/>
      <c r="D77" s="3">
        <f ca="1">_xll.BDH(B77,"PX_LAST",Pre_Date,Pre_Date)</f>
        <v>-270.95</v>
      </c>
    </row>
    <row r="78" spans="1:4" x14ac:dyDescent="0.25">
      <c r="A78" s="4">
        <f>EDATE(A77,3)</f>
        <v>43803</v>
      </c>
      <c r="B78" s="3" t="s">
        <v>436</v>
      </c>
      <c r="C78" s="3"/>
      <c r="D78" s="3">
        <f ca="1">_xll.BDH(B78,"PX_LAST",Pre_Date,Pre_Date)</f>
        <v>-360.92</v>
      </c>
    </row>
    <row r="79" spans="1:4" x14ac:dyDescent="0.25">
      <c r="A79" s="4">
        <f>EDATE(A78,12)</f>
        <v>44169</v>
      </c>
      <c r="B79" s="3" t="s">
        <v>437</v>
      </c>
      <c r="C79" s="3"/>
      <c r="D79" s="3">
        <f ca="1">_xll.BDH(B79,"PX_LAST",Pre_Date,Pre_Date)</f>
        <v>-730</v>
      </c>
    </row>
    <row r="80" spans="1:4" x14ac:dyDescent="0.25">
      <c r="A80" s="4">
        <f t="shared" ref="A80:A87" si="7">EDATE(A79,12)</f>
        <v>44534</v>
      </c>
      <c r="B80" t="s">
        <v>438</v>
      </c>
      <c r="C80" s="3"/>
      <c r="D80" s="3">
        <f ca="1">_xll.BDH(B80,"PX_LAST",Pre_Date,Pre_Date)</f>
        <v>-1082.5999999999999</v>
      </c>
    </row>
    <row r="81" spans="1:4" x14ac:dyDescent="0.25">
      <c r="A81" s="4">
        <f t="shared" si="7"/>
        <v>44899</v>
      </c>
      <c r="B81" t="s">
        <v>439</v>
      </c>
      <c r="C81" s="3"/>
      <c r="D81" s="3">
        <f ca="1">_xll.BDH(B81,"PX_LAST",Pre_Date,Pre_Date)</f>
        <v>-1421</v>
      </c>
    </row>
    <row r="82" spans="1:4" x14ac:dyDescent="0.25">
      <c r="A82" s="4">
        <f t="shared" si="7"/>
        <v>45264</v>
      </c>
      <c r="B82" t="s">
        <v>440</v>
      </c>
      <c r="C82" s="3"/>
      <c r="D82" s="3">
        <f ca="1">_xll.BDH(B82,"PX_LAST",Pre_Date,Pre_Date)</f>
        <v>-1750.5</v>
      </c>
    </row>
    <row r="83" spans="1:4" x14ac:dyDescent="0.25">
      <c r="A83" s="4">
        <f t="shared" si="7"/>
        <v>45630</v>
      </c>
      <c r="B83" t="s">
        <v>441</v>
      </c>
      <c r="C83" s="3"/>
      <c r="D83" s="3">
        <f ca="1">_xll.BDH(B83,"PX_LAST",Pre_Date,Pre_Date)</f>
        <v>-2065.9</v>
      </c>
    </row>
    <row r="84" spans="1:4" x14ac:dyDescent="0.25">
      <c r="A84" s="4">
        <f t="shared" si="7"/>
        <v>45995</v>
      </c>
      <c r="B84" t="s">
        <v>442</v>
      </c>
      <c r="C84" s="3"/>
      <c r="D84" s="3">
        <f ca="1">_xll.BDH(B84,"PX_LAST",Pre_Date,Pre_Date)</f>
        <v>-2370.88</v>
      </c>
    </row>
    <row r="85" spans="1:4" x14ac:dyDescent="0.25">
      <c r="A85" s="4">
        <f t="shared" si="7"/>
        <v>46360</v>
      </c>
      <c r="B85" t="s">
        <v>443</v>
      </c>
      <c r="C85" s="3"/>
      <c r="D85" s="3">
        <f ca="1">_xll.BDH(B85,"PX_LAST",Pre_Date,Pre_Date)</f>
        <v>-2660</v>
      </c>
    </row>
    <row r="86" spans="1:4" x14ac:dyDescent="0.25">
      <c r="A86" s="4">
        <f t="shared" si="7"/>
        <v>46725</v>
      </c>
      <c r="B86" t="s">
        <v>444</v>
      </c>
      <c r="C86" s="3"/>
      <c r="D86" s="3">
        <f ca="1">_xll.BDH(B86,"PX_LAST",Pre_Date,Pre_Date)</f>
        <v>-2926</v>
      </c>
    </row>
    <row r="87" spans="1:4" x14ac:dyDescent="0.25">
      <c r="A87" s="4">
        <f t="shared" si="7"/>
        <v>47091</v>
      </c>
      <c r="B87" t="s">
        <v>445</v>
      </c>
      <c r="C87" s="3"/>
      <c r="D87" s="3">
        <f ca="1">_xll.BDH(B87,"PX_LAST",Pre_Date,Pre_Date)</f>
        <v>-3181</v>
      </c>
    </row>
    <row r="90" spans="1:4" x14ac:dyDescent="0.25">
      <c r="A90" s="19" t="s">
        <v>229</v>
      </c>
      <c r="B90" s="19" t="s">
        <v>21</v>
      </c>
      <c r="C90" s="3"/>
      <c r="D90" s="3"/>
    </row>
    <row r="91" spans="1:4" x14ac:dyDescent="0.25">
      <c r="A91" s="3" t="s">
        <v>24</v>
      </c>
      <c r="B91" s="3" t="s">
        <v>389</v>
      </c>
      <c r="C91" s="3"/>
      <c r="D91" s="3" t="s">
        <v>390</v>
      </c>
    </row>
    <row r="92" spans="1:4" x14ac:dyDescent="0.25">
      <c r="A92" s="4">
        <f>EDATE(Pre_Date,0.25)</f>
        <v>43438</v>
      </c>
      <c r="B92" s="3" t="s">
        <v>446</v>
      </c>
      <c r="C92" s="3"/>
      <c r="D92" s="3">
        <f ca="1">_xll.BDH(B92,"PX_LAST",Pre_Date,Pre_Date)</f>
        <v>-1.73</v>
      </c>
    </row>
    <row r="93" spans="1:4" x14ac:dyDescent="0.25">
      <c r="A93" s="4">
        <f>EDATE(Pre_Date,1)</f>
        <v>43469</v>
      </c>
      <c r="B93" s="3" t="s">
        <v>447</v>
      </c>
      <c r="C93" s="3"/>
      <c r="D93" s="3">
        <f ca="1">_xll.BDH(B93,"PX_LAST",Pre_Date,Pre_Date)</f>
        <v>-12.5</v>
      </c>
    </row>
    <row r="94" spans="1:4" x14ac:dyDescent="0.25">
      <c r="A94" s="4">
        <f>EDATE(A93,1)</f>
        <v>43500</v>
      </c>
      <c r="B94" s="3" t="s">
        <v>448</v>
      </c>
      <c r="C94" s="3"/>
      <c r="D94" s="3">
        <f ca="1">_xll.BDH(B94,"PX_LAST",Pre_Date,Pre_Date)</f>
        <v>-19.55</v>
      </c>
    </row>
    <row r="95" spans="1:4" x14ac:dyDescent="0.25">
      <c r="A95" s="4">
        <f t="shared" ref="A95:A98" si="8">EDATE(A94,1)</f>
        <v>43528</v>
      </c>
      <c r="B95" s="3" t="s">
        <v>449</v>
      </c>
      <c r="C95" s="3"/>
      <c r="D95" s="3">
        <f ca="1">_xll.BDH(B95,"PX_LAST",Pre_Date,Pre_Date)</f>
        <v>-26.31</v>
      </c>
    </row>
    <row r="96" spans="1:4" x14ac:dyDescent="0.25">
      <c r="A96" s="4">
        <f t="shared" si="8"/>
        <v>43559</v>
      </c>
      <c r="B96" s="3" t="s">
        <v>450</v>
      </c>
      <c r="C96" s="3"/>
      <c r="D96" s="3">
        <f ca="1">_xll.BDH(B96,"PX_LAST",Pre_Date,Pre_Date)</f>
        <v>-34</v>
      </c>
    </row>
    <row r="97" spans="1:4" x14ac:dyDescent="0.25">
      <c r="A97" s="4">
        <f t="shared" si="8"/>
        <v>43589</v>
      </c>
      <c r="B97" s="3" t="s">
        <v>451</v>
      </c>
      <c r="C97" s="3"/>
      <c r="D97" s="3">
        <f ca="1">_xll.BDH(B97,"PX_LAST",Pre_Date,Pre_Date)</f>
        <v>-41.15</v>
      </c>
    </row>
    <row r="98" spans="1:4" x14ac:dyDescent="0.25">
      <c r="A98" s="4">
        <f t="shared" si="8"/>
        <v>43620</v>
      </c>
      <c r="B98" s="3" t="s">
        <v>452</v>
      </c>
      <c r="C98" s="3"/>
      <c r="D98" s="3">
        <f ca="1">_xll.BDH(B98,"PX_LAST",Pre_Date,Pre_Date)</f>
        <v>-47.7</v>
      </c>
    </row>
    <row r="99" spans="1:4" x14ac:dyDescent="0.25">
      <c r="A99" s="4">
        <f>EDATE(A98,3)</f>
        <v>43712</v>
      </c>
      <c r="B99" s="3" t="s">
        <v>453</v>
      </c>
      <c r="C99" s="3"/>
      <c r="D99" s="3">
        <f ca="1">_xll.BDH(B99,"PX_LAST",Pre_Date,Pre_Date)</f>
        <v>-67.849999999999994</v>
      </c>
    </row>
    <row r="100" spans="1:4" x14ac:dyDescent="0.25">
      <c r="A100" s="4">
        <f>EDATE(A99,3)</f>
        <v>43803</v>
      </c>
      <c r="B100" s="3" t="s">
        <v>454</v>
      </c>
      <c r="C100" s="3"/>
      <c r="D100" s="3">
        <f ca="1">_xll.BDH(B100,"PX_LAST",Pre_Date,Pre_Date)</f>
        <v>-86.7</v>
      </c>
    </row>
    <row r="101" spans="1:4" x14ac:dyDescent="0.25">
      <c r="A101" s="4">
        <f>EDATE(A100,12)</f>
        <v>44169</v>
      </c>
      <c r="B101" s="3" t="s">
        <v>455</v>
      </c>
      <c r="C101" s="3"/>
      <c r="D101" s="3">
        <f ca="1">_xll.BDH(B101,"PX_LAST",Pre_Date,Pre_Date)</f>
        <v>-157.13999999999999</v>
      </c>
    </row>
    <row r="102" spans="1:4" x14ac:dyDescent="0.25">
      <c r="A102" s="4">
        <f t="shared" ref="A102:A109" si="9">EDATE(A101,12)</f>
        <v>44534</v>
      </c>
      <c r="B102" s="3" t="s">
        <v>456</v>
      </c>
      <c r="C102" s="3"/>
      <c r="D102" s="3">
        <f ca="1">_xll.BDH(B102,"PX_LAST",Pre_Date,Pre_Date)</f>
        <v>-209.05</v>
      </c>
    </row>
    <row r="103" spans="1:4" x14ac:dyDescent="0.25">
      <c r="A103" s="4">
        <f t="shared" si="9"/>
        <v>44899</v>
      </c>
      <c r="B103" t="s">
        <v>457</v>
      </c>
      <c r="C103" s="3"/>
      <c r="D103" s="3">
        <f ca="1">_xll.BDH(B103,"PX_LAST",Pre_Date,Pre_Date)</f>
        <v>-246.8</v>
      </c>
    </row>
    <row r="104" spans="1:4" x14ac:dyDescent="0.25">
      <c r="A104" s="4">
        <f t="shared" si="9"/>
        <v>45264</v>
      </c>
      <c r="B104" t="s">
        <v>458</v>
      </c>
      <c r="C104" s="3"/>
      <c r="D104" s="3">
        <f ca="1">_xll.BDH(B104,"PX_LAST",Pre_Date,Pre_Date)</f>
        <v>-276.39999999999998</v>
      </c>
    </row>
    <row r="105" spans="1:4" x14ac:dyDescent="0.25">
      <c r="A105" s="4">
        <f t="shared" si="9"/>
        <v>45630</v>
      </c>
      <c r="B105" t="s">
        <v>459</v>
      </c>
      <c r="C105" s="3"/>
      <c r="D105" s="3">
        <f ca="1">_xll.BDH(B105,"PX_LAST",Pre_Date,Pre_Date)</f>
        <v>-300.60000000000002</v>
      </c>
    </row>
    <row r="106" spans="1:4" x14ac:dyDescent="0.25">
      <c r="A106" s="4">
        <f t="shared" si="9"/>
        <v>45995</v>
      </c>
      <c r="B106" t="s">
        <v>460</v>
      </c>
      <c r="C106" s="3"/>
      <c r="D106" s="3">
        <f ca="1">_xll.BDH(B106,"PX_LAST",Pre_Date,Pre_Date)</f>
        <v>-339.15</v>
      </c>
    </row>
    <row r="107" spans="1:4" x14ac:dyDescent="0.25">
      <c r="A107" s="4">
        <f t="shared" si="9"/>
        <v>46360</v>
      </c>
      <c r="B107" t="s">
        <v>461</v>
      </c>
      <c r="C107" s="3"/>
      <c r="D107" s="3">
        <f ca="1">_xll.BDH(B107,"PX_LAST",Pre_Date,Pre_Date)</f>
        <v>-360.9</v>
      </c>
    </row>
    <row r="108" spans="1:4" x14ac:dyDescent="0.25">
      <c r="A108" s="4">
        <f t="shared" si="9"/>
        <v>46725</v>
      </c>
      <c r="B108" t="s">
        <v>462</v>
      </c>
      <c r="C108" s="3"/>
      <c r="D108" s="3">
        <f ca="1">_xll.BDH(B108,"PX_LAST",Pre_Date,Pre_Date)</f>
        <v>-389.05</v>
      </c>
    </row>
    <row r="109" spans="1:4" x14ac:dyDescent="0.25">
      <c r="A109" s="4">
        <f t="shared" si="9"/>
        <v>47091</v>
      </c>
      <c r="B109" t="s">
        <v>463</v>
      </c>
      <c r="C109" s="3"/>
      <c r="D109" s="3">
        <f ca="1">_xll.BDH(B109,"PX_LAST",Pre_Date,Pre_Date)</f>
        <v>-422.45</v>
      </c>
    </row>
    <row r="112" spans="1:4" x14ac:dyDescent="0.25">
      <c r="A112" s="19" t="s">
        <v>229</v>
      </c>
      <c r="B112" s="19" t="s">
        <v>248</v>
      </c>
      <c r="C112" s="3"/>
      <c r="D112" s="3"/>
    </row>
    <row r="113" spans="1:4" x14ac:dyDescent="0.25">
      <c r="A113" s="3" t="s">
        <v>24</v>
      </c>
      <c r="B113" s="3" t="s">
        <v>389</v>
      </c>
      <c r="C113" s="3"/>
      <c r="D113" s="3" t="s">
        <v>390</v>
      </c>
    </row>
    <row r="114" spans="1:4" x14ac:dyDescent="0.25">
      <c r="A114" s="4">
        <f>EDATE(Pre_Date,0.25)</f>
        <v>43438</v>
      </c>
      <c r="B114" s="3" t="s">
        <v>464</v>
      </c>
      <c r="C114" s="3"/>
      <c r="D114" s="3">
        <f ca="1">_xll.BDH(B114,"PX_LAST",Pre_Date,Pre_Date)</f>
        <v>-5.91</v>
      </c>
    </row>
    <row r="115" spans="1:4" x14ac:dyDescent="0.25">
      <c r="A115" s="4">
        <f>EDATE(Pre_Date,1)</f>
        <v>43469</v>
      </c>
      <c r="B115" s="3" t="s">
        <v>465</v>
      </c>
      <c r="C115" s="3"/>
      <c r="D115" s="3">
        <f ca="1">_xll.BDH(B115,"PX_LAST",Pre_Date,Pre_Date)</f>
        <v>-38.32</v>
      </c>
    </row>
    <row r="116" spans="1:4" x14ac:dyDescent="0.25">
      <c r="A116" s="4">
        <f>EDATE(A115,1)</f>
        <v>43500</v>
      </c>
      <c r="B116" s="3" t="s">
        <v>466</v>
      </c>
      <c r="C116" s="3"/>
      <c r="D116" s="3">
        <f ca="1">_xll.BDH(B116,"PX_LAST",Pre_Date,Pre_Date)</f>
        <v>-66.05</v>
      </c>
    </row>
    <row r="117" spans="1:4" x14ac:dyDescent="0.25">
      <c r="A117" s="4">
        <f t="shared" ref="A117:A120" si="10">EDATE(A116,1)</f>
        <v>43528</v>
      </c>
      <c r="B117" s="3" t="s">
        <v>467</v>
      </c>
      <c r="C117" s="3"/>
      <c r="D117" s="3">
        <f ca="1">_xll.BDH(B117,"PX_LAST",Pre_Date,Pre_Date)</f>
        <v>-92.06</v>
      </c>
    </row>
    <row r="118" spans="1:4" x14ac:dyDescent="0.25">
      <c r="A118" s="4">
        <f t="shared" si="10"/>
        <v>43559</v>
      </c>
      <c r="B118" s="3" t="s">
        <v>468</v>
      </c>
      <c r="C118" s="3"/>
      <c r="D118" s="3">
        <f ca="1">_xll.BDH(B118,"PX_LAST",Pre_Date,Pre_Date)</f>
        <v>-125.05</v>
      </c>
    </row>
    <row r="119" spans="1:4" x14ac:dyDescent="0.25">
      <c r="A119" s="4">
        <f t="shared" si="10"/>
        <v>43589</v>
      </c>
      <c r="B119" s="3" t="s">
        <v>469</v>
      </c>
      <c r="C119" s="3"/>
      <c r="D119" s="3">
        <f ca="1">_xll.BDH(B119,"PX_LAST",Pre_Date,Pre_Date)</f>
        <v>-151.80000000000001</v>
      </c>
    </row>
    <row r="120" spans="1:4" x14ac:dyDescent="0.25">
      <c r="A120" s="4">
        <f t="shared" si="10"/>
        <v>43620</v>
      </c>
      <c r="B120" s="3" t="s">
        <v>470</v>
      </c>
      <c r="C120" s="3"/>
      <c r="D120" s="3">
        <f ca="1">_xll.BDH(B120,"PX_LAST",Pre_Date,Pre_Date)</f>
        <v>-182.1</v>
      </c>
    </row>
    <row r="121" spans="1:4" x14ac:dyDescent="0.25">
      <c r="A121" s="4">
        <f>EDATE(A120,3)</f>
        <v>43712</v>
      </c>
      <c r="B121" s="3" t="s">
        <v>471</v>
      </c>
      <c r="C121" s="3"/>
      <c r="D121" s="3">
        <f ca="1">_xll.BDH(B121,"PX_LAST",Pre_Date,Pre_Date)</f>
        <v>-273.5</v>
      </c>
    </row>
    <row r="122" spans="1:4" x14ac:dyDescent="0.25">
      <c r="A122" s="4">
        <f>EDATE(A121,3)</f>
        <v>43803</v>
      </c>
      <c r="B122" s="3" t="s">
        <v>472</v>
      </c>
      <c r="C122" s="3"/>
      <c r="D122" s="3">
        <f ca="1">_xll.BDH(B122,"PX_LAST",Pre_Date,Pre_Date)</f>
        <v>-363.81</v>
      </c>
    </row>
    <row r="123" spans="1:4" x14ac:dyDescent="0.25">
      <c r="A123" s="4">
        <f>EDATE(A122,12)</f>
        <v>44169</v>
      </c>
      <c r="B123" s="3" t="s">
        <v>473</v>
      </c>
      <c r="C123" s="3"/>
      <c r="D123" s="3">
        <f ca="1">_xll.BDH(B123,"PX_LAST",Pre_Date,Pre_Date)</f>
        <v>-718</v>
      </c>
    </row>
    <row r="124" spans="1:4" x14ac:dyDescent="0.25">
      <c r="A124" s="4">
        <f t="shared" ref="A124:A131" si="11">EDATE(A123,12)</f>
        <v>44534</v>
      </c>
      <c r="B124" t="s">
        <v>474</v>
      </c>
      <c r="C124" s="3"/>
      <c r="D124" s="3">
        <f ca="1">_xll.BDH(B124,"PX_LAST",Pre_Date,Pre_Date)</f>
        <v>-1016.01</v>
      </c>
    </row>
    <row r="125" spans="1:4" x14ac:dyDescent="0.25">
      <c r="A125" s="4">
        <f t="shared" si="11"/>
        <v>44899</v>
      </c>
      <c r="B125" t="s">
        <v>475</v>
      </c>
      <c r="C125" s="3"/>
      <c r="D125" s="3">
        <f ca="1">_xll.BDH(B125,"PX_LAST",Pre_Date,Pre_Date)</f>
        <v>-1286.45</v>
      </c>
    </row>
    <row r="126" spans="1:4" x14ac:dyDescent="0.25">
      <c r="A126" s="4">
        <f t="shared" si="11"/>
        <v>45264</v>
      </c>
      <c r="B126" t="s">
        <v>476</v>
      </c>
      <c r="C126" s="3"/>
      <c r="D126" s="3">
        <f ca="1">_xll.BDH(B126,"PX_LAST",Pre_Date,Pre_Date)</f>
        <v>-1532.6</v>
      </c>
    </row>
    <row r="127" spans="1:4" x14ac:dyDescent="0.25">
      <c r="A127" s="4">
        <f t="shared" si="11"/>
        <v>45630</v>
      </c>
      <c r="B127" t="s">
        <v>477</v>
      </c>
      <c r="C127" s="3"/>
      <c r="D127" s="3">
        <f ca="1">_xll.BDH(B127,"PX_LAST",Pre_Date,Pre_Date)</f>
        <v>-1754.68</v>
      </c>
    </row>
    <row r="128" spans="1:4" x14ac:dyDescent="0.25">
      <c r="A128" s="4">
        <f t="shared" si="11"/>
        <v>45995</v>
      </c>
      <c r="B128" t="s">
        <v>478</v>
      </c>
      <c r="C128" s="3"/>
      <c r="D128" s="3">
        <f ca="1">_xll.BDH(B128,"PX_LAST",Pre_Date,Pre_Date)</f>
        <v>-1969.25</v>
      </c>
    </row>
    <row r="129" spans="1:4" x14ac:dyDescent="0.25">
      <c r="A129" s="4">
        <f t="shared" si="11"/>
        <v>46360</v>
      </c>
      <c r="B129" t="s">
        <v>479</v>
      </c>
      <c r="C129" s="3"/>
      <c r="D129" s="3">
        <f ca="1">_xll.BDH(B129,"PX_LAST",Pre_Date,Pre_Date)</f>
        <v>-2162.61</v>
      </c>
    </row>
    <row r="130" spans="1:4" x14ac:dyDescent="0.25">
      <c r="A130" s="4">
        <f t="shared" si="11"/>
        <v>46725</v>
      </c>
      <c r="B130" t="s">
        <v>480</v>
      </c>
      <c r="C130" s="3"/>
      <c r="D130" s="3">
        <f ca="1">_xll.BDH(B130,"PX_LAST",Pre_Date,Pre_Date)</f>
        <v>-2346.9299999999998</v>
      </c>
    </row>
    <row r="131" spans="1:4" x14ac:dyDescent="0.25">
      <c r="A131" s="4">
        <f t="shared" si="11"/>
        <v>47091</v>
      </c>
      <c r="B131" t="s">
        <v>481</v>
      </c>
      <c r="C131" s="3"/>
      <c r="D131" s="3">
        <f ca="1">_xll.BDH(B131,"PX_LAST",Pre_Date,Pre_Date)</f>
        <v>-2529.14</v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Pricer</vt:lpstr>
      <vt:lpstr>Schedule</vt:lpstr>
      <vt:lpstr>FX_Upload</vt:lpstr>
      <vt:lpstr>Rate_Upload</vt:lpstr>
      <vt:lpstr>FX_Curve_Upload</vt:lpstr>
      <vt:lpstr>FXFR</vt:lpstr>
      <vt:lpstr>Cash_Date</vt:lpstr>
      <vt:lpstr>Future_Date</vt:lpstr>
      <vt:lpstr>JPY_1Y_Adj</vt:lpstr>
      <vt:lpstr>JPY_2Y_Adj</vt:lpstr>
      <vt:lpstr>Pre_Date</vt:lpstr>
      <vt:lpstr>Pre_Date_BRL</vt:lpstr>
      <vt:lpstr>sdate</vt:lpstr>
      <vt:lpstr>Swap_Date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ACM01</dc:creator>
  <cp:lastModifiedBy>ACM05</cp:lastModifiedBy>
  <dcterms:created xsi:type="dcterms:W3CDTF">2016-08-08T18:43:15Z</dcterms:created>
  <dcterms:modified xsi:type="dcterms:W3CDTF">2018-12-05T14:58:15Z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f147c6a4-06f9-40ff-a106-4986310b0425</vt:lpwstr>
  </property>
  <property fmtid="{D5CDD505-2E9C-101B-9397-08002B2CF9AE}" pid="3" name="SpreadsheetBuilder_1">
    <vt:lpwstr>eyIwIjoiSGlzdG9yeSIsIjEiOjAsIjIiOjEsIjMiOjEsIjQiOjEsIjUiOjEsIjYiOjEsIjciOjEsIjgiOjEsIjkiOjEsIjEwIjoxLCIxMSI6MH0=</vt:lpwstr>
  </property>
  <property fmtid="{D5CDD505-2E9C-101B-9397-08002B2CF9AE}" pid="4" name="SpreadsheetBuilder_2">
    <vt:lpwstr>eyIwIjoiSGlzdG9yeSIsIjEiOjAsIjIiOjEsIjMiOjEsIjQiOjEsIjUiOjEsIjYiOjEsIjciOjEsIjgiOjAsIjkiOjEsIjEwIjoxLCIxMSI6MH0=</vt:lpwstr>
  </property>
  <property fmtid="{D5CDD505-2E9C-101B-9397-08002B2CF9AE}" pid="5" name="SpreadsheetBuilder_3">
    <vt:lpwstr>eyIwIjoiSGlzdG9yeSIsIjEiOjAsIjIiOjEsIjMiOjEsIjQiOjEsIjUiOjEsIjYiOjEsIjciOjEsIjgiOjAsIjkiOjEsIjEwIjoxLCIxMSI6MH0=</vt:lpwstr>
  </property>
</Properties>
</file>