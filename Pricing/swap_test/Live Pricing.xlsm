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CM05\Google Drive\Shared Projects\Portfolio_Management\"/>
    </mc:Choice>
  </mc:AlternateContent>
  <xr:revisionPtr revIDLastSave="0" documentId="13_ncr:1_{7203B380-0986-492B-A8AD-BDAC7078F974}" xr6:coauthVersionLast="41" xr6:coauthVersionMax="41" xr10:uidLastSave="{00000000-0000-0000-0000-000000000000}"/>
  <bookViews>
    <workbookView xWindow="16260" yWindow="3780" windowWidth="15165" windowHeight="18705" tabRatio="925" xr2:uid="{00000000-000D-0000-FFFF-FFFF00000000}"/>
  </bookViews>
  <sheets>
    <sheet name="Pricer" sheetId="48" r:id="rId1"/>
    <sheet name="DFs" sheetId="52" r:id="rId2"/>
    <sheet name="Schedule" sheetId="47" r:id="rId3"/>
    <sheet name="Vol_Surface" sheetId="53" r:id="rId4"/>
    <sheet name="Rate_History" sheetId="49" r:id="rId5"/>
    <sheet name="Rate_Live" sheetId="39" r:id="rId6"/>
    <sheet name="FX_Live" sheetId="44" r:id="rId7"/>
    <sheet name="FX_Curve_Live" sheetId="42" r:id="rId8"/>
    <sheet name="FX_Curve_History" sheetId="50" r:id="rId9"/>
    <sheet name="FXFR" sheetId="46" r:id="rId10"/>
  </sheets>
  <functionGroups builtInGroupCount="19"/>
  <definedNames>
    <definedName name="Cash_Date">Pricer!$B$6</definedName>
    <definedName name="Future_Date">Pricer!$B$7</definedName>
    <definedName name="JPY_1Y_Adj" localSheetId="4">Rate_History!$N$57</definedName>
    <definedName name="JPY_1Y_Adj">Rate_Live!$N$57</definedName>
    <definedName name="JPY_2Y_Adj" localSheetId="4">Rate_History!$N$58</definedName>
    <definedName name="JPY_2Y_Adj">Rate_Live!$N$58</definedName>
    <definedName name="Pre_Date">Pricer!$B$4</definedName>
    <definedName name="Pre_Date_BRL" localSheetId="4">Rate_History!$F$3</definedName>
    <definedName name="Pre_Date_BRL">Rate_Live!$F$3</definedName>
    <definedName name="sdate" localSheetId="4">Rate_History!$C$1</definedName>
    <definedName name="sdate">Rate_Live!$C$1</definedName>
    <definedName name="SpreadsheetBuilder_1" localSheetId="8" hidden="1">#REF!</definedName>
    <definedName name="SpreadsheetBuilder_1" localSheetId="4" hidden="1">#REF!</definedName>
    <definedName name="SpreadsheetBuilder_1" hidden="1">#REF!</definedName>
    <definedName name="SpreadsheetBuilder_2" localSheetId="8" hidden="1">#REF!</definedName>
    <definedName name="SpreadsheetBuilder_2" localSheetId="4" hidden="1">#REF!</definedName>
    <definedName name="SpreadsheetBuilder_2" hidden="1">#REF!</definedName>
    <definedName name="SpreadsheetBuilder_3" localSheetId="8" hidden="1">FXFR!#REF!</definedName>
    <definedName name="SpreadsheetBuilder_3" localSheetId="4" hidden="1">FXFR!#REF!</definedName>
    <definedName name="SpreadsheetBuilder_3" hidden="1">FXFR!#REF!</definedName>
    <definedName name="Swap_Date">Pricer!$B$8</definedName>
    <definedName name="Today">Pricer!$B$4</definedName>
  </definedNames>
  <calcPr calcId="181029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48" l="1"/>
  <c r="K33" i="53"/>
  <c r="I33" i="53"/>
  <c r="L32" i="53"/>
  <c r="D32" i="53"/>
  <c r="G31" i="53"/>
  <c r="J30" i="53"/>
  <c r="B30" i="53"/>
  <c r="E29" i="53"/>
  <c r="H28" i="53"/>
  <c r="K27" i="53"/>
  <c r="C27" i="53"/>
  <c r="F26" i="53"/>
  <c r="I25" i="53"/>
  <c r="L24" i="53"/>
  <c r="D24" i="53"/>
  <c r="L26" i="53"/>
  <c r="D26" i="53"/>
  <c r="J24" i="53"/>
  <c r="B24" i="53"/>
  <c r="I32" i="53"/>
  <c r="D31" i="53"/>
  <c r="J29" i="53"/>
  <c r="E28" i="53"/>
  <c r="K26" i="53"/>
  <c r="F25" i="53"/>
  <c r="D33" i="53"/>
  <c r="B31" i="53"/>
  <c r="L25" i="53"/>
  <c r="D25" i="53"/>
  <c r="G24" i="53"/>
  <c r="C33" i="53"/>
  <c r="I31" i="53"/>
  <c r="D30" i="53"/>
  <c r="J28" i="53"/>
  <c r="E27" i="53"/>
  <c r="K25" i="53"/>
  <c r="F24" i="53"/>
  <c r="J33" i="53"/>
  <c r="E32" i="53"/>
  <c r="K30" i="53"/>
  <c r="C30" i="53"/>
  <c r="F29" i="53"/>
  <c r="I28" i="53"/>
  <c r="L27" i="53"/>
  <c r="D27" i="53"/>
  <c r="G26" i="53"/>
  <c r="J25" i="53"/>
  <c r="B25" i="53"/>
  <c r="E24" i="53"/>
  <c r="H33" i="53"/>
  <c r="K32" i="53"/>
  <c r="C32" i="53"/>
  <c r="F31" i="53"/>
  <c r="I30" i="53"/>
  <c r="L29" i="53"/>
  <c r="D29" i="53"/>
  <c r="G28" i="53"/>
  <c r="J27" i="53"/>
  <c r="B27" i="53"/>
  <c r="E26" i="53"/>
  <c r="H25" i="53"/>
  <c r="K24" i="53"/>
  <c r="C24" i="53"/>
  <c r="G33" i="53"/>
  <c r="J32" i="53"/>
  <c r="B32" i="53"/>
  <c r="E31" i="53"/>
  <c r="H30" i="53"/>
  <c r="K29" i="53"/>
  <c r="C29" i="53"/>
  <c r="F28" i="53"/>
  <c r="I27" i="53"/>
  <c r="G25" i="53"/>
  <c r="F33" i="53"/>
  <c r="L31" i="53"/>
  <c r="G30" i="53"/>
  <c r="B29" i="53"/>
  <c r="H27" i="53"/>
  <c r="C26" i="53"/>
  <c r="I24" i="53"/>
  <c r="E33" i="53"/>
  <c r="H32" i="53"/>
  <c r="K31" i="53"/>
  <c r="C31" i="53"/>
  <c r="F30" i="53"/>
  <c r="I29" i="53"/>
  <c r="L28" i="53"/>
  <c r="D28" i="53"/>
  <c r="G27" i="53"/>
  <c r="J26" i="53"/>
  <c r="B26" i="53"/>
  <c r="E25" i="53"/>
  <c r="H24" i="53"/>
  <c r="L33" i="53"/>
  <c r="G32" i="53"/>
  <c r="J31" i="53"/>
  <c r="E30" i="53"/>
  <c r="H29" i="53"/>
  <c r="K28" i="53"/>
  <c r="C28" i="53"/>
  <c r="F27" i="53"/>
  <c r="I26" i="53"/>
  <c r="F32" i="53"/>
  <c r="L30" i="53"/>
  <c r="G29" i="53"/>
  <c r="B28" i="53"/>
  <c r="H26" i="53"/>
  <c r="C25" i="53"/>
  <c r="B33" i="53"/>
  <c r="H31" i="53"/>
  <c r="M13" i="53"/>
  <c r="K12" i="53"/>
  <c r="I11" i="53"/>
  <c r="M9" i="53"/>
  <c r="K8" i="53"/>
  <c r="I7" i="53"/>
  <c r="M5" i="53"/>
  <c r="K4" i="53"/>
  <c r="G9" i="53"/>
  <c r="F11" i="53"/>
  <c r="E13" i="53"/>
  <c r="E5" i="53"/>
  <c r="D7" i="53"/>
  <c r="C9" i="53"/>
  <c r="B11" i="53"/>
  <c r="E12" i="53"/>
  <c r="D6" i="53"/>
  <c r="B10" i="53"/>
  <c r="I5" i="53"/>
  <c r="F7" i="53"/>
  <c r="D11" i="53"/>
  <c r="B7" i="53"/>
  <c r="L11" i="53"/>
  <c r="L7" i="53"/>
  <c r="H5" i="53"/>
  <c r="F6" i="53"/>
  <c r="C12" i="53"/>
  <c r="M12" i="53"/>
  <c r="M8" i="53"/>
  <c r="K7" i="53"/>
  <c r="M4" i="53"/>
  <c r="F5" i="53"/>
  <c r="C11" i="53"/>
  <c r="L12" i="53"/>
  <c r="L8" i="53"/>
  <c r="J7" i="53"/>
  <c r="G10" i="53"/>
  <c r="E6" i="53"/>
  <c r="C10" i="53"/>
  <c r="L13" i="53"/>
  <c r="J12" i="53"/>
  <c r="H11" i="53"/>
  <c r="L9" i="53"/>
  <c r="J8" i="53"/>
  <c r="H7" i="53"/>
  <c r="L5" i="53"/>
  <c r="J4" i="53"/>
  <c r="G8" i="53"/>
  <c r="F10" i="53"/>
  <c r="E4" i="53"/>
  <c r="C8" i="53"/>
  <c r="G13" i="53"/>
  <c r="C5" i="53"/>
  <c r="H13" i="53"/>
  <c r="H9" i="53"/>
  <c r="G12" i="53"/>
  <c r="E8" i="53"/>
  <c r="C4" i="53"/>
  <c r="I10" i="53"/>
  <c r="G11" i="53"/>
  <c r="E7" i="53"/>
  <c r="B13" i="53"/>
  <c r="J11" i="53"/>
  <c r="H6" i="53"/>
  <c r="F12" i="53"/>
  <c r="D8" i="53"/>
  <c r="B4" i="53"/>
  <c r="K13" i="53"/>
  <c r="I12" i="53"/>
  <c r="M10" i="53"/>
  <c r="K9" i="53"/>
  <c r="I8" i="53"/>
  <c r="M6" i="53"/>
  <c r="K5" i="53"/>
  <c r="I4" i="53"/>
  <c r="G7" i="53"/>
  <c r="F9" i="53"/>
  <c r="E11" i="53"/>
  <c r="D13" i="53"/>
  <c r="D5" i="53"/>
  <c r="C7" i="53"/>
  <c r="B9" i="53"/>
  <c r="J13" i="53"/>
  <c r="H12" i="53"/>
  <c r="L10" i="53"/>
  <c r="J9" i="53"/>
  <c r="H8" i="53"/>
  <c r="L6" i="53"/>
  <c r="J5" i="53"/>
  <c r="H4" i="53"/>
  <c r="G6" i="53"/>
  <c r="F8" i="53"/>
  <c r="E10" i="53"/>
  <c r="D12" i="53"/>
  <c r="D4" i="53"/>
  <c r="C6" i="53"/>
  <c r="B8" i="53"/>
  <c r="I13" i="53"/>
  <c r="M11" i="53"/>
  <c r="K10" i="53"/>
  <c r="I9" i="53"/>
  <c r="M7" i="53"/>
  <c r="K6" i="53"/>
  <c r="G5" i="53"/>
  <c r="E9" i="53"/>
  <c r="C13" i="53"/>
  <c r="J10" i="53"/>
  <c r="J6" i="53"/>
  <c r="G4" i="53"/>
  <c r="D10" i="53"/>
  <c r="B6" i="53"/>
  <c r="K11" i="53"/>
  <c r="I6" i="53"/>
  <c r="F13" i="53"/>
  <c r="D9" i="53"/>
  <c r="B5" i="53"/>
  <c r="H10" i="53"/>
  <c r="L4" i="53"/>
  <c r="F4" i="53"/>
  <c r="B12" i="53"/>
  <c r="B44" i="53"/>
  <c r="C44" i="53"/>
  <c r="D44" i="53"/>
  <c r="E44" i="53"/>
  <c r="F44" i="53"/>
  <c r="G44" i="53"/>
  <c r="H44" i="53"/>
  <c r="I44" i="53"/>
  <c r="J44" i="53"/>
  <c r="K44" i="53"/>
  <c r="L44" i="53"/>
  <c r="M44" i="53"/>
  <c r="N44" i="53"/>
  <c r="O44" i="53"/>
  <c r="B45" i="53"/>
  <c r="C45" i="53"/>
  <c r="D45" i="53"/>
  <c r="E45" i="53"/>
  <c r="F45" i="53"/>
  <c r="G45" i="53"/>
  <c r="H45" i="53"/>
  <c r="I45" i="53"/>
  <c r="J45" i="53"/>
  <c r="K45" i="53"/>
  <c r="L45" i="53"/>
  <c r="M45" i="53"/>
  <c r="N45" i="53"/>
  <c r="O45" i="53"/>
  <c r="B46" i="53"/>
  <c r="C46" i="53"/>
  <c r="D46" i="53"/>
  <c r="E46" i="53"/>
  <c r="F46" i="53"/>
  <c r="G46" i="53"/>
  <c r="H46" i="53"/>
  <c r="I46" i="53"/>
  <c r="J46" i="53"/>
  <c r="K46" i="53"/>
  <c r="L46" i="53"/>
  <c r="M46" i="53"/>
  <c r="N46" i="53"/>
  <c r="O46" i="53"/>
  <c r="B47" i="53"/>
  <c r="C47" i="53"/>
  <c r="D47" i="53"/>
  <c r="E47" i="53"/>
  <c r="F47" i="53"/>
  <c r="G47" i="53"/>
  <c r="H47" i="53"/>
  <c r="I47" i="53"/>
  <c r="J47" i="53"/>
  <c r="K47" i="53"/>
  <c r="L47" i="53"/>
  <c r="M47" i="53"/>
  <c r="N47" i="53"/>
  <c r="O47" i="53"/>
  <c r="B48" i="53"/>
  <c r="C48" i="53"/>
  <c r="D48" i="53"/>
  <c r="E48" i="53"/>
  <c r="F48" i="53"/>
  <c r="G48" i="53"/>
  <c r="H48" i="53"/>
  <c r="I48" i="53"/>
  <c r="J48" i="53"/>
  <c r="K48" i="53"/>
  <c r="L48" i="53"/>
  <c r="M48" i="53"/>
  <c r="N48" i="53"/>
  <c r="O48" i="53"/>
  <c r="B49" i="53"/>
  <c r="C49" i="53"/>
  <c r="D49" i="53"/>
  <c r="E49" i="53"/>
  <c r="F49" i="53"/>
  <c r="G49" i="53"/>
  <c r="H49" i="53"/>
  <c r="I49" i="53"/>
  <c r="J49" i="53"/>
  <c r="K49" i="53"/>
  <c r="L49" i="53"/>
  <c r="M49" i="53"/>
  <c r="N49" i="53"/>
  <c r="O49" i="53"/>
  <c r="B50" i="53"/>
  <c r="C50" i="53"/>
  <c r="D50" i="53"/>
  <c r="E50" i="53"/>
  <c r="F50" i="53"/>
  <c r="G50" i="53"/>
  <c r="H50" i="53"/>
  <c r="I50" i="53"/>
  <c r="J50" i="53"/>
  <c r="K50" i="53"/>
  <c r="L50" i="53"/>
  <c r="M50" i="53"/>
  <c r="N50" i="53"/>
  <c r="O50" i="53"/>
  <c r="B51" i="53"/>
  <c r="C51" i="53"/>
  <c r="D51" i="53"/>
  <c r="E51" i="53"/>
  <c r="F51" i="53"/>
  <c r="G51" i="53"/>
  <c r="H51" i="53"/>
  <c r="I51" i="53"/>
  <c r="J51" i="53"/>
  <c r="K51" i="53"/>
  <c r="L51" i="53"/>
  <c r="M51" i="53"/>
  <c r="N51" i="53"/>
  <c r="O51" i="53"/>
  <c r="B52" i="53"/>
  <c r="C52" i="53"/>
  <c r="D52" i="53"/>
  <c r="E52" i="53"/>
  <c r="F52" i="53"/>
  <c r="G52" i="53"/>
  <c r="H52" i="53"/>
  <c r="I52" i="53"/>
  <c r="J52" i="53"/>
  <c r="K52" i="53"/>
  <c r="L52" i="53"/>
  <c r="M52" i="53"/>
  <c r="N52" i="53"/>
  <c r="O52" i="53"/>
  <c r="B64" i="53"/>
  <c r="C64" i="53"/>
  <c r="D64" i="53"/>
  <c r="E64" i="53"/>
  <c r="F64" i="53"/>
  <c r="G64" i="53"/>
  <c r="H64" i="53"/>
  <c r="I64" i="53"/>
  <c r="J64" i="53"/>
  <c r="K64" i="53"/>
  <c r="L64" i="53"/>
  <c r="M64" i="53"/>
  <c r="N64" i="53"/>
  <c r="O64" i="53"/>
  <c r="B65" i="53"/>
  <c r="C65" i="53"/>
  <c r="D65" i="53"/>
  <c r="E65" i="53"/>
  <c r="F65" i="53"/>
  <c r="G65" i="53"/>
  <c r="H65" i="53"/>
  <c r="I65" i="53"/>
  <c r="J65" i="53"/>
  <c r="K65" i="53"/>
  <c r="L65" i="53"/>
  <c r="M65" i="53"/>
  <c r="N65" i="53"/>
  <c r="O65" i="53"/>
  <c r="B66" i="53"/>
  <c r="C66" i="53"/>
  <c r="D66" i="53"/>
  <c r="E66" i="53"/>
  <c r="F66" i="53"/>
  <c r="G66" i="53"/>
  <c r="H66" i="53"/>
  <c r="I66" i="53"/>
  <c r="J66" i="53"/>
  <c r="K66" i="53"/>
  <c r="L66" i="53"/>
  <c r="M66" i="53"/>
  <c r="N66" i="53"/>
  <c r="O66" i="53"/>
  <c r="B67" i="53"/>
  <c r="C67" i="53"/>
  <c r="D67" i="53"/>
  <c r="E67" i="53"/>
  <c r="F67" i="53"/>
  <c r="G67" i="53"/>
  <c r="H67" i="53"/>
  <c r="I67" i="53"/>
  <c r="J67" i="53"/>
  <c r="K67" i="53"/>
  <c r="L67" i="53"/>
  <c r="M67" i="53"/>
  <c r="N67" i="53"/>
  <c r="O67" i="53"/>
  <c r="B68" i="53"/>
  <c r="C68" i="53"/>
  <c r="D68" i="53"/>
  <c r="E68" i="53"/>
  <c r="F68" i="53"/>
  <c r="G68" i="53"/>
  <c r="H68" i="53"/>
  <c r="I68" i="53"/>
  <c r="J68" i="53"/>
  <c r="K68" i="53"/>
  <c r="L68" i="53"/>
  <c r="M68" i="53"/>
  <c r="N68" i="53"/>
  <c r="O68" i="53"/>
  <c r="B69" i="53"/>
  <c r="C69" i="53"/>
  <c r="D69" i="53"/>
  <c r="E69" i="53"/>
  <c r="F69" i="53"/>
  <c r="G69" i="53"/>
  <c r="H69" i="53"/>
  <c r="I69" i="53"/>
  <c r="J69" i="53"/>
  <c r="K69" i="53"/>
  <c r="L69" i="53"/>
  <c r="M69" i="53"/>
  <c r="N69" i="53"/>
  <c r="O69" i="53"/>
  <c r="B70" i="53"/>
  <c r="C70" i="53"/>
  <c r="D70" i="53"/>
  <c r="E70" i="53"/>
  <c r="F70" i="53"/>
  <c r="G70" i="53"/>
  <c r="H70" i="53"/>
  <c r="I70" i="53"/>
  <c r="J70" i="53"/>
  <c r="K70" i="53"/>
  <c r="L70" i="53"/>
  <c r="M70" i="53"/>
  <c r="N70" i="53"/>
  <c r="O70" i="53"/>
  <c r="B71" i="53"/>
  <c r="C71" i="53"/>
  <c r="D71" i="53"/>
  <c r="E71" i="53"/>
  <c r="F71" i="53"/>
  <c r="G71" i="53"/>
  <c r="H71" i="53"/>
  <c r="I71" i="53"/>
  <c r="J71" i="53"/>
  <c r="K71" i="53"/>
  <c r="L71" i="53"/>
  <c r="M71" i="53"/>
  <c r="N71" i="53"/>
  <c r="O71" i="53"/>
  <c r="B72" i="53"/>
  <c r="C72" i="53"/>
  <c r="D72" i="53"/>
  <c r="E72" i="53"/>
  <c r="F72" i="53"/>
  <c r="G72" i="53"/>
  <c r="H72" i="53"/>
  <c r="I72" i="53"/>
  <c r="J72" i="53"/>
  <c r="K72" i="53"/>
  <c r="L72" i="53"/>
  <c r="M72" i="53"/>
  <c r="N72" i="53"/>
  <c r="O72" i="53"/>
  <c r="A72" i="53" l="1"/>
  <c r="A71" i="53"/>
  <c r="A70" i="53"/>
  <c r="A69" i="53"/>
  <c r="A68" i="53"/>
  <c r="A67" i="53"/>
  <c r="A66" i="53"/>
  <c r="A65" i="53"/>
  <c r="A64" i="53"/>
  <c r="A52" i="53"/>
  <c r="A51" i="53"/>
  <c r="A50" i="53"/>
  <c r="A49" i="53"/>
  <c r="A48" i="53"/>
  <c r="A47" i="53"/>
  <c r="A46" i="53"/>
  <c r="A45" i="53"/>
  <c r="A44" i="53"/>
  <c r="A2" i="53"/>
  <c r="K44" i="48" l="1"/>
  <c r="K43" i="48"/>
  <c r="B6" i="48"/>
  <c r="N44" i="48"/>
  <c r="P44" i="48"/>
  <c r="Q43" i="48"/>
  <c r="O43" i="48"/>
  <c r="P43" i="48"/>
  <c r="N43" i="48"/>
  <c r="B186" i="39"/>
  <c r="B182" i="39"/>
  <c r="F162" i="39"/>
  <c r="F157" i="39"/>
  <c r="F141" i="39"/>
  <c r="B133" i="39"/>
  <c r="F134" i="39"/>
  <c r="B111" i="39"/>
  <c r="D110" i="39"/>
  <c r="F112" i="39"/>
  <c r="F111" i="39"/>
  <c r="B81" i="39"/>
  <c r="F75" i="39"/>
  <c r="F96" i="39"/>
  <c r="F94" i="39"/>
  <c r="D61" i="39"/>
  <c r="F64" i="39"/>
  <c r="F63" i="39"/>
  <c r="F62" i="39"/>
  <c r="D57" i="39"/>
  <c r="F36" i="39"/>
  <c r="F40" i="39"/>
  <c r="F38" i="39"/>
  <c r="F31" i="39"/>
  <c r="D6" i="39"/>
  <c r="F7" i="39"/>
  <c r="D11" i="39"/>
  <c r="F19" i="39"/>
  <c r="F188" i="39"/>
  <c r="B185" i="39"/>
  <c r="F161" i="39"/>
  <c r="B157" i="39"/>
  <c r="D136" i="39"/>
  <c r="F138" i="39"/>
  <c r="F131" i="39"/>
  <c r="D108" i="39"/>
  <c r="F107" i="39"/>
  <c r="F109" i="39"/>
  <c r="B109" i="39"/>
  <c r="F89" i="39"/>
  <c r="F98" i="39"/>
  <c r="F88" i="39"/>
  <c r="F87" i="39"/>
  <c r="N58" i="39"/>
  <c r="F60" i="39"/>
  <c r="D60" i="39"/>
  <c r="F59" i="39"/>
  <c r="F43" i="39"/>
  <c r="B34" i="39"/>
  <c r="D33" i="39"/>
  <c r="D35" i="39"/>
  <c r="F18" i="39"/>
  <c r="F22" i="39"/>
  <c r="F20" i="39"/>
  <c r="F8" i="39"/>
  <c r="F9" i="39"/>
  <c r="F194" i="39"/>
  <c r="F185" i="39"/>
  <c r="F181" i="39"/>
  <c r="B160" i="39"/>
  <c r="D138" i="39"/>
  <c r="B136" i="39"/>
  <c r="B135" i="39"/>
  <c r="F142" i="39"/>
  <c r="F110" i="39"/>
  <c r="D113" i="39"/>
  <c r="D112" i="39"/>
  <c r="D111" i="39"/>
  <c r="F99" i="39"/>
  <c r="D83" i="39"/>
  <c r="F95" i="39"/>
  <c r="F93" i="39"/>
  <c r="B61" i="39"/>
  <c r="B57" i="39"/>
  <c r="D63" i="39"/>
  <c r="D62" i="39"/>
  <c r="B31" i="39"/>
  <c r="F41" i="39"/>
  <c r="F39" i="39"/>
  <c r="D38" i="39"/>
  <c r="F6" i="39"/>
  <c r="B8" i="39"/>
  <c r="F12" i="39"/>
  <c r="F15" i="39"/>
  <c r="F186" i="39"/>
  <c r="B181" i="39"/>
  <c r="F156" i="39"/>
  <c r="F139" i="39"/>
  <c r="D134" i="39"/>
  <c r="F113" i="39"/>
  <c r="D109" i="39"/>
  <c r="B83" i="39"/>
  <c r="F85" i="39"/>
  <c r="F81" i="39"/>
  <c r="F72" i="39"/>
  <c r="B60" i="39"/>
  <c r="D37" i="39"/>
  <c r="F33" i="39"/>
  <c r="F45" i="39"/>
  <c r="B9" i="39"/>
  <c r="B7" i="39"/>
  <c r="F14" i="39"/>
  <c r="B187" i="39"/>
  <c r="F143" i="39"/>
  <c r="F123" i="39"/>
  <c r="F120" i="39"/>
  <c r="F91" i="39"/>
  <c r="F74" i="39"/>
  <c r="F69" i="39"/>
  <c r="F34" i="39"/>
  <c r="B32" i="39"/>
  <c r="F16" i="39"/>
  <c r="F184" i="39"/>
  <c r="B161" i="39"/>
  <c r="B131" i="39"/>
  <c r="F132" i="39"/>
  <c r="F115" i="39"/>
  <c r="B110" i="39"/>
  <c r="F100" i="39"/>
  <c r="D86" i="39"/>
  <c r="F82" i="39"/>
  <c r="F66" i="39"/>
  <c r="F67" i="39"/>
  <c r="F57" i="39"/>
  <c r="F37" i="39"/>
  <c r="F47" i="39"/>
  <c r="F44" i="39"/>
  <c r="F21" i="39"/>
  <c r="B6" i="39"/>
  <c r="F158" i="39"/>
  <c r="D137" i="39"/>
  <c r="F187" i="39"/>
  <c r="F165" i="39"/>
  <c r="F145" i="39"/>
  <c r="F135" i="39"/>
  <c r="B134" i="39"/>
  <c r="F108" i="39"/>
  <c r="B106" i="39"/>
  <c r="D84" i="39"/>
  <c r="D87" i="39"/>
  <c r="D81" i="39"/>
  <c r="D58" i="39"/>
  <c r="N57" i="39"/>
  <c r="D34" i="39"/>
  <c r="F48" i="39"/>
  <c r="B35" i="39"/>
  <c r="F24" i="39"/>
  <c r="F163" i="39"/>
  <c r="D135" i="39"/>
  <c r="F117" i="39"/>
  <c r="D85" i="39"/>
  <c r="F50" i="39"/>
  <c r="B36" i="39"/>
  <c r="F10" i="39"/>
  <c r="B184" i="39"/>
  <c r="F160" i="39"/>
  <c r="F136" i="39"/>
  <c r="B132" i="39"/>
  <c r="F122" i="39"/>
  <c r="B107" i="39"/>
  <c r="F116" i="39"/>
  <c r="F83" i="39"/>
  <c r="D88" i="39"/>
  <c r="F73" i="39"/>
  <c r="F56" i="39"/>
  <c r="F68" i="39"/>
  <c r="F42" i="39"/>
  <c r="F35" i="39"/>
  <c r="D12" i="39"/>
  <c r="F13" i="39"/>
  <c r="F23" i="39"/>
  <c r="F197" i="39"/>
  <c r="F182" i="39"/>
  <c r="F159" i="39"/>
  <c r="F133" i="39"/>
  <c r="F144" i="39"/>
  <c r="F114" i="39"/>
  <c r="F119" i="39"/>
  <c r="F92" i="39"/>
  <c r="F90" i="39"/>
  <c r="B85" i="39"/>
  <c r="F65" i="39"/>
  <c r="F71" i="39"/>
  <c r="D59" i="39"/>
  <c r="F25" i="39"/>
  <c r="B33" i="39"/>
  <c r="D9" i="39"/>
  <c r="D10" i="39"/>
  <c r="B11" i="39"/>
  <c r="F191" i="39"/>
  <c r="F183" i="39"/>
  <c r="B159" i="39"/>
  <c r="F140" i="39"/>
  <c r="F137" i="39"/>
  <c r="B108" i="39"/>
  <c r="F106" i="39"/>
  <c r="F86" i="39"/>
  <c r="B86" i="39"/>
  <c r="B82" i="39"/>
  <c r="F58" i="39"/>
  <c r="B58" i="39"/>
  <c r="F61" i="39"/>
  <c r="F49" i="39"/>
  <c r="F46" i="39"/>
  <c r="F17" i="39"/>
  <c r="D13" i="39"/>
  <c r="D8" i="39"/>
  <c r="F189" i="39"/>
  <c r="F164" i="39"/>
  <c r="D133" i="39"/>
  <c r="F121" i="39"/>
  <c r="F118" i="39"/>
  <c r="B84" i="39"/>
  <c r="F97" i="39"/>
  <c r="F84" i="39"/>
  <c r="B56" i="39"/>
  <c r="F70" i="39"/>
  <c r="B59" i="39"/>
  <c r="D36" i="39"/>
  <c r="F32" i="39"/>
  <c r="F11" i="39"/>
  <c r="B10" i="39"/>
  <c r="D7" i="39"/>
  <c r="D131" i="39"/>
  <c r="D31" i="39"/>
  <c r="D106" i="39"/>
  <c r="D82" i="39"/>
  <c r="O164" i="39" l="1"/>
  <c r="O165" i="39" s="1"/>
  <c r="O166" i="39" s="1"/>
  <c r="O167" i="39" s="1"/>
  <c r="O168" i="39" s="1"/>
  <c r="O169" i="39" s="1"/>
  <c r="O170" i="39" s="1"/>
  <c r="O171" i="39" s="1"/>
  <c r="O172" i="39" s="1"/>
  <c r="G164" i="39"/>
  <c r="P164" i="39"/>
  <c r="F190" i="39"/>
  <c r="F26" i="39"/>
  <c r="O159" i="39"/>
  <c r="P159" i="39" s="1"/>
  <c r="G159" i="39"/>
  <c r="F198" i="39"/>
  <c r="F199" i="39" s="1"/>
  <c r="F200" i="39" s="1"/>
  <c r="F201" i="39" s="1"/>
  <c r="F195" i="39"/>
  <c r="F196" i="39"/>
  <c r="O160" i="39"/>
  <c r="P160" i="39" s="1"/>
  <c r="G160" i="39"/>
  <c r="F51" i="39"/>
  <c r="O163" i="39"/>
  <c r="P163" i="39" s="1"/>
  <c r="G163" i="39"/>
  <c r="F146" i="39"/>
  <c r="F167" i="39"/>
  <c r="L154" i="39"/>
  <c r="G165" i="39"/>
  <c r="O158" i="39"/>
  <c r="P158" i="39" s="1"/>
  <c r="G158" i="39"/>
  <c r="F101" i="39"/>
  <c r="F124" i="39"/>
  <c r="B188" i="39"/>
  <c r="O156" i="39"/>
  <c r="P156" i="39" s="1"/>
  <c r="F193" i="39"/>
  <c r="F192" i="39"/>
  <c r="B156" i="39"/>
  <c r="B158" i="39"/>
  <c r="O161" i="39"/>
  <c r="P161" i="39" s="1"/>
  <c r="G161" i="39"/>
  <c r="F76" i="39"/>
  <c r="O157" i="39"/>
  <c r="P157" i="39" s="1"/>
  <c r="G157" i="39"/>
  <c r="O162" i="39"/>
  <c r="P162" i="39" s="1"/>
  <c r="G162" i="39"/>
  <c r="B183" i="39"/>
  <c r="P165" i="39"/>
  <c r="P167" i="39"/>
  <c r="F168" i="39"/>
  <c r="L43" i="48"/>
  <c r="I43" i="48"/>
  <c r="M43" i="48" s="1"/>
  <c r="D132" i="39"/>
  <c r="D107" i="39"/>
  <c r="D56" i="39"/>
  <c r="D32" i="39"/>
  <c r="P168" i="39" l="1"/>
  <c r="F169" i="39"/>
  <c r="D3" i="49"/>
  <c r="B3" i="49"/>
  <c r="D2" i="49"/>
  <c r="B2" i="49"/>
  <c r="U160" i="49"/>
  <c r="U172" i="49"/>
  <c r="U167" i="49"/>
  <c r="P160" i="49"/>
  <c r="U171" i="49"/>
  <c r="U159" i="49"/>
  <c r="N58" i="49"/>
  <c r="U156" i="49"/>
  <c r="U163" i="49"/>
  <c r="U166" i="49"/>
  <c r="P157" i="49"/>
  <c r="U165" i="49"/>
  <c r="U162" i="49"/>
  <c r="U169" i="49"/>
  <c r="U168" i="49"/>
  <c r="U161" i="49"/>
  <c r="U158" i="49"/>
  <c r="U170" i="49"/>
  <c r="U157" i="49"/>
  <c r="U164" i="49"/>
  <c r="N57" i="49"/>
  <c r="P159" i="49"/>
  <c r="P161" i="49"/>
  <c r="F170" i="39" l="1"/>
  <c r="P169" i="39"/>
  <c r="T164" i="50"/>
  <c r="F164" i="50"/>
  <c r="T163" i="50"/>
  <c r="F163" i="50"/>
  <c r="G164" i="50" s="1"/>
  <c r="X162" i="50"/>
  <c r="X168" i="50"/>
  <c r="X164" i="50"/>
  <c r="X166" i="50"/>
  <c r="X165" i="50"/>
  <c r="X172" i="50"/>
  <c r="X170" i="50"/>
  <c r="X171" i="50"/>
  <c r="X169" i="50"/>
  <c r="X167" i="50"/>
  <c r="X163" i="50"/>
  <c r="P170" i="39" l="1"/>
  <c r="F171" i="39"/>
  <c r="T162" i="50"/>
  <c r="F162" i="50"/>
  <c r="G163" i="50" s="1"/>
  <c r="T161" i="50"/>
  <c r="F161" i="50"/>
  <c r="G162" i="50" s="1"/>
  <c r="T160" i="50"/>
  <c r="F160" i="50"/>
  <c r="G161" i="50" s="1"/>
  <c r="T159" i="50"/>
  <c r="F159" i="50"/>
  <c r="G160" i="50" s="1"/>
  <c r="T158" i="50"/>
  <c r="F158" i="50"/>
  <c r="G159" i="50" s="1"/>
  <c r="T157" i="50"/>
  <c r="F157" i="50"/>
  <c r="G158" i="50" s="1"/>
  <c r="T156" i="50"/>
  <c r="F156" i="50"/>
  <c r="G157" i="50" s="1"/>
  <c r="X161" i="50"/>
  <c r="W161" i="50"/>
  <c r="W160" i="50"/>
  <c r="M140" i="50"/>
  <c r="M138" i="50"/>
  <c r="M134" i="50"/>
  <c r="M133" i="50"/>
  <c r="X157" i="50"/>
  <c r="M135" i="50"/>
  <c r="X156" i="50"/>
  <c r="M137" i="50"/>
  <c r="M139" i="50"/>
  <c r="M131" i="50"/>
  <c r="X160" i="50"/>
  <c r="M136" i="50"/>
  <c r="M142" i="50"/>
  <c r="P131" i="50"/>
  <c r="M141" i="50"/>
  <c r="W159" i="50"/>
  <c r="X158" i="50"/>
  <c r="W157" i="50"/>
  <c r="X159" i="50"/>
  <c r="F172" i="39" l="1"/>
  <c r="P172" i="39" s="1"/>
  <c r="P171" i="39"/>
  <c r="M132" i="50"/>
  <c r="M122" i="50"/>
  <c r="M145" i="50" l="1"/>
  <c r="M144" i="50"/>
  <c r="M143" i="50"/>
  <c r="M123" i="50"/>
  <c r="M120" i="50"/>
  <c r="M121" i="50" l="1"/>
  <c r="M116" i="50"/>
  <c r="M119" i="50"/>
  <c r="M118" i="50" l="1"/>
  <c r="M117" i="50"/>
  <c r="M114" i="50"/>
  <c r="M115" i="50" l="1"/>
  <c r="M109" i="50"/>
  <c r="M111" i="50"/>
  <c r="M113" i="50"/>
  <c r="M108" i="50"/>
  <c r="P106" i="50"/>
  <c r="M106" i="50"/>
  <c r="M112" i="50"/>
  <c r="M110" i="50"/>
  <c r="M107" i="50" l="1"/>
  <c r="M98" i="50"/>
  <c r="M100" i="50"/>
  <c r="M99" i="50" l="1"/>
  <c r="M94" i="50"/>
  <c r="M97" i="50"/>
  <c r="M96" i="50" l="1"/>
  <c r="M95" i="50"/>
  <c r="M91" i="50"/>
  <c r="M93" i="50" l="1"/>
  <c r="M92" i="50"/>
  <c r="M83" i="50"/>
  <c r="M87" i="50"/>
  <c r="M86" i="50"/>
  <c r="P81" i="50"/>
  <c r="M84" i="50"/>
  <c r="M90" i="50"/>
  <c r="M89" i="50"/>
  <c r="M88" i="50"/>
  <c r="M85" i="50"/>
  <c r="M81" i="50"/>
  <c r="M82" i="50" l="1"/>
  <c r="M72" i="50"/>
  <c r="M75" i="50"/>
  <c r="M69" i="50"/>
  <c r="M74" i="50"/>
  <c r="M73" i="50"/>
  <c r="M71" i="50" l="1"/>
  <c r="M70" i="50"/>
  <c r="M66" i="50"/>
  <c r="M68" i="50" l="1"/>
  <c r="M67" i="50"/>
  <c r="M44" i="50"/>
  <c r="M49" i="50"/>
  <c r="M60" i="50"/>
  <c r="P56" i="50"/>
  <c r="M47" i="50"/>
  <c r="M56" i="50"/>
  <c r="M64" i="50"/>
  <c r="M61" i="50"/>
  <c r="M58" i="50"/>
  <c r="M50" i="50"/>
  <c r="M57" i="50"/>
  <c r="M48" i="50"/>
  <c r="M59" i="50"/>
  <c r="M63" i="50"/>
  <c r="M65" i="50"/>
  <c r="M62" i="50"/>
  <c r="M46" i="50" l="1"/>
  <c r="M45" i="50"/>
  <c r="M41" i="50"/>
  <c r="M43" i="50" l="1"/>
  <c r="M42" i="50"/>
  <c r="M36" i="50"/>
  <c r="F197" i="42"/>
  <c r="M34" i="50"/>
  <c r="M40" i="50"/>
  <c r="M38" i="50"/>
  <c r="M37" i="50"/>
  <c r="M31" i="50"/>
  <c r="M32" i="50"/>
  <c r="M39" i="50"/>
  <c r="M35" i="50"/>
  <c r="P31" i="50"/>
  <c r="M33" i="50"/>
  <c r="F198" i="42" l="1"/>
  <c r="F199" i="42" s="1"/>
  <c r="F200" i="42" s="1"/>
  <c r="F201" i="42" s="1"/>
  <c r="F194" i="42"/>
  <c r="F196" i="42" l="1"/>
  <c r="F195" i="42"/>
  <c r="F191" i="42"/>
  <c r="F193" i="42" l="1"/>
  <c r="F192" i="42"/>
  <c r="F189" i="42"/>
  <c r="F190" i="42" l="1"/>
  <c r="B186" i="42"/>
  <c r="F188" i="42"/>
  <c r="F187" i="42"/>
  <c r="F186" i="42"/>
  <c r="B187" i="42"/>
  <c r="B188" i="42" l="1"/>
  <c r="B182" i="42"/>
  <c r="B185" i="42"/>
  <c r="F185" i="42"/>
  <c r="F183" i="42"/>
  <c r="F182" i="42"/>
  <c r="B184" i="42"/>
  <c r="F184" i="42"/>
  <c r="B183" i="42" l="1"/>
  <c r="I165" i="42"/>
  <c r="F181" i="42"/>
  <c r="B181" i="42"/>
  <c r="T164" i="42" l="1"/>
  <c r="I164" i="42"/>
  <c r="T165" i="42" l="1"/>
  <c r="F165" i="42" s="1"/>
  <c r="F164" i="42"/>
  <c r="T163" i="42"/>
  <c r="I163" i="42"/>
  <c r="G165" i="42" l="1"/>
  <c r="F163" i="42"/>
  <c r="G164" i="42" s="1"/>
  <c r="T162" i="42" l="1"/>
  <c r="F162" i="42"/>
  <c r="G163" i="42" s="1"/>
  <c r="I162" i="42"/>
  <c r="V161" i="42"/>
  <c r="V162" i="42" l="1"/>
  <c r="T161" i="42"/>
  <c r="I161" i="42"/>
  <c r="F161" i="42" l="1"/>
  <c r="G162" i="42" s="1"/>
  <c r="T160" i="42"/>
  <c r="V160" i="42"/>
  <c r="I160" i="42"/>
  <c r="I167" i="42" l="1"/>
  <c r="F160" i="42"/>
  <c r="G161" i="42" s="1"/>
  <c r="I168" i="42" l="1"/>
  <c r="T167" i="42"/>
  <c r="F167" i="42" s="1"/>
  <c r="V159" i="42"/>
  <c r="I169" i="42" l="1"/>
  <c r="T168" i="42"/>
  <c r="F168" i="42" s="1"/>
  <c r="T159" i="42"/>
  <c r="I159" i="42"/>
  <c r="I170" i="42" l="1"/>
  <c r="T169" i="42"/>
  <c r="F169" i="42" s="1"/>
  <c r="F159" i="42"/>
  <c r="G160" i="42" s="1"/>
  <c r="I171" i="42" l="1"/>
  <c r="T170" i="42"/>
  <c r="F170" i="42" s="1"/>
  <c r="T158" i="42"/>
  <c r="I158" i="42"/>
  <c r="I172" i="42" l="1"/>
  <c r="T172" i="42" s="1"/>
  <c r="F172" i="42" s="1"/>
  <c r="T171" i="42"/>
  <c r="F171" i="42" s="1"/>
  <c r="F158" i="42"/>
  <c r="G159" i="42" s="1"/>
  <c r="V157" i="42"/>
  <c r="V158" i="42" l="1"/>
  <c r="T157" i="42"/>
  <c r="I157" i="42"/>
  <c r="M157" i="42"/>
  <c r="F157" i="42" l="1"/>
  <c r="G158" i="42" s="1"/>
  <c r="M159" i="42"/>
  <c r="T156" i="42" l="1"/>
  <c r="M156" i="42"/>
  <c r="I156" i="42"/>
  <c r="P156" i="42"/>
  <c r="M161" i="42"/>
  <c r="F156" i="42" l="1"/>
  <c r="G157" i="42" s="1"/>
  <c r="M163" i="42"/>
  <c r="M158" i="42"/>
  <c r="R156" i="42" l="1"/>
  <c r="M165" i="42"/>
  <c r="M160" i="42"/>
  <c r="U161" i="42" l="1"/>
  <c r="B161" i="42" s="1"/>
  <c r="U162" i="42"/>
  <c r="B162" i="42" s="1"/>
  <c r="U160" i="42"/>
  <c r="B160" i="42" s="1"/>
  <c r="U159" i="42"/>
  <c r="B159" i="42" s="1"/>
  <c r="U157" i="42"/>
  <c r="B157" i="42" s="1"/>
  <c r="B156" i="42" s="1"/>
  <c r="U158" i="42"/>
  <c r="B158" i="42" s="1"/>
  <c r="M140" i="42"/>
  <c r="P131" i="42"/>
  <c r="M137" i="42"/>
  <c r="M133" i="42"/>
  <c r="M138" i="42"/>
  <c r="M167" i="42"/>
  <c r="M142" i="42"/>
  <c r="M136" i="42"/>
  <c r="M139" i="42"/>
  <c r="M162" i="42"/>
  <c r="M135" i="42"/>
  <c r="M141" i="42"/>
  <c r="M134" i="42"/>
  <c r="M131" i="42"/>
  <c r="M132" i="42" l="1"/>
  <c r="F135" i="42"/>
  <c r="F132" i="42"/>
  <c r="D136" i="42"/>
  <c r="F141" i="42"/>
  <c r="B136" i="42"/>
  <c r="F142" i="42"/>
  <c r="F140" i="42"/>
  <c r="D133" i="42"/>
  <c r="F138" i="42"/>
  <c r="F131" i="42"/>
  <c r="F136" i="42"/>
  <c r="F137" i="42"/>
  <c r="D134" i="42"/>
  <c r="B132" i="42"/>
  <c r="D135" i="42"/>
  <c r="B133" i="42"/>
  <c r="B131" i="42"/>
  <c r="D137" i="42"/>
  <c r="B134" i="42"/>
  <c r="F134" i="42"/>
  <c r="D138" i="42"/>
  <c r="M122" i="42"/>
  <c r="M164" i="42"/>
  <c r="F133" i="42"/>
  <c r="B135" i="42"/>
  <c r="M169" i="42"/>
  <c r="F139" i="42"/>
  <c r="B137" i="42" l="1"/>
  <c r="M145" i="42"/>
  <c r="M144" i="42"/>
  <c r="M143" i="42"/>
  <c r="M123" i="42"/>
  <c r="F143" i="42"/>
  <c r="M166" i="42"/>
  <c r="F122" i="42"/>
  <c r="F145" i="42"/>
  <c r="D131" i="42"/>
  <c r="F144" i="42"/>
  <c r="F123" i="42"/>
  <c r="M171" i="42"/>
  <c r="F124" i="42" l="1"/>
  <c r="F146" i="42"/>
  <c r="M120" i="42"/>
  <c r="M168" i="42"/>
  <c r="D132" i="42"/>
  <c r="M121" i="42" l="1"/>
  <c r="M116" i="42"/>
  <c r="F120" i="42"/>
  <c r="M119" i="42"/>
  <c r="F121" i="42"/>
  <c r="M170" i="42"/>
  <c r="M118" i="42" l="1"/>
  <c r="M117" i="42"/>
  <c r="M114" i="42"/>
  <c r="M172" i="42"/>
  <c r="F118" i="42"/>
  <c r="F119" i="42"/>
  <c r="F116" i="42"/>
  <c r="F117" i="42"/>
  <c r="M115" i="42" l="1"/>
  <c r="M109" i="42"/>
  <c r="M112" i="42"/>
  <c r="M108" i="42"/>
  <c r="M113" i="42"/>
  <c r="M111" i="42"/>
  <c r="M106" i="42"/>
  <c r="F114" i="42"/>
  <c r="F115" i="42"/>
  <c r="M110" i="42"/>
  <c r="P106" i="42"/>
  <c r="D113" i="42"/>
  <c r="M107" i="42" l="1"/>
  <c r="M100" i="42"/>
  <c r="F109" i="42"/>
  <c r="F110" i="42"/>
  <c r="D111" i="42"/>
  <c r="F111" i="42"/>
  <c r="F108" i="42"/>
  <c r="B106" i="42"/>
  <c r="D112" i="42"/>
  <c r="D110" i="42"/>
  <c r="F112" i="42"/>
  <c r="F113" i="42"/>
  <c r="B107" i="42"/>
  <c r="F107" i="42"/>
  <c r="B111" i="42"/>
  <c r="D109" i="42"/>
  <c r="B110" i="42"/>
  <c r="B109" i="42"/>
  <c r="B108" i="42"/>
  <c r="D108" i="42"/>
  <c r="F106" i="42"/>
  <c r="B112" i="42" l="1"/>
  <c r="D106" i="42"/>
  <c r="F100" i="42"/>
  <c r="M98" i="42"/>
  <c r="F101" i="42" l="1"/>
  <c r="M99" i="42"/>
  <c r="M97" i="42"/>
  <c r="M94" i="42"/>
  <c r="F98" i="42"/>
  <c r="D107" i="42"/>
  <c r="F99" i="42"/>
  <c r="M96" i="42" l="1"/>
  <c r="M95" i="42"/>
  <c r="F97" i="42"/>
  <c r="F96" i="42"/>
  <c r="M91" i="42"/>
  <c r="F95" i="42"/>
  <c r="F94" i="42"/>
  <c r="M93" i="42" l="1"/>
  <c r="M92" i="42"/>
  <c r="M81" i="42"/>
  <c r="M88" i="42"/>
  <c r="M87" i="42"/>
  <c r="M83" i="42"/>
  <c r="M90" i="42"/>
  <c r="M85" i="42"/>
  <c r="P81" i="42"/>
  <c r="M86" i="42"/>
  <c r="F93" i="42"/>
  <c r="M89" i="42"/>
  <c r="M84" i="42"/>
  <c r="F91" i="42"/>
  <c r="F92" i="42"/>
  <c r="M82" i="42" l="1"/>
  <c r="F90" i="42"/>
  <c r="F86" i="42"/>
  <c r="B82" i="42"/>
  <c r="F81" i="42"/>
  <c r="D88" i="42"/>
  <c r="F83" i="42"/>
  <c r="F84" i="42"/>
  <c r="D84" i="42"/>
  <c r="F85" i="42"/>
  <c r="B85" i="42"/>
  <c r="D86" i="42"/>
  <c r="D83" i="42"/>
  <c r="B84" i="42"/>
  <c r="B83" i="42"/>
  <c r="F89" i="42"/>
  <c r="F88" i="42"/>
  <c r="D87" i="42"/>
  <c r="B86" i="42"/>
  <c r="D85" i="42"/>
  <c r="M75" i="42"/>
  <c r="F87" i="42"/>
  <c r="B81" i="42"/>
  <c r="F82" i="42"/>
  <c r="B87" i="42" l="1"/>
  <c r="M72" i="42"/>
  <c r="F75" i="42"/>
  <c r="M74" i="42"/>
  <c r="D81" i="42"/>
  <c r="M69" i="42"/>
  <c r="M73" i="42"/>
  <c r="F76" i="42" l="1"/>
  <c r="M71" i="42"/>
  <c r="M70" i="42"/>
  <c r="F73" i="42"/>
  <c r="F71" i="42"/>
  <c r="F70" i="42"/>
  <c r="F72" i="42"/>
  <c r="F74" i="42"/>
  <c r="M66" i="42"/>
  <c r="F69" i="42"/>
  <c r="D82" i="42"/>
  <c r="M68" i="42" l="1"/>
  <c r="M67" i="42"/>
  <c r="M57" i="42"/>
  <c r="M60" i="42"/>
  <c r="M62" i="42"/>
  <c r="M58" i="42"/>
  <c r="M64" i="42"/>
  <c r="M61" i="42"/>
  <c r="P56" i="42"/>
  <c r="F66" i="42"/>
  <c r="M56" i="42"/>
  <c r="M59" i="42"/>
  <c r="M65" i="42"/>
  <c r="F67" i="42"/>
  <c r="M63" i="42"/>
  <c r="F68" i="42"/>
  <c r="C16" i="44" l="1"/>
  <c r="D16" i="44" s="1"/>
  <c r="C15" i="44"/>
  <c r="D15" i="44" s="1"/>
  <c r="C14" i="44"/>
  <c r="D14" i="44" s="1"/>
  <c r="C13" i="44"/>
  <c r="D13" i="44" s="1"/>
  <c r="C12" i="44"/>
  <c r="D12" i="44" s="1"/>
  <c r="C11" i="44"/>
  <c r="D11" i="44" s="1"/>
  <c r="C10" i="44"/>
  <c r="D10" i="44" s="1"/>
  <c r="C9" i="44"/>
  <c r="D9" i="44" s="1"/>
  <c r="A3" i="44"/>
  <c r="A4" i="44" s="1"/>
  <c r="B6" i="42"/>
  <c r="D60" i="42"/>
  <c r="F57" i="42"/>
  <c r="F22" i="42"/>
  <c r="M34" i="42"/>
  <c r="E9" i="44"/>
  <c r="F9" i="42"/>
  <c r="M50" i="42"/>
  <c r="F11" i="42"/>
  <c r="F25" i="42"/>
  <c r="F10" i="42"/>
  <c r="F15" i="42"/>
  <c r="F61" i="42"/>
  <c r="D61" i="42"/>
  <c r="M38" i="42"/>
  <c r="F8" i="42"/>
  <c r="M36" i="42"/>
  <c r="M31" i="42"/>
  <c r="F16" i="42"/>
  <c r="M48" i="42"/>
  <c r="B58" i="42"/>
  <c r="M41" i="42"/>
  <c r="F19" i="42"/>
  <c r="D62" i="42"/>
  <c r="E10" i="44"/>
  <c r="M37" i="42"/>
  <c r="F60" i="42"/>
  <c r="E16" i="44"/>
  <c r="F21" i="42"/>
  <c r="P31" i="42"/>
  <c r="F23" i="42"/>
  <c r="M44" i="42"/>
  <c r="F58" i="42"/>
  <c r="M33" i="42"/>
  <c r="F64" i="42"/>
  <c r="E12" i="44"/>
  <c r="B10" i="42"/>
  <c r="B61" i="42"/>
  <c r="F63" i="42"/>
  <c r="M40" i="42"/>
  <c r="B56" i="42"/>
  <c r="D58" i="42"/>
  <c r="D11" i="42"/>
  <c r="E15" i="44"/>
  <c r="F65" i="42"/>
  <c r="F7" i="42"/>
  <c r="E11" i="44"/>
  <c r="M39" i="42"/>
  <c r="E14" i="44"/>
  <c r="B8" i="42"/>
  <c r="F6" i="42"/>
  <c r="F20" i="42"/>
  <c r="F59" i="42"/>
  <c r="F14" i="42"/>
  <c r="D10" i="42"/>
  <c r="F24" i="42"/>
  <c r="F13" i="42"/>
  <c r="B11" i="42"/>
  <c r="F17" i="42"/>
  <c r="B57" i="42"/>
  <c r="F62" i="42"/>
  <c r="M47" i="42"/>
  <c r="B9" i="42"/>
  <c r="D7" i="42"/>
  <c r="D59" i="42"/>
  <c r="M35" i="42"/>
  <c r="F12" i="42"/>
  <c r="B60" i="42"/>
  <c r="F18" i="42"/>
  <c r="D8" i="42"/>
  <c r="D12" i="42"/>
  <c r="B7" i="42"/>
  <c r="B59" i="42"/>
  <c r="M49" i="42"/>
  <c r="D13" i="42"/>
  <c r="E13" i="44"/>
  <c r="F56" i="42"/>
  <c r="M32" i="42"/>
  <c r="D9" i="42"/>
  <c r="D63" i="42"/>
  <c r="B12" i="42" l="1"/>
  <c r="F26" i="42"/>
  <c r="M46" i="42"/>
  <c r="M45" i="42"/>
  <c r="M43" i="42"/>
  <c r="M42" i="42"/>
  <c r="B62" i="42"/>
  <c r="A5" i="44"/>
  <c r="C4" i="44"/>
  <c r="D4" i="44" s="1"/>
  <c r="C3" i="44"/>
  <c r="D3" i="44" s="1"/>
  <c r="D2" i="44"/>
  <c r="C2" i="44"/>
  <c r="B36" i="42"/>
  <c r="F46" i="42"/>
  <c r="D35" i="42"/>
  <c r="F40" i="42"/>
  <c r="F35" i="42"/>
  <c r="F32" i="42"/>
  <c r="D56" i="42"/>
  <c r="B34" i="42"/>
  <c r="B35" i="42"/>
  <c r="F50" i="42"/>
  <c r="B32" i="42"/>
  <c r="F41" i="42"/>
  <c r="F39" i="42"/>
  <c r="F36" i="42"/>
  <c r="F44" i="42"/>
  <c r="F48" i="42"/>
  <c r="D36" i="42"/>
  <c r="B33" i="42"/>
  <c r="F33" i="42"/>
  <c r="F47" i="42"/>
  <c r="F31" i="42"/>
  <c r="B31" i="42"/>
  <c r="F37" i="42"/>
  <c r="E4" i="44"/>
  <c r="F49" i="42"/>
  <c r="D34" i="42"/>
  <c r="E3" i="44"/>
  <c r="F34" i="42"/>
  <c r="F38" i="42"/>
  <c r="D6" i="42"/>
  <c r="F43" i="42"/>
  <c r="D38" i="42"/>
  <c r="D37" i="42"/>
  <c r="E2" i="44"/>
  <c r="F45" i="42"/>
  <c r="F42" i="42"/>
  <c r="B37" i="42" l="1"/>
  <c r="F51" i="42"/>
  <c r="A6" i="44"/>
  <c r="C5" i="44"/>
  <c r="D5" i="44" s="1"/>
  <c r="D57" i="42"/>
  <c r="D31" i="42"/>
  <c r="E5" i="44"/>
  <c r="A7" i="44" l="1"/>
  <c r="C6" i="44"/>
  <c r="D6" i="44" s="1"/>
  <c r="E6" i="44"/>
  <c r="D32" i="42"/>
  <c r="A8" i="44" l="1"/>
  <c r="C8" i="44" s="1"/>
  <c r="D8" i="44" s="1"/>
  <c r="C7" i="44"/>
  <c r="D7" i="44" s="1"/>
  <c r="E7" i="44"/>
  <c r="D33" i="42"/>
  <c r="C5" i="52" l="1"/>
  <c r="D82" i="46"/>
  <c r="D38" i="46"/>
  <c r="D57" i="46"/>
  <c r="D56" i="46"/>
  <c r="D18" i="46"/>
  <c r="D34" i="46"/>
  <c r="D120" i="46"/>
  <c r="D21" i="46"/>
  <c r="D108" i="46"/>
  <c r="D103" i="46"/>
  <c r="D70" i="46"/>
  <c r="D131" i="46"/>
  <c r="D122" i="46"/>
  <c r="D61" i="46"/>
  <c r="D62" i="46"/>
  <c r="D5" i="46"/>
  <c r="D76" i="46"/>
  <c r="D51" i="46"/>
  <c r="D115" i="46"/>
  <c r="D17" i="46"/>
  <c r="D101" i="46"/>
  <c r="D65" i="46"/>
  <c r="D58" i="46"/>
  <c r="D94" i="46"/>
  <c r="D118" i="46"/>
  <c r="D28" i="46"/>
  <c r="D20" i="46"/>
  <c r="D107" i="46"/>
  <c r="D4" i="46"/>
  <c r="D93" i="46"/>
  <c r="D95" i="46"/>
  <c r="D106" i="46"/>
  <c r="D92" i="46"/>
  <c r="D63" i="46"/>
  <c r="D83" i="46"/>
  <c r="D117" i="46"/>
  <c r="D7" i="46"/>
  <c r="D124" i="46"/>
  <c r="D35" i="46"/>
  <c r="D53" i="46"/>
  <c r="D125" i="46"/>
  <c r="D54" i="46"/>
  <c r="D12" i="46"/>
  <c r="D37" i="46"/>
  <c r="D13" i="46"/>
  <c r="D86" i="46"/>
  <c r="D73" i="46"/>
  <c r="D78" i="46"/>
  <c r="D77" i="46"/>
  <c r="D129" i="46"/>
  <c r="D36" i="46"/>
  <c r="D75" i="46"/>
  <c r="D114" i="46"/>
  <c r="D74" i="46"/>
  <c r="D128" i="46"/>
  <c r="D60" i="46"/>
  <c r="D40" i="46"/>
  <c r="D52" i="46"/>
  <c r="D41" i="46"/>
  <c r="D33" i="46"/>
  <c r="D49" i="46"/>
  <c r="D85" i="46"/>
  <c r="D26" i="46"/>
  <c r="D10" i="46"/>
  <c r="D121" i="46"/>
  <c r="D55" i="46"/>
  <c r="D50" i="46"/>
  <c r="D80" i="46"/>
  <c r="D87" i="46"/>
  <c r="D32" i="46"/>
  <c r="D9" i="46"/>
  <c r="D27" i="46"/>
  <c r="D71" i="46"/>
  <c r="D29" i="46"/>
  <c r="D109" i="46"/>
  <c r="D116" i="46"/>
  <c r="D98" i="46"/>
  <c r="D6" i="46"/>
  <c r="D123" i="46"/>
  <c r="D39" i="46"/>
  <c r="D31" i="46"/>
  <c r="D104" i="46"/>
  <c r="D97" i="46"/>
  <c r="D16" i="46"/>
  <c r="D127" i="46"/>
  <c r="D11" i="46"/>
  <c r="D14" i="46"/>
  <c r="D48" i="46"/>
  <c r="D59" i="46"/>
  <c r="D43" i="46"/>
  <c r="D100" i="46"/>
  <c r="D84" i="46"/>
  <c r="D79" i="46"/>
  <c r="D64" i="46"/>
  <c r="D126" i="46"/>
  <c r="D19" i="46"/>
  <c r="D8" i="46"/>
  <c r="D119" i="46"/>
  <c r="D72" i="46"/>
  <c r="D105" i="46"/>
  <c r="D15" i="46"/>
  <c r="D42" i="46"/>
  <c r="D81" i="46"/>
  <c r="D130" i="46"/>
  <c r="D96" i="46"/>
  <c r="D102" i="46"/>
  <c r="D99" i="46"/>
  <c r="D30" i="46"/>
  <c r="A115" i="46" l="1"/>
  <c r="A116" i="46" s="1"/>
  <c r="A117" i="46" s="1"/>
  <c r="A118" i="46" s="1"/>
  <c r="A119" i="46" s="1"/>
  <c r="A120" i="46" s="1"/>
  <c r="A121" i="46" s="1"/>
  <c r="A122" i="46" s="1"/>
  <c r="A123" i="46" s="1"/>
  <c r="A124" i="46" s="1"/>
  <c r="A125" i="46" s="1"/>
  <c r="A126" i="46" s="1"/>
  <c r="A127" i="46" s="1"/>
  <c r="A128" i="46" s="1"/>
  <c r="A129" i="46" s="1"/>
  <c r="A130" i="46" s="1"/>
  <c r="A131" i="46" s="1"/>
  <c r="A114" i="46"/>
  <c r="A93" i="46"/>
  <c r="A94" i="46" s="1"/>
  <c r="A95" i="46" s="1"/>
  <c r="A96" i="46" s="1"/>
  <c r="A97" i="46" s="1"/>
  <c r="A98" i="46" s="1"/>
  <c r="A99" i="46" s="1"/>
  <c r="A100" i="46" s="1"/>
  <c r="A101" i="46" s="1"/>
  <c r="A102" i="46" s="1"/>
  <c r="A103" i="46" s="1"/>
  <c r="A104" i="46" s="1"/>
  <c r="A105" i="46" s="1"/>
  <c r="A106" i="46" s="1"/>
  <c r="A107" i="46" s="1"/>
  <c r="A108" i="46" s="1"/>
  <c r="A109" i="46" s="1"/>
  <c r="A92" i="46"/>
  <c r="A71" i="46"/>
  <c r="A72" i="46" s="1"/>
  <c r="A73" i="46" s="1"/>
  <c r="A74" i="46" s="1"/>
  <c r="A75" i="46" s="1"/>
  <c r="A76" i="46" s="1"/>
  <c r="A77" i="46" s="1"/>
  <c r="A78" i="46" s="1"/>
  <c r="A79" i="46" s="1"/>
  <c r="A80" i="46" s="1"/>
  <c r="A81" i="46" s="1"/>
  <c r="A82" i="46" s="1"/>
  <c r="A83" i="46" s="1"/>
  <c r="A84" i="46" s="1"/>
  <c r="A85" i="46" s="1"/>
  <c r="A86" i="46" s="1"/>
  <c r="A87" i="46" s="1"/>
  <c r="A70" i="46"/>
  <c r="A49" i="46"/>
  <c r="A50" i="46" s="1"/>
  <c r="A51" i="46" s="1"/>
  <c r="A52" i="46" s="1"/>
  <c r="A53" i="46" s="1"/>
  <c r="A54" i="46" s="1"/>
  <c r="A55" i="46" s="1"/>
  <c r="A56" i="46" s="1"/>
  <c r="A57" i="46" s="1"/>
  <c r="A58" i="46" s="1"/>
  <c r="A59" i="46" s="1"/>
  <c r="A60" i="46" s="1"/>
  <c r="A61" i="46" s="1"/>
  <c r="A62" i="46" s="1"/>
  <c r="A63" i="46" s="1"/>
  <c r="A64" i="46" s="1"/>
  <c r="A65" i="46" s="1"/>
  <c r="A48" i="46"/>
  <c r="A27" i="46"/>
  <c r="A28" i="46" s="1"/>
  <c r="A29" i="46" s="1"/>
  <c r="A30" i="46" s="1"/>
  <c r="A31" i="46" s="1"/>
  <c r="A32" i="46" s="1"/>
  <c r="A33" i="46" s="1"/>
  <c r="A34" i="46" s="1"/>
  <c r="A35" i="46" s="1"/>
  <c r="A36" i="46" s="1"/>
  <c r="A37" i="46" s="1"/>
  <c r="A38" i="46" s="1"/>
  <c r="A39" i="46" s="1"/>
  <c r="A40" i="46" s="1"/>
  <c r="A41" i="46" s="1"/>
  <c r="A42" i="46" s="1"/>
  <c r="A43" i="46" s="1"/>
  <c r="A26" i="46"/>
  <c r="A5" i="46"/>
  <c r="A6" i="46" s="1"/>
  <c r="A7" i="46" s="1"/>
  <c r="A8" i="46" s="1"/>
  <c r="A9" i="46" s="1"/>
  <c r="A10" i="46" s="1"/>
  <c r="A11" i="46" s="1"/>
  <c r="A12" i="46" s="1"/>
  <c r="A13" i="46" s="1"/>
  <c r="A14" i="46" s="1"/>
  <c r="A15" i="46" s="1"/>
  <c r="A16" i="46" s="1"/>
  <c r="A17" i="46" s="1"/>
  <c r="A18" i="46" s="1"/>
  <c r="A19" i="46" s="1"/>
  <c r="A20" i="46" s="1"/>
  <c r="A21" i="46" s="1"/>
  <c r="A4" i="46"/>
  <c r="B7" i="48"/>
  <c r="B8" i="48"/>
  <c r="C106" i="39"/>
  <c r="C156" i="39"/>
  <c r="C131" i="39"/>
  <c r="C81" i="39"/>
  <c r="C181" i="39"/>
  <c r="C6" i="39"/>
  <c r="C31" i="39"/>
  <c r="C56" i="39"/>
  <c r="A188" i="39" l="1"/>
  <c r="A187" i="39"/>
  <c r="A186" i="39"/>
  <c r="A185" i="39"/>
  <c r="A184" i="39"/>
  <c r="A183" i="39"/>
  <c r="A182" i="39"/>
  <c r="E181" i="39"/>
  <c r="E182" i="39" s="1"/>
  <c r="E183" i="39" s="1"/>
  <c r="E184" i="39" s="1"/>
  <c r="E185" i="39" s="1"/>
  <c r="E186" i="39" s="1"/>
  <c r="E187" i="39" s="1"/>
  <c r="E188" i="39" s="1"/>
  <c r="E189" i="39" s="1"/>
  <c r="E190" i="39" s="1"/>
  <c r="E191" i="39" s="1"/>
  <c r="E192" i="39" s="1"/>
  <c r="E193" i="39" s="1"/>
  <c r="E194" i="39" s="1"/>
  <c r="E195" i="39" s="1"/>
  <c r="E196" i="39" s="1"/>
  <c r="E197" i="39" s="1"/>
  <c r="E198" i="39" s="1"/>
  <c r="E199" i="39" s="1"/>
  <c r="E200" i="39" s="1"/>
  <c r="E201" i="39" s="1"/>
  <c r="A181" i="39"/>
  <c r="A157" i="39"/>
  <c r="A158" i="39" s="1"/>
  <c r="A159" i="39" s="1"/>
  <c r="A160" i="39" s="1"/>
  <c r="A161" i="39" s="1"/>
  <c r="E156" i="39"/>
  <c r="E157" i="39" s="1"/>
  <c r="E158" i="39" s="1"/>
  <c r="E159" i="39" s="1"/>
  <c r="E160" i="39" s="1"/>
  <c r="E161" i="39" s="1"/>
  <c r="E162" i="39" s="1"/>
  <c r="E163" i="39" s="1"/>
  <c r="E164" i="39" s="1"/>
  <c r="E165" i="39" s="1"/>
  <c r="E166" i="39" s="1"/>
  <c r="A156" i="39"/>
  <c r="A136" i="39"/>
  <c r="A135" i="39"/>
  <c r="A134" i="39"/>
  <c r="A133" i="39"/>
  <c r="A132" i="39"/>
  <c r="E131" i="39"/>
  <c r="E132" i="39" s="1"/>
  <c r="E133" i="39" s="1"/>
  <c r="E134" i="39" s="1"/>
  <c r="E135" i="39" s="1"/>
  <c r="E136" i="39" s="1"/>
  <c r="E137" i="39" s="1"/>
  <c r="E138" i="39" s="1"/>
  <c r="E139" i="39" s="1"/>
  <c r="E140" i="39" s="1"/>
  <c r="E141" i="39" s="1"/>
  <c r="E142" i="39" s="1"/>
  <c r="E143" i="39" s="1"/>
  <c r="E144" i="39" s="1"/>
  <c r="E145" i="39" s="1"/>
  <c r="E146" i="39" s="1"/>
  <c r="A131" i="39"/>
  <c r="A111" i="39"/>
  <c r="A110" i="39"/>
  <c r="A109" i="39"/>
  <c r="A108" i="39"/>
  <c r="A107" i="39"/>
  <c r="E106" i="39"/>
  <c r="E107" i="39" s="1"/>
  <c r="E108" i="39" s="1"/>
  <c r="E109" i="39" s="1"/>
  <c r="E110" i="39" s="1"/>
  <c r="E111" i="39" s="1"/>
  <c r="E112" i="39" s="1"/>
  <c r="E113" i="39" s="1"/>
  <c r="E114" i="39" s="1"/>
  <c r="E115" i="39" s="1"/>
  <c r="E116" i="39" s="1"/>
  <c r="E117" i="39" s="1"/>
  <c r="E118" i="39" s="1"/>
  <c r="E119" i="39" s="1"/>
  <c r="E120" i="39" s="1"/>
  <c r="E121" i="39" s="1"/>
  <c r="E122" i="39" s="1"/>
  <c r="E123" i="39" s="1"/>
  <c r="E124" i="39" s="1"/>
  <c r="A106" i="39"/>
  <c r="A86" i="39"/>
  <c r="A85" i="39"/>
  <c r="A84" i="39"/>
  <c r="A83" i="39"/>
  <c r="A82" i="39"/>
  <c r="E81" i="39"/>
  <c r="E82" i="39" s="1"/>
  <c r="E83" i="39" s="1"/>
  <c r="E84" i="39" s="1"/>
  <c r="E85" i="39" s="1"/>
  <c r="E86" i="39" s="1"/>
  <c r="E87" i="39" s="1"/>
  <c r="E88" i="39" s="1"/>
  <c r="E89" i="39" s="1"/>
  <c r="E90" i="39" s="1"/>
  <c r="E91" i="39" s="1"/>
  <c r="E92" i="39" s="1"/>
  <c r="E93" i="39" s="1"/>
  <c r="E94" i="39" s="1"/>
  <c r="E95" i="39" s="1"/>
  <c r="E96" i="39" s="1"/>
  <c r="E97" i="39" s="1"/>
  <c r="E98" i="39" s="1"/>
  <c r="E99" i="39" s="1"/>
  <c r="E100" i="39" s="1"/>
  <c r="E101" i="39" s="1"/>
  <c r="A81" i="39"/>
  <c r="A61" i="39"/>
  <c r="A60" i="39"/>
  <c r="A59" i="39"/>
  <c r="A58" i="39"/>
  <c r="A57" i="39"/>
  <c r="E56" i="39"/>
  <c r="E57" i="39" s="1"/>
  <c r="E58" i="39" s="1"/>
  <c r="E59" i="39" s="1"/>
  <c r="E60" i="39" s="1"/>
  <c r="E61" i="39" s="1"/>
  <c r="E62" i="39" s="1"/>
  <c r="E63" i="39" s="1"/>
  <c r="E64" i="39" s="1"/>
  <c r="E65" i="39" s="1"/>
  <c r="E66" i="39" s="1"/>
  <c r="E67" i="39" s="1"/>
  <c r="E68" i="39" s="1"/>
  <c r="E69" i="39" s="1"/>
  <c r="E70" i="39" s="1"/>
  <c r="E71" i="39" s="1"/>
  <c r="E72" i="39" s="1"/>
  <c r="E73" i="39" s="1"/>
  <c r="E74" i="39" s="1"/>
  <c r="E75" i="39" s="1"/>
  <c r="E76" i="39" s="1"/>
  <c r="A56" i="39"/>
  <c r="A36" i="39"/>
  <c r="A35" i="39"/>
  <c r="A34" i="39"/>
  <c r="A33" i="39"/>
  <c r="A32" i="39"/>
  <c r="E31" i="39"/>
  <c r="E32" i="39" s="1"/>
  <c r="E33" i="39" s="1"/>
  <c r="E34" i="39" s="1"/>
  <c r="E35" i="39" s="1"/>
  <c r="E36" i="39" s="1"/>
  <c r="E37" i="39" s="1"/>
  <c r="E38" i="39" s="1"/>
  <c r="E39" i="39" s="1"/>
  <c r="E40" i="39" s="1"/>
  <c r="E41" i="39" s="1"/>
  <c r="E42" i="39" s="1"/>
  <c r="E43" i="39" s="1"/>
  <c r="E44" i="39" s="1"/>
  <c r="E45" i="39" s="1"/>
  <c r="E46" i="39" s="1"/>
  <c r="E47" i="39" s="1"/>
  <c r="E48" i="39" s="1"/>
  <c r="E49" i="39" s="1"/>
  <c r="E50" i="39" s="1"/>
  <c r="E51" i="39" s="1"/>
  <c r="A31" i="39"/>
  <c r="A11" i="39"/>
  <c r="A10" i="39"/>
  <c r="A9" i="39"/>
  <c r="A8" i="39"/>
  <c r="A7" i="39"/>
  <c r="E6" i="39"/>
  <c r="E7" i="39" s="1"/>
  <c r="E8" i="39" s="1"/>
  <c r="E9" i="39" s="1"/>
  <c r="E10" i="39" s="1"/>
  <c r="E11" i="39" s="1"/>
  <c r="E12" i="39" s="1"/>
  <c r="E13" i="39" s="1"/>
  <c r="E14" i="39" s="1"/>
  <c r="E15" i="39" s="1"/>
  <c r="E16" i="39" s="1"/>
  <c r="E17" i="39" s="1"/>
  <c r="E18" i="39" s="1"/>
  <c r="E19" i="39" s="1"/>
  <c r="E20" i="39" s="1"/>
  <c r="E21" i="39" s="1"/>
  <c r="E22" i="39" s="1"/>
  <c r="E23" i="39" s="1"/>
  <c r="E24" i="39" s="1"/>
  <c r="E25" i="39" s="1"/>
  <c r="E26" i="39" s="1"/>
  <c r="A6" i="39"/>
  <c r="A188" i="49"/>
  <c r="A187" i="49"/>
  <c r="A186" i="49"/>
  <c r="A185" i="49"/>
  <c r="A184" i="49"/>
  <c r="A183" i="49"/>
  <c r="A182" i="49"/>
  <c r="E181" i="49"/>
  <c r="E182" i="49" s="1"/>
  <c r="E183" i="49" s="1"/>
  <c r="E184" i="49" s="1"/>
  <c r="E185" i="49" s="1"/>
  <c r="E186" i="49" s="1"/>
  <c r="E187" i="49" s="1"/>
  <c r="E188" i="49" s="1"/>
  <c r="E189" i="49" s="1"/>
  <c r="E190" i="49" s="1"/>
  <c r="E191" i="49" s="1"/>
  <c r="E192" i="49" s="1"/>
  <c r="E193" i="49" s="1"/>
  <c r="E194" i="49" s="1"/>
  <c r="E195" i="49" s="1"/>
  <c r="E196" i="49" s="1"/>
  <c r="E197" i="49" s="1"/>
  <c r="E198" i="49" s="1"/>
  <c r="E199" i="49" s="1"/>
  <c r="E200" i="49" s="1"/>
  <c r="E201" i="49" s="1"/>
  <c r="A181" i="49"/>
  <c r="A157" i="49"/>
  <c r="A158" i="49" s="1"/>
  <c r="A159" i="49" s="1"/>
  <c r="A160" i="49" s="1"/>
  <c r="A161" i="49" s="1"/>
  <c r="E156" i="49"/>
  <c r="E157" i="49" s="1"/>
  <c r="E158" i="49" s="1"/>
  <c r="E159" i="49" s="1"/>
  <c r="E160" i="49" s="1"/>
  <c r="E161" i="49" s="1"/>
  <c r="E162" i="49" s="1"/>
  <c r="E163" i="49" s="1"/>
  <c r="E164" i="49" s="1"/>
  <c r="E165" i="49" s="1"/>
  <c r="E166" i="49" s="1"/>
  <c r="E167" i="49" s="1"/>
  <c r="E168" i="49" s="1"/>
  <c r="E169" i="49" s="1"/>
  <c r="E170" i="49" s="1"/>
  <c r="E171" i="49" s="1"/>
  <c r="E172" i="49" s="1"/>
  <c r="A156" i="49"/>
  <c r="A136" i="49"/>
  <c r="A135" i="49"/>
  <c r="A134" i="49"/>
  <c r="A133" i="49"/>
  <c r="A132" i="49"/>
  <c r="E131" i="49"/>
  <c r="E132" i="49" s="1"/>
  <c r="E133" i="49" s="1"/>
  <c r="E134" i="49" s="1"/>
  <c r="E135" i="49" s="1"/>
  <c r="E136" i="49" s="1"/>
  <c r="E137" i="49" s="1"/>
  <c r="E138" i="49" s="1"/>
  <c r="E139" i="49" s="1"/>
  <c r="E140" i="49" s="1"/>
  <c r="E141" i="49" s="1"/>
  <c r="E142" i="49" s="1"/>
  <c r="E143" i="49" s="1"/>
  <c r="E144" i="49" s="1"/>
  <c r="E145" i="49" s="1"/>
  <c r="E146" i="49" s="1"/>
  <c r="A131" i="49"/>
  <c r="A111" i="49"/>
  <c r="A110" i="49"/>
  <c r="A109" i="49"/>
  <c r="A108" i="49"/>
  <c r="A107" i="49"/>
  <c r="E106" i="49"/>
  <c r="E107" i="49" s="1"/>
  <c r="E108" i="49" s="1"/>
  <c r="E109" i="49" s="1"/>
  <c r="E110" i="49" s="1"/>
  <c r="E111" i="49" s="1"/>
  <c r="E112" i="49" s="1"/>
  <c r="E113" i="49" s="1"/>
  <c r="E114" i="49" s="1"/>
  <c r="E115" i="49" s="1"/>
  <c r="E116" i="49" s="1"/>
  <c r="E117" i="49" s="1"/>
  <c r="E118" i="49" s="1"/>
  <c r="E119" i="49" s="1"/>
  <c r="E120" i="49" s="1"/>
  <c r="E121" i="49" s="1"/>
  <c r="E122" i="49" s="1"/>
  <c r="E123" i="49" s="1"/>
  <c r="E124" i="49" s="1"/>
  <c r="A106" i="49"/>
  <c r="A86" i="49"/>
  <c r="A85" i="49"/>
  <c r="A84" i="49"/>
  <c r="A83" i="49"/>
  <c r="A82" i="49"/>
  <c r="E81" i="49"/>
  <c r="E82" i="49" s="1"/>
  <c r="E83" i="49" s="1"/>
  <c r="E84" i="49" s="1"/>
  <c r="E85" i="49" s="1"/>
  <c r="E86" i="49" s="1"/>
  <c r="E87" i="49" s="1"/>
  <c r="E88" i="49" s="1"/>
  <c r="E89" i="49" s="1"/>
  <c r="E90" i="49" s="1"/>
  <c r="E91" i="49" s="1"/>
  <c r="E92" i="49" s="1"/>
  <c r="E93" i="49" s="1"/>
  <c r="E94" i="49" s="1"/>
  <c r="E95" i="49" s="1"/>
  <c r="E96" i="49" s="1"/>
  <c r="E97" i="49" s="1"/>
  <c r="E98" i="49" s="1"/>
  <c r="E99" i="49" s="1"/>
  <c r="E100" i="49" s="1"/>
  <c r="E101" i="49" s="1"/>
  <c r="A81" i="49"/>
  <c r="A61" i="49"/>
  <c r="A60" i="49"/>
  <c r="A59" i="49"/>
  <c r="A58" i="49"/>
  <c r="A57" i="49"/>
  <c r="E56" i="49"/>
  <c r="E57" i="49" s="1"/>
  <c r="E58" i="49" s="1"/>
  <c r="E59" i="49" s="1"/>
  <c r="E60" i="49" s="1"/>
  <c r="E61" i="49" s="1"/>
  <c r="E62" i="49" s="1"/>
  <c r="E63" i="49" s="1"/>
  <c r="E64" i="49" s="1"/>
  <c r="E65" i="49" s="1"/>
  <c r="E66" i="49" s="1"/>
  <c r="E67" i="49" s="1"/>
  <c r="E68" i="49" s="1"/>
  <c r="E69" i="49" s="1"/>
  <c r="E70" i="49" s="1"/>
  <c r="E71" i="49" s="1"/>
  <c r="E72" i="49" s="1"/>
  <c r="E73" i="49" s="1"/>
  <c r="E74" i="49" s="1"/>
  <c r="E75" i="49" s="1"/>
  <c r="E76" i="49" s="1"/>
  <c r="A56" i="49"/>
  <c r="A36" i="49"/>
  <c r="A35" i="49"/>
  <c r="A34" i="49"/>
  <c r="A33" i="49"/>
  <c r="A32" i="49"/>
  <c r="E31" i="49"/>
  <c r="E32" i="49" s="1"/>
  <c r="E33" i="49" s="1"/>
  <c r="E34" i="49" s="1"/>
  <c r="E35" i="49" s="1"/>
  <c r="E36" i="49" s="1"/>
  <c r="E37" i="49" s="1"/>
  <c r="E38" i="49" s="1"/>
  <c r="E39" i="49" s="1"/>
  <c r="E40" i="49" s="1"/>
  <c r="E41" i="49" s="1"/>
  <c r="E42" i="49" s="1"/>
  <c r="E43" i="49" s="1"/>
  <c r="E44" i="49" s="1"/>
  <c r="E45" i="49" s="1"/>
  <c r="E46" i="49" s="1"/>
  <c r="E47" i="49" s="1"/>
  <c r="E48" i="49" s="1"/>
  <c r="E49" i="49" s="1"/>
  <c r="E50" i="49" s="1"/>
  <c r="E51" i="49" s="1"/>
  <c r="A31" i="49"/>
  <c r="A11" i="49"/>
  <c r="A10" i="49"/>
  <c r="A9" i="49"/>
  <c r="A8" i="49"/>
  <c r="A7" i="49"/>
  <c r="E6" i="49"/>
  <c r="E7" i="49" s="1"/>
  <c r="E8" i="49" s="1"/>
  <c r="E9" i="49" s="1"/>
  <c r="E10" i="49" s="1"/>
  <c r="E11" i="49" s="1"/>
  <c r="E12" i="49" s="1"/>
  <c r="E13" i="49" s="1"/>
  <c r="E14" i="49" s="1"/>
  <c r="E15" i="49" s="1"/>
  <c r="E16" i="49" s="1"/>
  <c r="E17" i="49" s="1"/>
  <c r="E18" i="49" s="1"/>
  <c r="E19" i="49" s="1"/>
  <c r="E20" i="49" s="1"/>
  <c r="E21" i="49" s="1"/>
  <c r="E22" i="49" s="1"/>
  <c r="E23" i="49" s="1"/>
  <c r="E24" i="49" s="1"/>
  <c r="E25" i="49" s="1"/>
  <c r="E26" i="49" s="1"/>
  <c r="A6" i="49"/>
  <c r="B1" i="49"/>
  <c r="A188" i="50"/>
  <c r="A187" i="50"/>
  <c r="A186" i="50"/>
  <c r="A185" i="50"/>
  <c r="A184" i="50"/>
  <c r="A183" i="50"/>
  <c r="A182" i="50"/>
  <c r="E181" i="50"/>
  <c r="E182" i="50" s="1"/>
  <c r="E183" i="50" s="1"/>
  <c r="E184" i="50" s="1"/>
  <c r="E185" i="50" s="1"/>
  <c r="E186" i="50" s="1"/>
  <c r="E187" i="50" s="1"/>
  <c r="E188" i="50" s="1"/>
  <c r="E189" i="50" s="1"/>
  <c r="E190" i="50" s="1"/>
  <c r="E191" i="50" s="1"/>
  <c r="E192" i="50" s="1"/>
  <c r="E193" i="50" s="1"/>
  <c r="E194" i="50" s="1"/>
  <c r="E195" i="50" s="1"/>
  <c r="E196" i="50" s="1"/>
  <c r="E197" i="50" s="1"/>
  <c r="E198" i="50" s="1"/>
  <c r="E199" i="50" s="1"/>
  <c r="E200" i="50" s="1"/>
  <c r="E201" i="50" s="1"/>
  <c r="A181" i="50"/>
  <c r="A161" i="50"/>
  <c r="A162" i="50" s="1"/>
  <c r="A160" i="50"/>
  <c r="A159" i="50"/>
  <c r="A158" i="50"/>
  <c r="A157" i="50"/>
  <c r="E156" i="50"/>
  <c r="E157" i="50" s="1"/>
  <c r="E158" i="50" s="1"/>
  <c r="E159" i="50" s="1"/>
  <c r="E160" i="50" s="1"/>
  <c r="E161" i="50" s="1"/>
  <c r="E162" i="50" s="1"/>
  <c r="E163" i="50" s="1"/>
  <c r="E164" i="50" s="1"/>
  <c r="E165" i="50" s="1"/>
  <c r="E166" i="50" s="1"/>
  <c r="E167" i="50" s="1"/>
  <c r="E168" i="50" s="1"/>
  <c r="E169" i="50" s="1"/>
  <c r="E170" i="50" s="1"/>
  <c r="E171" i="50" s="1"/>
  <c r="E172" i="50" s="1"/>
  <c r="A156" i="50"/>
  <c r="A136" i="50"/>
  <c r="A137" i="50" s="1"/>
  <c r="A135" i="50"/>
  <c r="A134" i="50"/>
  <c r="A133" i="50"/>
  <c r="A132" i="50"/>
  <c r="E131" i="50"/>
  <c r="E132" i="50" s="1"/>
  <c r="E133" i="50" s="1"/>
  <c r="E134" i="50" s="1"/>
  <c r="E135" i="50" s="1"/>
  <c r="E136" i="50" s="1"/>
  <c r="E137" i="50" s="1"/>
  <c r="E138" i="50" s="1"/>
  <c r="E139" i="50" s="1"/>
  <c r="E140" i="50" s="1"/>
  <c r="E141" i="50" s="1"/>
  <c r="E142" i="50" s="1"/>
  <c r="E143" i="50" s="1"/>
  <c r="E144" i="50" s="1"/>
  <c r="E145" i="50" s="1"/>
  <c r="E146" i="50" s="1"/>
  <c r="A131" i="50"/>
  <c r="A111" i="50"/>
  <c r="A112" i="50" s="1"/>
  <c r="A110" i="50"/>
  <c r="A109" i="50"/>
  <c r="A108" i="50"/>
  <c r="A107" i="50"/>
  <c r="E106" i="50"/>
  <c r="E107" i="50" s="1"/>
  <c r="E108" i="50" s="1"/>
  <c r="E109" i="50" s="1"/>
  <c r="E110" i="50" s="1"/>
  <c r="E111" i="50" s="1"/>
  <c r="E112" i="50" s="1"/>
  <c r="E113" i="50" s="1"/>
  <c r="E114" i="50" s="1"/>
  <c r="E115" i="50" s="1"/>
  <c r="E116" i="50" s="1"/>
  <c r="E117" i="50" s="1"/>
  <c r="E118" i="50" s="1"/>
  <c r="E119" i="50" s="1"/>
  <c r="E120" i="50" s="1"/>
  <c r="E121" i="50" s="1"/>
  <c r="E122" i="50" s="1"/>
  <c r="E123" i="50" s="1"/>
  <c r="E124" i="50" s="1"/>
  <c r="A106" i="50"/>
  <c r="A86" i="50"/>
  <c r="A87" i="50" s="1"/>
  <c r="A85" i="50"/>
  <c r="A84" i="50"/>
  <c r="A83" i="50"/>
  <c r="A82" i="50"/>
  <c r="E81" i="50"/>
  <c r="E82" i="50" s="1"/>
  <c r="E83" i="50" s="1"/>
  <c r="E84" i="50" s="1"/>
  <c r="E85" i="50" s="1"/>
  <c r="E86" i="50" s="1"/>
  <c r="E87" i="50" s="1"/>
  <c r="E88" i="50" s="1"/>
  <c r="E89" i="50" s="1"/>
  <c r="E90" i="50" s="1"/>
  <c r="E91" i="50" s="1"/>
  <c r="E92" i="50" s="1"/>
  <c r="E93" i="50" s="1"/>
  <c r="E94" i="50" s="1"/>
  <c r="E95" i="50" s="1"/>
  <c r="E96" i="50" s="1"/>
  <c r="E97" i="50" s="1"/>
  <c r="E98" i="50" s="1"/>
  <c r="E99" i="50" s="1"/>
  <c r="E100" i="50" s="1"/>
  <c r="E101" i="50" s="1"/>
  <c r="A81" i="50"/>
  <c r="A61" i="50"/>
  <c r="A62" i="50" s="1"/>
  <c r="A60" i="50"/>
  <c r="A59" i="50"/>
  <c r="A58" i="50"/>
  <c r="A57" i="50"/>
  <c r="E56" i="50"/>
  <c r="E57" i="50" s="1"/>
  <c r="E58" i="50" s="1"/>
  <c r="E59" i="50" s="1"/>
  <c r="E60" i="50" s="1"/>
  <c r="E61" i="50" s="1"/>
  <c r="E62" i="50" s="1"/>
  <c r="E63" i="50" s="1"/>
  <c r="E64" i="50" s="1"/>
  <c r="E65" i="50" s="1"/>
  <c r="E66" i="50" s="1"/>
  <c r="E67" i="50" s="1"/>
  <c r="E68" i="50" s="1"/>
  <c r="E69" i="50" s="1"/>
  <c r="E70" i="50" s="1"/>
  <c r="E71" i="50" s="1"/>
  <c r="E72" i="50" s="1"/>
  <c r="E73" i="50" s="1"/>
  <c r="E74" i="50" s="1"/>
  <c r="E75" i="50" s="1"/>
  <c r="E76" i="50" s="1"/>
  <c r="A56" i="50"/>
  <c r="A36" i="50"/>
  <c r="A37" i="50" s="1"/>
  <c r="A35" i="50"/>
  <c r="A34" i="50"/>
  <c r="A33" i="50"/>
  <c r="A32" i="50"/>
  <c r="E31" i="50"/>
  <c r="E32" i="50" s="1"/>
  <c r="E33" i="50" s="1"/>
  <c r="E34" i="50" s="1"/>
  <c r="E35" i="50" s="1"/>
  <c r="E36" i="50" s="1"/>
  <c r="E37" i="50" s="1"/>
  <c r="E38" i="50" s="1"/>
  <c r="E39" i="50" s="1"/>
  <c r="E40" i="50" s="1"/>
  <c r="E41" i="50" s="1"/>
  <c r="E42" i="50" s="1"/>
  <c r="E43" i="50" s="1"/>
  <c r="E44" i="50" s="1"/>
  <c r="E45" i="50" s="1"/>
  <c r="E46" i="50" s="1"/>
  <c r="E47" i="50" s="1"/>
  <c r="E48" i="50" s="1"/>
  <c r="E49" i="50" s="1"/>
  <c r="E50" i="50" s="1"/>
  <c r="E51" i="50" s="1"/>
  <c r="A31" i="50"/>
  <c r="A11" i="50"/>
  <c r="A12" i="50" s="1"/>
  <c r="A10" i="50"/>
  <c r="A9" i="50"/>
  <c r="A8" i="50"/>
  <c r="A7" i="50"/>
  <c r="E6" i="50"/>
  <c r="E7" i="50" s="1"/>
  <c r="E8" i="50" s="1"/>
  <c r="E9" i="50" s="1"/>
  <c r="E10" i="50" s="1"/>
  <c r="E11" i="50" s="1"/>
  <c r="E12" i="50" s="1"/>
  <c r="E13" i="50" s="1"/>
  <c r="E14" i="50" s="1"/>
  <c r="E15" i="50" s="1"/>
  <c r="E16" i="50" s="1"/>
  <c r="E17" i="50" s="1"/>
  <c r="E18" i="50" s="1"/>
  <c r="E19" i="50" s="1"/>
  <c r="E20" i="50" s="1"/>
  <c r="E21" i="50" s="1"/>
  <c r="E22" i="50" s="1"/>
  <c r="E23" i="50" s="1"/>
  <c r="E24" i="50" s="1"/>
  <c r="E25" i="50" s="1"/>
  <c r="E26" i="50" s="1"/>
  <c r="A6" i="50"/>
  <c r="A188" i="42"/>
  <c r="A187" i="42"/>
  <c r="A186" i="42"/>
  <c r="A185" i="42"/>
  <c r="A184" i="42"/>
  <c r="A183" i="42"/>
  <c r="A182" i="42"/>
  <c r="E181" i="42"/>
  <c r="E182" i="42" s="1"/>
  <c r="E183" i="42" s="1"/>
  <c r="E184" i="42" s="1"/>
  <c r="E185" i="42" s="1"/>
  <c r="E186" i="42" s="1"/>
  <c r="E187" i="42" s="1"/>
  <c r="E188" i="42" s="1"/>
  <c r="E189" i="42" s="1"/>
  <c r="E190" i="42" s="1"/>
  <c r="E191" i="42" s="1"/>
  <c r="E192" i="42" s="1"/>
  <c r="E193" i="42" s="1"/>
  <c r="E194" i="42" s="1"/>
  <c r="E195" i="42" s="1"/>
  <c r="E196" i="42" s="1"/>
  <c r="E197" i="42" s="1"/>
  <c r="E198" i="42" s="1"/>
  <c r="E199" i="42" s="1"/>
  <c r="E200" i="42" s="1"/>
  <c r="E201" i="42" s="1"/>
  <c r="A181" i="42"/>
  <c r="A161" i="42"/>
  <c r="A162" i="42" s="1"/>
  <c r="A160" i="42"/>
  <c r="A159" i="42"/>
  <c r="A158" i="42"/>
  <c r="A157" i="42"/>
  <c r="E156" i="42"/>
  <c r="E157" i="42" s="1"/>
  <c r="E158" i="42" s="1"/>
  <c r="E159" i="42" s="1"/>
  <c r="E160" i="42" s="1"/>
  <c r="E161" i="42" s="1"/>
  <c r="E162" i="42" s="1"/>
  <c r="E163" i="42" s="1"/>
  <c r="E164" i="42" s="1"/>
  <c r="E165" i="42" s="1"/>
  <c r="E166" i="42" s="1"/>
  <c r="A156" i="42"/>
  <c r="A136" i="42"/>
  <c r="A137" i="42" s="1"/>
  <c r="A135" i="42"/>
  <c r="A134" i="42"/>
  <c r="A133" i="42"/>
  <c r="A132" i="42"/>
  <c r="E131" i="42"/>
  <c r="E132" i="42" s="1"/>
  <c r="E133" i="42" s="1"/>
  <c r="E134" i="42" s="1"/>
  <c r="E135" i="42" s="1"/>
  <c r="E136" i="42" s="1"/>
  <c r="E137" i="42" s="1"/>
  <c r="E138" i="42" s="1"/>
  <c r="E139" i="42" s="1"/>
  <c r="E140" i="42" s="1"/>
  <c r="E141" i="42" s="1"/>
  <c r="E142" i="42" s="1"/>
  <c r="E143" i="42" s="1"/>
  <c r="E144" i="42" s="1"/>
  <c r="E145" i="42" s="1"/>
  <c r="E146" i="42" s="1"/>
  <c r="A131" i="42"/>
  <c r="A111" i="42"/>
  <c r="A112" i="42" s="1"/>
  <c r="A110" i="42"/>
  <c r="A109" i="42"/>
  <c r="A108" i="42"/>
  <c r="A107" i="42"/>
  <c r="E106" i="42"/>
  <c r="E107" i="42" s="1"/>
  <c r="E108" i="42" s="1"/>
  <c r="E109" i="42" s="1"/>
  <c r="E110" i="42" s="1"/>
  <c r="E111" i="42" s="1"/>
  <c r="E112" i="42" s="1"/>
  <c r="E113" i="42" s="1"/>
  <c r="E114" i="42" s="1"/>
  <c r="E115" i="42" s="1"/>
  <c r="E116" i="42" s="1"/>
  <c r="E117" i="42" s="1"/>
  <c r="E118" i="42" s="1"/>
  <c r="E119" i="42" s="1"/>
  <c r="E120" i="42" s="1"/>
  <c r="E121" i="42" s="1"/>
  <c r="E122" i="42" s="1"/>
  <c r="E123" i="42" s="1"/>
  <c r="E124" i="42" s="1"/>
  <c r="A106" i="42"/>
  <c r="A86" i="42"/>
  <c r="A87" i="42" s="1"/>
  <c r="A85" i="42"/>
  <c r="A84" i="42"/>
  <c r="A83" i="42"/>
  <c r="A82" i="42"/>
  <c r="E81" i="42"/>
  <c r="E82" i="42" s="1"/>
  <c r="E83" i="42" s="1"/>
  <c r="E84" i="42" s="1"/>
  <c r="E85" i="42" s="1"/>
  <c r="E86" i="42" s="1"/>
  <c r="E87" i="42" s="1"/>
  <c r="E88" i="42" s="1"/>
  <c r="E89" i="42" s="1"/>
  <c r="E90" i="42" s="1"/>
  <c r="E91" i="42" s="1"/>
  <c r="E92" i="42" s="1"/>
  <c r="E93" i="42" s="1"/>
  <c r="E94" i="42" s="1"/>
  <c r="E95" i="42" s="1"/>
  <c r="E96" i="42" s="1"/>
  <c r="E97" i="42" s="1"/>
  <c r="E98" i="42" s="1"/>
  <c r="E99" i="42" s="1"/>
  <c r="E100" i="42" s="1"/>
  <c r="E101" i="42" s="1"/>
  <c r="A81" i="42"/>
  <c r="A61" i="42"/>
  <c r="A62" i="42" s="1"/>
  <c r="A60" i="42"/>
  <c r="A59" i="42"/>
  <c r="A58" i="42"/>
  <c r="A57" i="42"/>
  <c r="E56" i="42"/>
  <c r="E57" i="42" s="1"/>
  <c r="E58" i="42" s="1"/>
  <c r="E59" i="42" s="1"/>
  <c r="E60" i="42" s="1"/>
  <c r="E61" i="42" s="1"/>
  <c r="E62" i="42" s="1"/>
  <c r="E63" i="42" s="1"/>
  <c r="E64" i="42" s="1"/>
  <c r="E65" i="42" s="1"/>
  <c r="E66" i="42" s="1"/>
  <c r="E67" i="42" s="1"/>
  <c r="E68" i="42" s="1"/>
  <c r="E69" i="42" s="1"/>
  <c r="E70" i="42" s="1"/>
  <c r="E71" i="42" s="1"/>
  <c r="E72" i="42" s="1"/>
  <c r="E73" i="42" s="1"/>
  <c r="E74" i="42" s="1"/>
  <c r="E75" i="42" s="1"/>
  <c r="E76" i="42" s="1"/>
  <c r="A56" i="42"/>
  <c r="A36" i="42"/>
  <c r="A37" i="42" s="1"/>
  <c r="A35" i="42"/>
  <c r="A34" i="42"/>
  <c r="A33" i="42"/>
  <c r="A32" i="42"/>
  <c r="E31" i="42"/>
  <c r="E32" i="42" s="1"/>
  <c r="E33" i="42" s="1"/>
  <c r="E34" i="42" s="1"/>
  <c r="E35" i="42" s="1"/>
  <c r="E36" i="42" s="1"/>
  <c r="E37" i="42" s="1"/>
  <c r="E38" i="42" s="1"/>
  <c r="E39" i="42" s="1"/>
  <c r="E40" i="42" s="1"/>
  <c r="E41" i="42" s="1"/>
  <c r="E42" i="42" s="1"/>
  <c r="E43" i="42" s="1"/>
  <c r="E44" i="42" s="1"/>
  <c r="E45" i="42" s="1"/>
  <c r="E46" i="42" s="1"/>
  <c r="E47" i="42" s="1"/>
  <c r="E48" i="42" s="1"/>
  <c r="E49" i="42" s="1"/>
  <c r="E50" i="42" s="1"/>
  <c r="E51" i="42" s="1"/>
  <c r="A31" i="42"/>
  <c r="A11" i="42"/>
  <c r="A12" i="42" s="1"/>
  <c r="A10" i="42"/>
  <c r="A9" i="42"/>
  <c r="A8" i="42"/>
  <c r="A7" i="42"/>
  <c r="E6" i="42"/>
  <c r="E7" i="42" s="1"/>
  <c r="E8" i="42" s="1"/>
  <c r="E9" i="42" s="1"/>
  <c r="E10" i="42" s="1"/>
  <c r="E11" i="42" s="1"/>
  <c r="E12" i="42" s="1"/>
  <c r="E13" i="42" s="1"/>
  <c r="E14" i="42" s="1"/>
  <c r="E15" i="42" s="1"/>
  <c r="E16" i="42" s="1"/>
  <c r="E17" i="42" s="1"/>
  <c r="E18" i="42" s="1"/>
  <c r="E19" i="42" s="1"/>
  <c r="E20" i="42" s="1"/>
  <c r="E21" i="42" s="1"/>
  <c r="E22" i="42" s="1"/>
  <c r="E23" i="42" s="1"/>
  <c r="E24" i="42" s="1"/>
  <c r="E25" i="42" s="1"/>
  <c r="E26" i="42" s="1"/>
  <c r="A6" i="42"/>
  <c r="T92" i="49"/>
  <c r="F16" i="50"/>
  <c r="T6" i="49"/>
  <c r="T158" i="49"/>
  <c r="T73" i="49"/>
  <c r="T66" i="49"/>
  <c r="D109" i="50"/>
  <c r="T18" i="49"/>
  <c r="T184" i="49"/>
  <c r="B81" i="49"/>
  <c r="T31" i="49"/>
  <c r="M169" i="50"/>
  <c r="D112" i="49"/>
  <c r="P156" i="50"/>
  <c r="D35" i="50"/>
  <c r="F8" i="50"/>
  <c r="T89" i="49"/>
  <c r="F117" i="50"/>
  <c r="T47" i="49"/>
  <c r="B32" i="49"/>
  <c r="F64" i="50"/>
  <c r="F119" i="50"/>
  <c r="T67" i="49"/>
  <c r="D108" i="49"/>
  <c r="F17" i="50"/>
  <c r="C31" i="49"/>
  <c r="T25" i="49"/>
  <c r="D10" i="49"/>
  <c r="B84" i="49"/>
  <c r="T50" i="49"/>
  <c r="F42" i="50"/>
  <c r="F184" i="50"/>
  <c r="D113" i="49"/>
  <c r="D85" i="50"/>
  <c r="D10" i="50"/>
  <c r="D133" i="50"/>
  <c r="T84" i="49"/>
  <c r="F66" i="50"/>
  <c r="F60" i="50"/>
  <c r="T44" i="49"/>
  <c r="D12" i="49"/>
  <c r="C182" i="39"/>
  <c r="F181" i="50"/>
  <c r="T194" i="49"/>
  <c r="D33" i="50"/>
  <c r="C31" i="50"/>
  <c r="T135" i="49"/>
  <c r="F9" i="50"/>
  <c r="T133" i="49"/>
  <c r="F191" i="50"/>
  <c r="B81" i="50"/>
  <c r="B161" i="49"/>
  <c r="T94" i="49"/>
  <c r="D59" i="49"/>
  <c r="T13" i="49"/>
  <c r="D33" i="49"/>
  <c r="C157" i="39"/>
  <c r="B8" i="49"/>
  <c r="T87" i="49"/>
  <c r="T48" i="49"/>
  <c r="T142" i="49"/>
  <c r="F41" i="50"/>
  <c r="D110" i="49"/>
  <c r="B56" i="49"/>
  <c r="F197" i="50"/>
  <c r="T46" i="49"/>
  <c r="F96" i="50"/>
  <c r="F70" i="50"/>
  <c r="T121" i="49"/>
  <c r="T83" i="49"/>
  <c r="B58" i="50"/>
  <c r="D86" i="49"/>
  <c r="D113" i="50"/>
  <c r="I161" i="50"/>
  <c r="T140" i="49"/>
  <c r="F84" i="50"/>
  <c r="D34" i="50"/>
  <c r="D63" i="50"/>
  <c r="T95" i="49"/>
  <c r="F6" i="50"/>
  <c r="I169" i="50"/>
  <c r="F112" i="50"/>
  <c r="D59" i="50"/>
  <c r="T34" i="49"/>
  <c r="F144" i="50"/>
  <c r="B132" i="49"/>
  <c r="B185" i="50"/>
  <c r="T68" i="49"/>
  <c r="B34" i="50"/>
  <c r="T168" i="49"/>
  <c r="D83" i="50"/>
  <c r="T9" i="49"/>
  <c r="I170" i="50"/>
  <c r="T10" i="49"/>
  <c r="B136" i="49"/>
  <c r="T161" i="49"/>
  <c r="D7" i="50"/>
  <c r="C7" i="39"/>
  <c r="V159" i="50"/>
  <c r="F183" i="50"/>
  <c r="I166" i="50"/>
  <c r="T131" i="49"/>
  <c r="T42" i="49"/>
  <c r="D62" i="50"/>
  <c r="F48" i="50"/>
  <c r="F98" i="50"/>
  <c r="D136" i="50"/>
  <c r="D88" i="49"/>
  <c r="T58" i="49"/>
  <c r="B108" i="50"/>
  <c r="B182" i="50"/>
  <c r="F131" i="50"/>
  <c r="F194" i="50"/>
  <c r="B9" i="49"/>
  <c r="T90" i="49"/>
  <c r="F110" i="50"/>
  <c r="T39" i="49"/>
  <c r="F71" i="50"/>
  <c r="F113" i="50"/>
  <c r="T61" i="49"/>
  <c r="F65" i="50"/>
  <c r="F106" i="50"/>
  <c r="B186" i="50"/>
  <c r="D37" i="50"/>
  <c r="F136" i="50"/>
  <c r="F186" i="50"/>
  <c r="T181" i="49"/>
  <c r="B82" i="50"/>
  <c r="T96" i="49"/>
  <c r="D35" i="49"/>
  <c r="T141" i="49"/>
  <c r="T116" i="49"/>
  <c r="F62" i="50"/>
  <c r="D36" i="50"/>
  <c r="T45" i="49"/>
  <c r="F22" i="50"/>
  <c r="D110" i="50"/>
  <c r="B85" i="49"/>
  <c r="B57" i="50"/>
  <c r="B131" i="49"/>
  <c r="F140" i="50"/>
  <c r="F15" i="50"/>
  <c r="T145" i="49"/>
  <c r="B134" i="49"/>
  <c r="D12" i="50"/>
  <c r="F115" i="50"/>
  <c r="T64" i="49"/>
  <c r="D61" i="50"/>
  <c r="B31" i="49"/>
  <c r="T137" i="49"/>
  <c r="C6" i="50"/>
  <c r="F91" i="50"/>
  <c r="F44" i="50"/>
  <c r="M160" i="50"/>
  <c r="D36" i="49"/>
  <c r="D37" i="49"/>
  <c r="T172" i="49"/>
  <c r="F97" i="50"/>
  <c r="F24" i="50"/>
  <c r="F31" i="50"/>
  <c r="B159" i="49"/>
  <c r="I157" i="50"/>
  <c r="M162" i="50"/>
  <c r="F99" i="50"/>
  <c r="T15" i="49"/>
  <c r="F69" i="50"/>
  <c r="F88" i="50"/>
  <c r="T22" i="49"/>
  <c r="D58" i="50"/>
  <c r="B8" i="50"/>
  <c r="F38" i="50"/>
  <c r="D9" i="50"/>
  <c r="B61" i="50"/>
  <c r="B11" i="50"/>
  <c r="D11" i="49"/>
  <c r="F100" i="50"/>
  <c r="C181" i="42"/>
  <c r="D82" i="49"/>
  <c r="B109" i="50"/>
  <c r="T74" i="49"/>
  <c r="T71" i="49"/>
  <c r="B110" i="50"/>
  <c r="C107" i="39"/>
  <c r="F32" i="50"/>
  <c r="B35" i="50"/>
  <c r="T16" i="49"/>
  <c r="B6" i="49"/>
  <c r="T98" i="49"/>
  <c r="T36" i="49"/>
  <c r="B84" i="50"/>
  <c r="T186" i="49"/>
  <c r="T183" i="49"/>
  <c r="T65" i="49"/>
  <c r="F46" i="50"/>
  <c r="C56" i="42"/>
  <c r="T82" i="49"/>
  <c r="M156" i="50"/>
  <c r="F58" i="50"/>
  <c r="T109" i="49"/>
  <c r="T167" i="49"/>
  <c r="D34" i="49"/>
  <c r="F92" i="50"/>
  <c r="D9" i="49"/>
  <c r="F14" i="50"/>
  <c r="T21" i="49"/>
  <c r="D135" i="50"/>
  <c r="M163" i="50"/>
  <c r="T86" i="49"/>
  <c r="V157" i="50"/>
  <c r="C56" i="49"/>
  <c r="F132" i="50"/>
  <c r="B187" i="50"/>
  <c r="T70" i="49"/>
  <c r="D87" i="50"/>
  <c r="B107" i="50"/>
  <c r="F85" i="50"/>
  <c r="I156" i="50"/>
  <c r="B60" i="50"/>
  <c r="M157" i="50"/>
  <c r="D134" i="50"/>
  <c r="C156" i="42"/>
  <c r="B11" i="49"/>
  <c r="M170" i="50"/>
  <c r="D138" i="49"/>
  <c r="C32" i="39"/>
  <c r="D13" i="49"/>
  <c r="T139" i="49"/>
  <c r="B83" i="50"/>
  <c r="C82" i="39"/>
  <c r="T143" i="49"/>
  <c r="F43" i="50"/>
  <c r="F182" i="50"/>
  <c r="B36" i="49"/>
  <c r="F137" i="50"/>
  <c r="B86" i="49"/>
  <c r="C106" i="49"/>
  <c r="F73" i="50"/>
  <c r="C132" i="39"/>
  <c r="B86" i="50"/>
  <c r="T107" i="49"/>
  <c r="F13" i="50"/>
  <c r="F111" i="50"/>
  <c r="B60" i="49"/>
  <c r="T117" i="49"/>
  <c r="T136" i="49"/>
  <c r="B157" i="49"/>
  <c r="F185" i="50"/>
  <c r="C106" i="42"/>
  <c r="T157" i="49"/>
  <c r="T110" i="49"/>
  <c r="T138" i="49"/>
  <c r="T169" i="49"/>
  <c r="T132" i="49"/>
  <c r="B7" i="50"/>
  <c r="F83" i="50"/>
  <c r="C106" i="50"/>
  <c r="B106" i="49"/>
  <c r="B59" i="49"/>
  <c r="T118" i="49"/>
  <c r="T111" i="49"/>
  <c r="D136" i="49"/>
  <c r="T60" i="49"/>
  <c r="F37" i="50"/>
  <c r="C81" i="42"/>
  <c r="T185" i="49"/>
  <c r="B57" i="49"/>
  <c r="T120" i="49"/>
  <c r="M171" i="50"/>
  <c r="T14" i="49"/>
  <c r="F188" i="50"/>
  <c r="B131" i="50"/>
  <c r="F25" i="50"/>
  <c r="F138" i="50"/>
  <c r="F109" i="50"/>
  <c r="C181" i="49"/>
  <c r="F75" i="50"/>
  <c r="C131" i="50"/>
  <c r="T19" i="49"/>
  <c r="B6" i="50"/>
  <c r="B10" i="50"/>
  <c r="B9" i="50"/>
  <c r="M158" i="50"/>
  <c r="F120" i="50"/>
  <c r="T37" i="49"/>
  <c r="B184" i="50"/>
  <c r="F23" i="50"/>
  <c r="D137" i="49"/>
  <c r="C181" i="50"/>
  <c r="B135" i="50"/>
  <c r="T187" i="49"/>
  <c r="M168" i="50"/>
  <c r="T32" i="49"/>
  <c r="F10" i="50"/>
  <c r="F94" i="50"/>
  <c r="D87" i="49"/>
  <c r="D62" i="49"/>
  <c r="I162" i="50"/>
  <c r="T81" i="49"/>
  <c r="M167" i="50"/>
  <c r="T35" i="49"/>
  <c r="D60" i="49"/>
  <c r="M172" i="50"/>
  <c r="T188" i="49"/>
  <c r="B160" i="49"/>
  <c r="B10" i="49"/>
  <c r="B135" i="49"/>
  <c r="F143" i="50"/>
  <c r="I160" i="50"/>
  <c r="F47" i="50"/>
  <c r="T159" i="49"/>
  <c r="T108" i="49"/>
  <c r="F118" i="50"/>
  <c r="F49" i="50"/>
  <c r="F59" i="50"/>
  <c r="I158" i="50"/>
  <c r="B56" i="50"/>
  <c r="B134" i="50"/>
  <c r="T171" i="49"/>
  <c r="F121" i="50"/>
  <c r="T106" i="49"/>
  <c r="T156" i="49"/>
  <c r="C31" i="42"/>
  <c r="C81" i="49"/>
  <c r="F142" i="50"/>
  <c r="T59" i="49"/>
  <c r="T88" i="49"/>
  <c r="C81" i="50"/>
  <c r="F50" i="50"/>
  <c r="B107" i="49"/>
  <c r="F74" i="50"/>
  <c r="B36" i="50"/>
  <c r="F87" i="50"/>
  <c r="T24" i="49"/>
  <c r="T38" i="49"/>
  <c r="T72" i="49"/>
  <c r="F141" i="50"/>
  <c r="T144" i="49"/>
  <c r="F11" i="50"/>
  <c r="B133" i="50"/>
  <c r="F93" i="50"/>
  <c r="T163" i="49"/>
  <c r="T170" i="49"/>
  <c r="C57" i="39"/>
  <c r="D7" i="49"/>
  <c r="D38" i="50"/>
  <c r="F40" i="50"/>
  <c r="F19" i="50"/>
  <c r="I164" i="50"/>
  <c r="F187" i="50"/>
  <c r="T100" i="49"/>
  <c r="D60" i="50"/>
  <c r="F36" i="50"/>
  <c r="T41" i="49"/>
  <c r="F145" i="50"/>
  <c r="B85" i="50"/>
  <c r="M161" i="50"/>
  <c r="C131" i="42"/>
  <c r="B32" i="50"/>
  <c r="F72" i="50"/>
  <c r="I163" i="50"/>
  <c r="B82" i="49"/>
  <c r="F123" i="50"/>
  <c r="F139" i="50"/>
  <c r="D13" i="50"/>
  <c r="T160" i="49"/>
  <c r="F90" i="50"/>
  <c r="F56" i="50"/>
  <c r="T17" i="49"/>
  <c r="I172" i="50"/>
  <c r="D88" i="50"/>
  <c r="C131" i="49"/>
  <c r="F68" i="50"/>
  <c r="F39" i="50"/>
  <c r="T114" i="49"/>
  <c r="B111" i="49"/>
  <c r="D8" i="50"/>
  <c r="F45" i="50"/>
  <c r="T115" i="49"/>
  <c r="F86" i="50"/>
  <c r="D112" i="50"/>
  <c r="C6" i="42"/>
  <c r="D137" i="50"/>
  <c r="T85" i="49"/>
  <c r="D84" i="50"/>
  <c r="F114" i="50"/>
  <c r="B59" i="50"/>
  <c r="C156" i="49"/>
  <c r="T40" i="49"/>
  <c r="B61" i="49"/>
  <c r="T8" i="49"/>
  <c r="F134" i="50"/>
  <c r="T56" i="49"/>
  <c r="D8" i="49"/>
  <c r="D109" i="49"/>
  <c r="B111" i="50"/>
  <c r="F189" i="50"/>
  <c r="T23" i="49"/>
  <c r="F35" i="50"/>
  <c r="B106" i="50"/>
  <c r="F67" i="50"/>
  <c r="D135" i="49"/>
  <c r="D134" i="49"/>
  <c r="I167" i="50"/>
  <c r="B7" i="49"/>
  <c r="D111" i="49"/>
  <c r="T75" i="49"/>
  <c r="T162" i="49"/>
  <c r="T33" i="49"/>
  <c r="D63" i="49"/>
  <c r="D38" i="49"/>
  <c r="T11" i="49"/>
  <c r="T97" i="49"/>
  <c r="T123" i="49"/>
  <c r="T63" i="49"/>
  <c r="F12" i="50"/>
  <c r="M164" i="50"/>
  <c r="B109" i="49"/>
  <c r="D61" i="49"/>
  <c r="T189" i="49"/>
  <c r="B34" i="49"/>
  <c r="T20" i="49"/>
  <c r="F89" i="50"/>
  <c r="M159" i="50"/>
  <c r="D133" i="49"/>
  <c r="T122" i="49"/>
  <c r="V161" i="50"/>
  <c r="M166" i="50"/>
  <c r="F34" i="50"/>
  <c r="D108" i="50"/>
  <c r="C156" i="50"/>
  <c r="F108" i="50"/>
  <c r="T113" i="49"/>
  <c r="T112" i="49"/>
  <c r="M165" i="50"/>
  <c r="T7" i="49"/>
  <c r="F82" i="50"/>
  <c r="T62" i="49"/>
  <c r="C56" i="50"/>
  <c r="T191" i="49"/>
  <c r="T164" i="49"/>
  <c r="F18" i="50"/>
  <c r="D83" i="49"/>
  <c r="F122" i="50"/>
  <c r="F95" i="50"/>
  <c r="B31" i="50"/>
  <c r="F116" i="50"/>
  <c r="F81" i="50"/>
  <c r="I171" i="50"/>
  <c r="T69" i="49"/>
  <c r="B132" i="50"/>
  <c r="I159" i="50"/>
  <c r="T91" i="49"/>
  <c r="D138" i="50"/>
  <c r="F107" i="50"/>
  <c r="F57" i="50"/>
  <c r="B186" i="49"/>
  <c r="I165" i="50"/>
  <c r="T165" i="49"/>
  <c r="T99" i="49"/>
  <c r="T43" i="49"/>
  <c r="T93" i="49"/>
  <c r="T12" i="49"/>
  <c r="I168" i="50"/>
  <c r="T49" i="49"/>
  <c r="F61" i="50"/>
  <c r="V160" i="50"/>
  <c r="T197" i="49"/>
  <c r="T182" i="49"/>
  <c r="D84" i="49"/>
  <c r="F135" i="50"/>
  <c r="F133" i="50"/>
  <c r="C6" i="49"/>
  <c r="D11" i="50"/>
  <c r="T119" i="49"/>
  <c r="T57" i="49"/>
  <c r="B136" i="50"/>
  <c r="D111" i="50"/>
  <c r="B35" i="49"/>
  <c r="B110" i="49"/>
  <c r="F7" i="50"/>
  <c r="F33" i="50"/>
  <c r="D86" i="50"/>
  <c r="D58" i="49"/>
  <c r="F63" i="50"/>
  <c r="T134" i="49"/>
  <c r="D85" i="49"/>
  <c r="T166" i="49"/>
  <c r="E167" i="39" l="1"/>
  <c r="E168" i="39" s="1"/>
  <c r="E169" i="39" s="1"/>
  <c r="E170" i="39" s="1"/>
  <c r="E171" i="39" s="1"/>
  <c r="E172" i="39" s="1"/>
  <c r="F144" i="49"/>
  <c r="F143" i="49"/>
  <c r="F85" i="49"/>
  <c r="F100" i="49"/>
  <c r="F101" i="49" s="1"/>
  <c r="F42" i="49"/>
  <c r="F14" i="49"/>
  <c r="F145" i="49"/>
  <c r="F146" i="49" s="1"/>
  <c r="F24" i="49"/>
  <c r="F47" i="49"/>
  <c r="F81" i="49"/>
  <c r="F10" i="49"/>
  <c r="F91" i="49"/>
  <c r="F95" i="49"/>
  <c r="F84" i="49"/>
  <c r="F44" i="49"/>
  <c r="F43" i="49"/>
  <c r="F46" i="49"/>
  <c r="F20" i="49"/>
  <c r="F35" i="49"/>
  <c r="F11" i="49"/>
  <c r="F12" i="49"/>
  <c r="F6" i="49"/>
  <c r="F141" i="49"/>
  <c r="F13" i="49"/>
  <c r="F41" i="49"/>
  <c r="F132" i="49"/>
  <c r="F86" i="49"/>
  <c r="F21" i="49"/>
  <c r="F83" i="49"/>
  <c r="F139" i="49"/>
  <c r="F96" i="49"/>
  <c r="F97" i="49"/>
  <c r="F140" i="49"/>
  <c r="F48" i="49"/>
  <c r="F87" i="49"/>
  <c r="F136" i="49"/>
  <c r="F50" i="49"/>
  <c r="F51" i="49" s="1"/>
  <c r="F45" i="49"/>
  <c r="F15" i="49"/>
  <c r="F137" i="49"/>
  <c r="F138" i="49"/>
  <c r="F40" i="49"/>
  <c r="F90" i="49"/>
  <c r="F23" i="49"/>
  <c r="F16" i="49"/>
  <c r="F94" i="49"/>
  <c r="F39" i="49"/>
  <c r="F34" i="49"/>
  <c r="F99" i="49"/>
  <c r="F8" i="49"/>
  <c r="F98" i="49"/>
  <c r="F142" i="49"/>
  <c r="F82" i="49"/>
  <c r="F9" i="49"/>
  <c r="F37" i="49"/>
  <c r="F133" i="49"/>
  <c r="F134" i="49"/>
  <c r="F25" i="49"/>
  <c r="F26" i="49" s="1"/>
  <c r="F89" i="49"/>
  <c r="F135" i="49"/>
  <c r="F131" i="49"/>
  <c r="F38" i="49"/>
  <c r="F7" i="49"/>
  <c r="F33" i="49"/>
  <c r="F88" i="49"/>
  <c r="F22" i="49"/>
  <c r="F93" i="49"/>
  <c r="F92" i="49"/>
  <c r="F36" i="49"/>
  <c r="F49" i="49"/>
  <c r="F19" i="49"/>
  <c r="F161" i="49"/>
  <c r="O161" i="49" s="1"/>
  <c r="F186" i="49"/>
  <c r="F185" i="49" s="1"/>
  <c r="U33" i="49"/>
  <c r="U108" i="49"/>
  <c r="F108" i="49"/>
  <c r="T192" i="49"/>
  <c r="F192" i="49" s="1"/>
  <c r="T193" i="49"/>
  <c r="F193" i="49" s="1"/>
  <c r="F194" i="49"/>
  <c r="F107" i="49"/>
  <c r="U107" i="49"/>
  <c r="U73" i="49"/>
  <c r="F73" i="49"/>
  <c r="F146" i="50"/>
  <c r="U42" i="49"/>
  <c r="F193" i="50"/>
  <c r="F192" i="50"/>
  <c r="U44" i="49"/>
  <c r="U110" i="49"/>
  <c r="F110" i="49"/>
  <c r="B112" i="50"/>
  <c r="U11" i="49"/>
  <c r="F164" i="49"/>
  <c r="O164" i="49" s="1"/>
  <c r="O165" i="49" s="1"/>
  <c r="O166" i="49" s="1"/>
  <c r="O167" i="49" s="1"/>
  <c r="O168" i="49" s="1"/>
  <c r="O169" i="49" s="1"/>
  <c r="O170" i="49" s="1"/>
  <c r="O171" i="49" s="1"/>
  <c r="O172" i="49" s="1"/>
  <c r="F76" i="50"/>
  <c r="U58" i="49"/>
  <c r="F58" i="49"/>
  <c r="F59" i="49"/>
  <c r="U59" i="49"/>
  <c r="U10" i="49"/>
  <c r="U22" i="49"/>
  <c r="U72" i="49"/>
  <c r="F72" i="49"/>
  <c r="U116" i="49"/>
  <c r="F116" i="49"/>
  <c r="U88" i="49"/>
  <c r="U95" i="49"/>
  <c r="U38" i="49"/>
  <c r="U25" i="49"/>
  <c r="F167" i="49"/>
  <c r="U47" i="49"/>
  <c r="U114" i="49"/>
  <c r="F114" i="49"/>
  <c r="U94" i="49"/>
  <c r="U98" i="49"/>
  <c r="U23" i="49"/>
  <c r="U85" i="49"/>
  <c r="U113" i="49"/>
  <c r="F113" i="49"/>
  <c r="U39" i="49"/>
  <c r="U121" i="49"/>
  <c r="F121" i="49"/>
  <c r="T168" i="50"/>
  <c r="F168" i="50" s="1"/>
  <c r="F169" i="49"/>
  <c r="U70" i="49"/>
  <c r="T165" i="50"/>
  <c r="F165" i="50" s="1"/>
  <c r="G165" i="50" s="1"/>
  <c r="T172" i="50"/>
  <c r="F172" i="50" s="1"/>
  <c r="T171" i="50"/>
  <c r="F171" i="50" s="1"/>
  <c r="F117" i="49"/>
  <c r="U117" i="49"/>
  <c r="B156" i="49"/>
  <c r="F159" i="49"/>
  <c r="O159" i="49" s="1"/>
  <c r="F172" i="49"/>
  <c r="U40" i="49"/>
  <c r="F109" i="49"/>
  <c r="U109" i="49"/>
  <c r="F115" i="49"/>
  <c r="U115" i="49"/>
  <c r="U9" i="49"/>
  <c r="F170" i="49"/>
  <c r="U83" i="49"/>
  <c r="U87" i="49"/>
  <c r="U17" i="49"/>
  <c r="F17" i="49"/>
  <c r="U112" i="49"/>
  <c r="F112" i="49"/>
  <c r="F184" i="49"/>
  <c r="F183" i="49" s="1"/>
  <c r="R156" i="50"/>
  <c r="B62" i="50"/>
  <c r="F63" i="49"/>
  <c r="U63" i="49"/>
  <c r="U16" i="49"/>
  <c r="F165" i="49"/>
  <c r="U49" i="49"/>
  <c r="U86" i="49"/>
  <c r="U43" i="49"/>
  <c r="U67" i="49"/>
  <c r="U74" i="49"/>
  <c r="F74" i="49"/>
  <c r="U90" i="49"/>
  <c r="F162" i="49"/>
  <c r="O162" i="49" s="1"/>
  <c r="U68" i="49"/>
  <c r="T169" i="50"/>
  <c r="F169" i="50" s="1"/>
  <c r="F32" i="49"/>
  <c r="U32" i="49"/>
  <c r="T195" i="49"/>
  <c r="F195" i="49" s="1"/>
  <c r="T196" i="49"/>
  <c r="F196" i="49" s="1"/>
  <c r="F197" i="49"/>
  <c r="F198" i="49" s="1"/>
  <c r="F199" i="49" s="1"/>
  <c r="F200" i="49" s="1"/>
  <c r="F201" i="49" s="1"/>
  <c r="U19" i="49"/>
  <c r="B183" i="50"/>
  <c r="U50" i="49"/>
  <c r="U13" i="49"/>
  <c r="B12" i="50"/>
  <c r="F171" i="49"/>
  <c r="F198" i="50"/>
  <c r="F199" i="50" s="1"/>
  <c r="F200" i="50" s="1"/>
  <c r="F201" i="50" s="1"/>
  <c r="F196" i="50"/>
  <c r="F195" i="50"/>
  <c r="U106" i="49"/>
  <c r="F106" i="49"/>
  <c r="F190" i="50"/>
  <c r="U7" i="49"/>
  <c r="F191" i="49"/>
  <c r="B37" i="50"/>
  <c r="U82" i="49"/>
  <c r="F26" i="50"/>
  <c r="F31" i="49"/>
  <c r="U31" i="49"/>
  <c r="F123" i="49"/>
  <c r="F124" i="49" s="1"/>
  <c r="U123" i="49"/>
  <c r="U6" i="49"/>
  <c r="U97" i="49"/>
  <c r="U34" i="49"/>
  <c r="U60" i="49"/>
  <c r="F60" i="49"/>
  <c r="U24" i="49"/>
  <c r="U12" i="49"/>
  <c r="U20" i="49"/>
  <c r="B188" i="50"/>
  <c r="U8" i="49"/>
  <c r="F75" i="49"/>
  <c r="F76" i="49" s="1"/>
  <c r="U75" i="49"/>
  <c r="F18" i="49"/>
  <c r="U18" i="49"/>
  <c r="F157" i="49"/>
  <c r="F61" i="49"/>
  <c r="U61" i="49"/>
  <c r="F68" i="49"/>
  <c r="F69" i="49"/>
  <c r="F70" i="49"/>
  <c r="U69" i="49"/>
  <c r="F67" i="49"/>
  <c r="U122" i="49"/>
  <c r="F122" i="49"/>
  <c r="U45" i="49"/>
  <c r="F124" i="50"/>
  <c r="U66" i="49"/>
  <c r="F66" i="49"/>
  <c r="U37" i="49"/>
  <c r="U93" i="49"/>
  <c r="U36" i="49"/>
  <c r="U48" i="49"/>
  <c r="T190" i="49"/>
  <c r="F190" i="49" s="1"/>
  <c r="F189" i="49"/>
  <c r="F188" i="49" s="1"/>
  <c r="U65" i="49"/>
  <c r="F65" i="49"/>
  <c r="U92" i="49"/>
  <c r="U118" i="49"/>
  <c r="F118" i="49"/>
  <c r="F156" i="49"/>
  <c r="O156" i="49" s="1"/>
  <c r="U81" i="49"/>
  <c r="U14" i="49"/>
  <c r="F168" i="49"/>
  <c r="U21" i="49"/>
  <c r="U41" i="49"/>
  <c r="T166" i="50"/>
  <c r="F166" i="50" s="1"/>
  <c r="F163" i="49"/>
  <c r="O163" i="49" s="1"/>
  <c r="U35" i="49"/>
  <c r="U62" i="49"/>
  <c r="F62" i="49"/>
  <c r="T167" i="50"/>
  <c r="F167" i="50" s="1"/>
  <c r="B87" i="50"/>
  <c r="U56" i="49"/>
  <c r="F56" i="49"/>
  <c r="U91" i="49"/>
  <c r="B137" i="50"/>
  <c r="F166" i="49"/>
  <c r="U89" i="49"/>
  <c r="U46" i="49"/>
  <c r="U100" i="49"/>
  <c r="F119" i="49"/>
  <c r="U119" i="49"/>
  <c r="U64" i="49"/>
  <c r="F64" i="49"/>
  <c r="U15" i="49"/>
  <c r="U84" i="49"/>
  <c r="F51" i="50"/>
  <c r="U96" i="49"/>
  <c r="U120" i="49"/>
  <c r="F120" i="49"/>
  <c r="F160" i="49"/>
  <c r="G160" i="49" s="1"/>
  <c r="U99" i="49"/>
  <c r="F71" i="49"/>
  <c r="U71" i="49"/>
  <c r="U57" i="49"/>
  <c r="F57" i="49"/>
  <c r="F158" i="49"/>
  <c r="O158" i="49" s="1"/>
  <c r="F111" i="49"/>
  <c r="U111" i="49"/>
  <c r="F101" i="50"/>
  <c r="T170" i="50"/>
  <c r="F170" i="50" s="1"/>
  <c r="E3" i="49"/>
  <c r="C3" i="49"/>
  <c r="E2" i="49"/>
  <c r="C2" i="49"/>
  <c r="E167" i="42"/>
  <c r="E168" i="42" s="1"/>
  <c r="E169" i="42" s="1"/>
  <c r="E170" i="42" s="1"/>
  <c r="E171" i="42" s="1"/>
  <c r="E172" i="42" s="1"/>
  <c r="R13" i="49"/>
  <c r="R15" i="49"/>
  <c r="R11" i="49"/>
  <c r="R25" i="49"/>
  <c r="R137" i="49"/>
  <c r="R143" i="49"/>
  <c r="R8" i="49"/>
  <c r="R23" i="49"/>
  <c r="R21" i="49"/>
  <c r="R141" i="49"/>
  <c r="R20" i="49"/>
  <c r="R142" i="49"/>
  <c r="R24" i="49"/>
  <c r="R14" i="49"/>
  <c r="R144" i="49"/>
  <c r="R6" i="49"/>
  <c r="R145" i="49"/>
  <c r="R134" i="49"/>
  <c r="R22" i="49"/>
  <c r="R16" i="49"/>
  <c r="R131" i="49"/>
  <c r="R138" i="49"/>
  <c r="R7" i="49"/>
  <c r="R140" i="49"/>
  <c r="R12" i="49"/>
  <c r="R17" i="49"/>
  <c r="R9" i="49"/>
  <c r="R136" i="49"/>
  <c r="R10" i="49"/>
  <c r="R133" i="49"/>
  <c r="R139" i="49"/>
  <c r="R132" i="49"/>
  <c r="R19" i="49"/>
  <c r="R135" i="49"/>
  <c r="R18" i="49"/>
  <c r="R48" i="49"/>
  <c r="R118" i="49"/>
  <c r="R36" i="49"/>
  <c r="R114" i="49"/>
  <c r="R38" i="49"/>
  <c r="R37" i="49"/>
  <c r="R97" i="49"/>
  <c r="R40" i="49"/>
  <c r="R46" i="49"/>
  <c r="R96" i="49"/>
  <c r="R87" i="49"/>
  <c r="R94" i="49"/>
  <c r="R35" i="49"/>
  <c r="R115" i="49"/>
  <c r="R85" i="49"/>
  <c r="R95" i="49"/>
  <c r="R84" i="49"/>
  <c r="R39" i="49"/>
  <c r="R49" i="49"/>
  <c r="R98" i="49"/>
  <c r="R34" i="49"/>
  <c r="R99" i="49"/>
  <c r="R31" i="49"/>
  <c r="R47" i="49"/>
  <c r="R50" i="49"/>
  <c r="R43" i="49"/>
  <c r="R119" i="49"/>
  <c r="R42" i="49"/>
  <c r="R117" i="49"/>
  <c r="R93" i="49"/>
  <c r="R100" i="49"/>
  <c r="R82" i="49"/>
  <c r="R83" i="49"/>
  <c r="R92" i="49"/>
  <c r="R88" i="49"/>
  <c r="R91" i="49"/>
  <c r="R32" i="49"/>
  <c r="R45" i="49"/>
  <c r="R89" i="49"/>
  <c r="R111" i="49"/>
  <c r="R44" i="49"/>
  <c r="R90" i="49"/>
  <c r="R81" i="49"/>
  <c r="R86" i="49"/>
  <c r="R41" i="49"/>
  <c r="R33" i="49"/>
  <c r="R123" i="49"/>
  <c r="R121" i="49"/>
  <c r="C58" i="39"/>
  <c r="C107" i="50"/>
  <c r="R189" i="49"/>
  <c r="B158" i="49"/>
  <c r="F21" i="50"/>
  <c r="R159" i="49"/>
  <c r="R116" i="49"/>
  <c r="R191" i="49"/>
  <c r="R61" i="49"/>
  <c r="C107" i="42"/>
  <c r="R65" i="49"/>
  <c r="B133" i="49"/>
  <c r="C32" i="49"/>
  <c r="R110" i="49"/>
  <c r="C82" i="42"/>
  <c r="V162" i="50"/>
  <c r="R192" i="49"/>
  <c r="R73" i="49"/>
  <c r="D106" i="50"/>
  <c r="R185" i="49"/>
  <c r="C57" i="50"/>
  <c r="R197" i="49"/>
  <c r="C182" i="42"/>
  <c r="D56" i="49"/>
  <c r="R74" i="49"/>
  <c r="C157" i="49"/>
  <c r="R184" i="49"/>
  <c r="R67" i="49"/>
  <c r="C157" i="42"/>
  <c r="B83" i="49"/>
  <c r="R162" i="49"/>
  <c r="D6" i="49"/>
  <c r="C57" i="42"/>
  <c r="R112" i="49"/>
  <c r="B108" i="49"/>
  <c r="B58" i="49"/>
  <c r="B181" i="49"/>
  <c r="R107" i="49"/>
  <c r="R171" i="49"/>
  <c r="R120" i="49"/>
  <c r="R68" i="49"/>
  <c r="R194" i="49"/>
  <c r="R187" i="49"/>
  <c r="C57" i="49"/>
  <c r="R182" i="49"/>
  <c r="C8" i="39"/>
  <c r="R108" i="49"/>
  <c r="R183" i="49"/>
  <c r="R64" i="49"/>
  <c r="B181" i="50"/>
  <c r="B187" i="49"/>
  <c r="R186" i="49"/>
  <c r="C132" i="42"/>
  <c r="C108" i="39"/>
  <c r="C82" i="49"/>
  <c r="R70" i="49"/>
  <c r="B33" i="50"/>
  <c r="R71" i="49"/>
  <c r="B185" i="49"/>
  <c r="D81" i="49"/>
  <c r="C7" i="42"/>
  <c r="R63" i="49"/>
  <c r="R75" i="49"/>
  <c r="C7" i="50"/>
  <c r="D81" i="50"/>
  <c r="C133" i="39"/>
  <c r="R164" i="49"/>
  <c r="R109" i="49"/>
  <c r="R163" i="49"/>
  <c r="V158" i="50"/>
  <c r="C32" i="42"/>
  <c r="C182" i="50"/>
  <c r="D31" i="50"/>
  <c r="C183" i="39"/>
  <c r="C182" i="49"/>
  <c r="R165" i="49"/>
  <c r="D131" i="49"/>
  <c r="D56" i="50"/>
  <c r="R190" i="49"/>
  <c r="R166" i="49"/>
  <c r="R195" i="49"/>
  <c r="R60" i="49"/>
  <c r="D31" i="49"/>
  <c r="R58" i="49"/>
  <c r="C157" i="50"/>
  <c r="R66" i="49"/>
  <c r="C83" i="39"/>
  <c r="R62" i="49"/>
  <c r="C7" i="49"/>
  <c r="R181" i="49"/>
  <c r="B182" i="49"/>
  <c r="R69" i="49"/>
  <c r="R158" i="49"/>
  <c r="R59" i="49"/>
  <c r="R161" i="49"/>
  <c r="R122" i="49"/>
  <c r="D106" i="49"/>
  <c r="R56" i="49"/>
  <c r="B33" i="49"/>
  <c r="C158" i="39"/>
  <c r="R193" i="49"/>
  <c r="R72" i="49"/>
  <c r="D131" i="50"/>
  <c r="R106" i="49"/>
  <c r="R160" i="49"/>
  <c r="R170" i="49"/>
  <c r="C107" i="49"/>
  <c r="R196" i="49"/>
  <c r="F20" i="50"/>
  <c r="R188" i="49"/>
  <c r="C132" i="50"/>
  <c r="R167" i="49"/>
  <c r="R57" i="49"/>
  <c r="R156" i="49"/>
  <c r="R113" i="49"/>
  <c r="C32" i="50"/>
  <c r="C132" i="49"/>
  <c r="C82" i="50"/>
  <c r="R168" i="49"/>
  <c r="R172" i="49"/>
  <c r="D6" i="50"/>
  <c r="R169" i="49"/>
  <c r="R157" i="49"/>
  <c r="C33" i="39"/>
  <c r="F166" i="39" l="1"/>
  <c r="P166" i="39" s="1"/>
  <c r="U158" i="50"/>
  <c r="B158" i="50" s="1"/>
  <c r="G162" i="49"/>
  <c r="G165" i="49"/>
  <c r="G158" i="49"/>
  <c r="G157" i="49"/>
  <c r="U157" i="50"/>
  <c r="B157" i="50" s="1"/>
  <c r="B156" i="50" s="1"/>
  <c r="O160" i="49"/>
  <c r="G161" i="49"/>
  <c r="U159" i="50"/>
  <c r="B159" i="50" s="1"/>
  <c r="U161" i="50"/>
  <c r="B161" i="50" s="1"/>
  <c r="U162" i="50"/>
  <c r="B162" i="50" s="1"/>
  <c r="L154" i="49"/>
  <c r="U160" i="50"/>
  <c r="B160" i="50" s="1"/>
  <c r="O157" i="49"/>
  <c r="G164" i="49"/>
  <c r="G159" i="49"/>
  <c r="F181" i="49"/>
  <c r="F182" i="49"/>
  <c r="G163" i="49"/>
  <c r="F187" i="49"/>
  <c r="B188" i="49"/>
  <c r="I166" i="42"/>
  <c r="T166" i="42" s="1"/>
  <c r="F166" i="42" s="1"/>
  <c r="C9" i="39"/>
  <c r="C34" i="39"/>
  <c r="D32" i="49"/>
  <c r="C33" i="42"/>
  <c r="C83" i="49"/>
  <c r="D57" i="49"/>
  <c r="C59" i="39"/>
  <c r="C159" i="39"/>
  <c r="C33" i="50"/>
  <c r="C109" i="39"/>
  <c r="C83" i="42"/>
  <c r="D132" i="50"/>
  <c r="D132" i="49"/>
  <c r="C58" i="49"/>
  <c r="C58" i="42"/>
  <c r="C133" i="49"/>
  <c r="C158" i="50"/>
  <c r="C183" i="42"/>
  <c r="C84" i="39"/>
  <c r="C108" i="49"/>
  <c r="C83" i="50"/>
  <c r="C158" i="42"/>
  <c r="C108" i="50"/>
  <c r="D32" i="50"/>
  <c r="C58" i="50"/>
  <c r="C108" i="42"/>
  <c r="C184" i="39"/>
  <c r="D82" i="50"/>
  <c r="C8" i="50"/>
  <c r="D107" i="50"/>
  <c r="C158" i="49"/>
  <c r="C133" i="42"/>
  <c r="C8" i="49"/>
  <c r="B184" i="49"/>
  <c r="C183" i="50"/>
  <c r="C183" i="49"/>
  <c r="C8" i="42"/>
  <c r="D57" i="50"/>
  <c r="C33" i="49"/>
  <c r="C133" i="50"/>
  <c r="C134" i="39"/>
  <c r="D107" i="49"/>
  <c r="B183" i="49" l="1"/>
  <c r="C159" i="49"/>
  <c r="C85" i="39"/>
  <c r="C184" i="42"/>
  <c r="C184" i="50"/>
  <c r="C135" i="39"/>
  <c r="C10" i="39"/>
  <c r="C34" i="42"/>
  <c r="C185" i="39"/>
  <c r="C34" i="49"/>
  <c r="C134" i="49"/>
  <c r="C134" i="42"/>
  <c r="C34" i="50"/>
  <c r="C184" i="49"/>
  <c r="C160" i="39"/>
  <c r="C110" i="39"/>
  <c r="C59" i="50"/>
  <c r="C9" i="49"/>
  <c r="C109" i="50"/>
  <c r="C60" i="39"/>
  <c r="C84" i="50"/>
  <c r="C159" i="50"/>
  <c r="C159" i="42"/>
  <c r="C59" i="49"/>
  <c r="C35" i="39"/>
  <c r="C9" i="42"/>
  <c r="C9" i="50"/>
  <c r="C109" i="49"/>
  <c r="C134" i="50"/>
  <c r="C109" i="42"/>
  <c r="C84" i="42"/>
  <c r="C59" i="42"/>
  <c r="C84" i="49"/>
  <c r="C111" i="39" l="1"/>
  <c r="C160" i="42"/>
  <c r="C35" i="42"/>
  <c r="C85" i="49"/>
  <c r="C185" i="49"/>
  <c r="C10" i="49"/>
  <c r="C36" i="39"/>
  <c r="C85" i="42"/>
  <c r="C35" i="49"/>
  <c r="C135" i="50"/>
  <c r="C110" i="50"/>
  <c r="C186" i="39"/>
  <c r="C60" i="49"/>
  <c r="C85" i="50"/>
  <c r="C135" i="49"/>
  <c r="C10" i="42"/>
  <c r="C161" i="39"/>
  <c r="C61" i="39"/>
  <c r="C185" i="42"/>
  <c r="C60" i="50"/>
  <c r="C160" i="50"/>
  <c r="C160" i="49"/>
  <c r="C86" i="39"/>
  <c r="C110" i="49"/>
  <c r="C35" i="50"/>
  <c r="C110" i="42"/>
  <c r="C185" i="50"/>
  <c r="C135" i="42"/>
  <c r="C60" i="42"/>
  <c r="C136" i="39"/>
  <c r="C11" i="39"/>
  <c r="C10" i="50"/>
  <c r="C11" i="50" l="1"/>
  <c r="C111" i="49"/>
  <c r="C11" i="42"/>
  <c r="C86" i="42"/>
  <c r="C87" i="39"/>
  <c r="C136" i="49"/>
  <c r="C37" i="39"/>
  <c r="C137" i="39"/>
  <c r="C161" i="49"/>
  <c r="C86" i="50"/>
  <c r="C11" i="49"/>
  <c r="C161" i="50"/>
  <c r="C186" i="49"/>
  <c r="C61" i="50"/>
  <c r="C187" i="39"/>
  <c r="C186" i="50"/>
  <c r="C111" i="50"/>
  <c r="C62" i="39"/>
  <c r="C161" i="42"/>
  <c r="C162" i="39"/>
  <c r="C112" i="39"/>
  <c r="C12" i="39"/>
  <c r="C61" i="42"/>
  <c r="C61" i="49"/>
  <c r="C136" i="42"/>
  <c r="C86" i="49"/>
  <c r="C186" i="42"/>
  <c r="C36" i="42"/>
  <c r="C111" i="42"/>
  <c r="C136" i="50"/>
  <c r="C36" i="50"/>
  <c r="C36" i="49"/>
  <c r="C37" i="49" l="1"/>
  <c r="C62" i="49"/>
  <c r="C187" i="50"/>
  <c r="C138" i="39"/>
  <c r="C13" i="39"/>
  <c r="C137" i="49"/>
  <c r="C113" i="39"/>
  <c r="C88" i="39"/>
  <c r="C163" i="39"/>
  <c r="C87" i="42"/>
  <c r="C162" i="42"/>
  <c r="C12" i="42"/>
  <c r="C63" i="39"/>
  <c r="C112" i="49"/>
  <c r="C112" i="50"/>
  <c r="C12" i="50"/>
  <c r="C37" i="50"/>
  <c r="C62" i="42"/>
  <c r="C188" i="39"/>
  <c r="C38" i="39"/>
  <c r="C137" i="50"/>
  <c r="C62" i="50"/>
  <c r="C112" i="42"/>
  <c r="C187" i="49"/>
  <c r="C37" i="42"/>
  <c r="C162" i="50"/>
  <c r="C187" i="42"/>
  <c r="C12" i="49"/>
  <c r="C87" i="49"/>
  <c r="C87" i="50"/>
  <c r="C137" i="42"/>
  <c r="C162" i="49"/>
  <c r="C163" i="49"/>
  <c r="C188" i="49"/>
  <c r="C113" i="49"/>
  <c r="C88" i="49"/>
  <c r="C88" i="42"/>
  <c r="C63" i="42"/>
  <c r="C188" i="42"/>
  <c r="C188" i="50"/>
  <c r="C63" i="49"/>
  <c r="C113" i="50"/>
  <c r="C138" i="42"/>
  <c r="C113" i="42"/>
  <c r="C13" i="42"/>
  <c r="C88" i="50"/>
  <c r="C63" i="50"/>
  <c r="C163" i="42"/>
  <c r="C138" i="50"/>
  <c r="C13" i="49"/>
  <c r="C138" i="49"/>
  <c r="C38" i="50"/>
  <c r="C163" i="50"/>
  <c r="C13" i="50"/>
  <c r="C38" i="42"/>
  <c r="C38" i="49"/>
</calcChain>
</file>

<file path=xl/sharedStrings.xml><?xml version="1.0" encoding="utf-8"?>
<sst xmlns="http://schemas.openxmlformats.org/spreadsheetml/2006/main" count="2654" uniqueCount="839">
  <si>
    <t>JY00S/N Index</t>
  </si>
  <si>
    <t>JY0001M Index</t>
  </si>
  <si>
    <t>JY0002M Index</t>
  </si>
  <si>
    <t>JY0003M Index</t>
  </si>
  <si>
    <t>JY0006M Index</t>
  </si>
  <si>
    <t>JY0012M Index</t>
  </si>
  <si>
    <t>EUSWEC Curncy</t>
  </si>
  <si>
    <t>Base</t>
  </si>
  <si>
    <t>Foreign</t>
  </si>
  <si>
    <t>Code</t>
  </si>
  <si>
    <t>Bloomberg ticker</t>
  </si>
  <si>
    <t>FX Live</t>
  </si>
  <si>
    <t>USD</t>
  </si>
  <si>
    <t>EUR</t>
  </si>
  <si>
    <t>GBP</t>
  </si>
  <si>
    <t>KRW</t>
  </si>
  <si>
    <t>NOK</t>
  </si>
  <si>
    <t>SEK</t>
  </si>
  <si>
    <t>TWD</t>
  </si>
  <si>
    <t>JPY</t>
  </si>
  <si>
    <t>NZD</t>
  </si>
  <si>
    <t>CAD</t>
  </si>
  <si>
    <t>AUD</t>
  </si>
  <si>
    <t>SAR</t>
  </si>
  <si>
    <t>Dates</t>
  </si>
  <si>
    <t>type</t>
  </si>
  <si>
    <t>USSW10 Index</t>
  </si>
  <si>
    <t>EUSA10 Index</t>
  </si>
  <si>
    <t>BPSW10 Index</t>
  </si>
  <si>
    <t>cash</t>
  </si>
  <si>
    <t>Cash Rates</t>
  </si>
  <si>
    <t>future</t>
  </si>
  <si>
    <t>Future Rates</t>
  </si>
  <si>
    <t>swap</t>
  </si>
  <si>
    <t>Swap Rates</t>
  </si>
  <si>
    <t>Tickers</t>
  </si>
  <si>
    <t>US00o/n Index</t>
  </si>
  <si>
    <t>US0001m Index</t>
  </si>
  <si>
    <t>US0002m Index</t>
  </si>
  <si>
    <t>US0003m Index</t>
  </si>
  <si>
    <t>US0006m Index</t>
  </si>
  <si>
    <t>US0012m Index</t>
  </si>
  <si>
    <t>EDU8 Comdty</t>
  </si>
  <si>
    <t>EDZ8 Comdty</t>
  </si>
  <si>
    <t>EDH9 Comdty</t>
  </si>
  <si>
    <t>EDM9 Comdty</t>
  </si>
  <si>
    <t>EDU9 Comdty</t>
  </si>
  <si>
    <t>EDZ9 Comdty</t>
  </si>
  <si>
    <t>EDH0 Comdty</t>
  </si>
  <si>
    <t>EDM0 Comdty</t>
  </si>
  <si>
    <t>USSW2 Index</t>
  </si>
  <si>
    <t>USSW3 Index</t>
  </si>
  <si>
    <t>USSW4 Index</t>
  </si>
  <si>
    <t>USSW5 Index</t>
  </si>
  <si>
    <t>USSW6 Index</t>
  </si>
  <si>
    <t>USSW7 Index</t>
  </si>
  <si>
    <t>USSW8 Index</t>
  </si>
  <si>
    <t>USSW9 Index</t>
  </si>
  <si>
    <t>USSW11 Index</t>
  </si>
  <si>
    <t>USSW12 Index</t>
  </si>
  <si>
    <t>USSW13 Index</t>
  </si>
  <si>
    <t>USSW14 Index</t>
  </si>
  <si>
    <t>USSW15 Index</t>
  </si>
  <si>
    <t>USSW16 Index</t>
  </si>
  <si>
    <t>USSW17 Index</t>
  </si>
  <si>
    <t>USSW20 Index</t>
  </si>
  <si>
    <t>USSW25 Index</t>
  </si>
  <si>
    <t>USSW30 Index</t>
  </si>
  <si>
    <t>USSW40 Index</t>
  </si>
  <si>
    <t>Current Date</t>
  </si>
  <si>
    <t>Settlement Date</t>
  </si>
  <si>
    <t>Previous Date</t>
  </si>
  <si>
    <t>EUR001m Index</t>
  </si>
  <si>
    <t>EUR002m Index</t>
  </si>
  <si>
    <t>EUR003m Index</t>
  </si>
  <si>
    <t>EUR006m Index</t>
  </si>
  <si>
    <t>EUR012m Index</t>
  </si>
  <si>
    <t>ERU8 Comdty</t>
  </si>
  <si>
    <t>ERZ8 Comdty</t>
  </si>
  <si>
    <t>ERH9 Comdty</t>
  </si>
  <si>
    <t>ERM9 Comdty</t>
  </si>
  <si>
    <t>ERU9 Comdty</t>
  </si>
  <si>
    <t>ERZ9 Comdty</t>
  </si>
  <si>
    <t>ERH0 Comdty</t>
  </si>
  <si>
    <t>ERM0 Comdty</t>
  </si>
  <si>
    <t>EUSA2 Index</t>
  </si>
  <si>
    <t>EUSA3 Index</t>
  </si>
  <si>
    <t>EUSA5 Index</t>
  </si>
  <si>
    <t>EUSA7 Index</t>
  </si>
  <si>
    <t>EUSA4 Index</t>
  </si>
  <si>
    <t>EUSA6 Index</t>
  </si>
  <si>
    <t>EUSA8 Index</t>
  </si>
  <si>
    <t>EUSA9 Index</t>
  </si>
  <si>
    <t>EUSA11 Index</t>
  </si>
  <si>
    <t>EUSA12 Index</t>
  </si>
  <si>
    <t>EUSA13 Index</t>
  </si>
  <si>
    <t>EUSA14 Index</t>
  </si>
  <si>
    <t>EUSA15 Index</t>
  </si>
  <si>
    <t>EUSA16 Index</t>
  </si>
  <si>
    <t>EUSA17 Index</t>
  </si>
  <si>
    <t>EUSA20 Index</t>
  </si>
  <si>
    <t>EUSA25 Index</t>
  </si>
  <si>
    <t>EUSA30 Index</t>
  </si>
  <si>
    <t>EUSA40 Index</t>
  </si>
  <si>
    <t>YEU8 Comdty</t>
  </si>
  <si>
    <t>YEZ8 Comdty</t>
  </si>
  <si>
    <t>YEH9 Comdty</t>
  </si>
  <si>
    <t>YEM9 Comdty</t>
  </si>
  <si>
    <t>YEU9 Comdty</t>
  </si>
  <si>
    <t>YEZ9 Comdty</t>
  </si>
  <si>
    <t>YEH0 Comdty</t>
  </si>
  <si>
    <t>YEM0 Comdty</t>
  </si>
  <si>
    <t>JYSW2 Index</t>
  </si>
  <si>
    <t>JYSW3 Index</t>
  </si>
  <si>
    <t>JYSW4 Index</t>
  </si>
  <si>
    <t>JYSW5 Index</t>
  </si>
  <si>
    <t>JYSW6 Index</t>
  </si>
  <si>
    <t>JYSW7 Index</t>
  </si>
  <si>
    <t>JYSW8 Index</t>
  </si>
  <si>
    <t>JYSW9 Index</t>
  </si>
  <si>
    <t>JYSW10 Index</t>
  </si>
  <si>
    <t>JYSW11 Index</t>
  </si>
  <si>
    <t>JYSW12 Index</t>
  </si>
  <si>
    <t>JYSW13 Index</t>
  </si>
  <si>
    <t>JYSW14 Index</t>
  </si>
  <si>
    <t>JYSW15 Index</t>
  </si>
  <si>
    <t>JYSW16 Index</t>
  </si>
  <si>
    <t>JYSW17 Index</t>
  </si>
  <si>
    <t>JYSW20 Index</t>
  </si>
  <si>
    <t>JYSW25 Index</t>
  </si>
  <si>
    <t>JYSW30 Index</t>
  </si>
  <si>
    <t>JYSW40 Index</t>
  </si>
  <si>
    <t>Special Case for JPY</t>
  </si>
  <si>
    <t>1 Year Adjustment</t>
  </si>
  <si>
    <t>2 Year Adjustment</t>
  </si>
  <si>
    <t>BP00O/N Index</t>
  </si>
  <si>
    <t>BP0001M Index</t>
  </si>
  <si>
    <t>BP0002M Index</t>
  </si>
  <si>
    <t>BP0003M Index</t>
  </si>
  <si>
    <t>BP0006M Index</t>
  </si>
  <si>
    <t>BP0012M Index</t>
  </si>
  <si>
    <t>L U8 Comdty</t>
  </si>
  <si>
    <t>L Z8 Comdty</t>
  </si>
  <si>
    <t>L H9 Comdty</t>
  </si>
  <si>
    <t>L M9 Comdty</t>
  </si>
  <si>
    <t>L U9 Comdty</t>
  </si>
  <si>
    <t>L Z9 Comdty</t>
  </si>
  <si>
    <t>L H0 Comdty</t>
  </si>
  <si>
    <t>L M0 Comdty</t>
  </si>
  <si>
    <t>BPSW2 Index</t>
  </si>
  <si>
    <t>BPSW3 Index</t>
  </si>
  <si>
    <t>BPSW4 Index</t>
  </si>
  <si>
    <t>BPSW5 Index</t>
  </si>
  <si>
    <t>BPSW6 Index</t>
  </si>
  <si>
    <t>BPSW7 Index</t>
  </si>
  <si>
    <t>BPSW8 Index</t>
  </si>
  <si>
    <t>BPSW9 Index</t>
  </si>
  <si>
    <t>BPSW11 Index</t>
  </si>
  <si>
    <t>BPSW12 Index</t>
  </si>
  <si>
    <t>BPSW13 Index</t>
  </si>
  <si>
    <t>BPSW14 Index</t>
  </si>
  <si>
    <t>BPSW15 Index</t>
  </si>
  <si>
    <t>BPSW16 Index</t>
  </si>
  <si>
    <t>BPSW17 Index</t>
  </si>
  <si>
    <t>BPSW20 Index</t>
  </si>
  <si>
    <t>BPSW25 Index</t>
  </si>
  <si>
    <t>BPSW30 Index</t>
  </si>
  <si>
    <t>BPSW40 Index</t>
  </si>
  <si>
    <t>SF00S/N Index</t>
  </si>
  <si>
    <t>SF0001M Index</t>
  </si>
  <si>
    <t>SF0002M Index</t>
  </si>
  <si>
    <t>SF0003M Index</t>
  </si>
  <si>
    <t>SF0006M Index</t>
  </si>
  <si>
    <t>SF0012M Index</t>
  </si>
  <si>
    <t>ESU8 Comdty</t>
  </si>
  <si>
    <t>ESZ8 Comdty</t>
  </si>
  <si>
    <t>ESH9 Comdty</t>
  </si>
  <si>
    <t>ESM9 Comdty</t>
  </si>
  <si>
    <t>ESU9 Comdty</t>
  </si>
  <si>
    <t>ESZ9 Comdty</t>
  </si>
  <si>
    <t>ESH0 Comdty</t>
  </si>
  <si>
    <t>ESM0 Comdty</t>
  </si>
  <si>
    <t>SFSW2 Index</t>
  </si>
  <si>
    <t>SFSW3 Index</t>
  </si>
  <si>
    <t>SFSW4 Index</t>
  </si>
  <si>
    <t>SFSW5 Index</t>
  </si>
  <si>
    <t>SFSW6 Index</t>
  </si>
  <si>
    <t>SFSW7 Index</t>
  </si>
  <si>
    <t>SFSW8 Index</t>
  </si>
  <si>
    <t>SFSW9 Index</t>
  </si>
  <si>
    <t>SFSW10 Index</t>
  </si>
  <si>
    <t>SFSW11 Index</t>
  </si>
  <si>
    <t>SFSW12 Index</t>
  </si>
  <si>
    <t>SFSW13 Index</t>
  </si>
  <si>
    <t>SFSW14 Index</t>
  </si>
  <si>
    <t>SFSW15 Index</t>
  </si>
  <si>
    <t>SFSW20 Index</t>
  </si>
  <si>
    <t>SFSW25 Index</t>
  </si>
  <si>
    <t>SFSW30 Index</t>
  </si>
  <si>
    <t>SFSW40 Index</t>
  </si>
  <si>
    <t>CABROVER Index</t>
  </si>
  <si>
    <t>CDOR01 Index</t>
  </si>
  <si>
    <t>CDOR02 Index</t>
  </si>
  <si>
    <t>CDOR03 Index</t>
  </si>
  <si>
    <t>CDOR06 Index</t>
  </si>
  <si>
    <t>CDOR12 Index</t>
  </si>
  <si>
    <t>BAU8 Comdty</t>
  </si>
  <si>
    <t>BAZ8 Comdty</t>
  </si>
  <si>
    <t>BAH9 Comdty</t>
  </si>
  <si>
    <t>BAM9 Comdty</t>
  </si>
  <si>
    <t>BAU9 Comdty</t>
  </si>
  <si>
    <t>BAZ9 Comdty</t>
  </si>
  <si>
    <t>BAH0 Comdty</t>
  </si>
  <si>
    <t>BAM0 Comdty</t>
  </si>
  <si>
    <t>CDSW2 Index</t>
  </si>
  <si>
    <t>CDSW3 Index</t>
  </si>
  <si>
    <t>CDSW4 Index</t>
  </si>
  <si>
    <t>CDSW5 Index</t>
  </si>
  <si>
    <t>CDSW6 Index</t>
  </si>
  <si>
    <t>CDSW7 Index</t>
  </si>
  <si>
    <t>CDSW8 Index</t>
  </si>
  <si>
    <t>CDSW9 Index</t>
  </si>
  <si>
    <t>CDSW10 Index</t>
  </si>
  <si>
    <t>CDSW12 Index</t>
  </si>
  <si>
    <t>CDSW15 Index</t>
  </si>
  <si>
    <t>CDSW20 Index</t>
  </si>
  <si>
    <t>CDSW25 Index</t>
  </si>
  <si>
    <t>CDSW30 Index</t>
  </si>
  <si>
    <t>CDSW40 Index</t>
  </si>
  <si>
    <t>Currency</t>
  </si>
  <si>
    <t>BRL</t>
  </si>
  <si>
    <t>HASWDI1M Index</t>
  </si>
  <si>
    <t>HASWDI2M Index</t>
  </si>
  <si>
    <t>HASWDI3M Index</t>
  </si>
  <si>
    <t>HASWDI6M Index</t>
  </si>
  <si>
    <t>HASWDI9M Index</t>
  </si>
  <si>
    <t>HASWDI1Y Index</t>
  </si>
  <si>
    <t>HASWDI2Y Index</t>
  </si>
  <si>
    <t>HASWDI3Y Index</t>
  </si>
  <si>
    <t>HASWDI4Y Index</t>
  </si>
  <si>
    <t>HASWDI5Y Index</t>
  </si>
  <si>
    <t>HASWDI6Y Index</t>
  </si>
  <si>
    <t>HASWDI7Y Index</t>
  </si>
  <si>
    <t>HASWDI8Y Index</t>
  </si>
  <si>
    <t>HASWDI9Y Index</t>
  </si>
  <si>
    <t>HASWDI10Y Index</t>
  </si>
  <si>
    <t>NAN</t>
  </si>
  <si>
    <t>CHF</t>
  </si>
  <si>
    <t>B.S. Adjustments</t>
  </si>
  <si>
    <t>EUBS2 Index</t>
  </si>
  <si>
    <t>EUBS3 Index</t>
  </si>
  <si>
    <t>EUBS4 Index</t>
  </si>
  <si>
    <t>EUBS5 Index</t>
  </si>
  <si>
    <t>EUBS6 Index</t>
  </si>
  <si>
    <t>EUBS7 Index</t>
  </si>
  <si>
    <t>EUBS8 Index</t>
  </si>
  <si>
    <t>EUBS9 Index</t>
  </si>
  <si>
    <t>EUBS10 Index</t>
  </si>
  <si>
    <t>EUBS11 Index</t>
  </si>
  <si>
    <t>EUBS12 Index</t>
  </si>
  <si>
    <t>EUBS13 Index</t>
  </si>
  <si>
    <t>EUBS14 Index</t>
  </si>
  <si>
    <t>EUBS15 Index</t>
  </si>
  <si>
    <t>EUBS16 Index</t>
  </si>
  <si>
    <t>EUBS17 Index</t>
  </si>
  <si>
    <t>EUBS20 Index</t>
  </si>
  <si>
    <t>EUBS25 Index</t>
  </si>
  <si>
    <t>EUBS30 Index</t>
  </si>
  <si>
    <t>EUBS40 Index</t>
  </si>
  <si>
    <t>JYBS2 Index</t>
  </si>
  <si>
    <t>JYBS3 Index</t>
  </si>
  <si>
    <t>JYBS4 Index</t>
  </si>
  <si>
    <t>JYBS5 Index</t>
  </si>
  <si>
    <t>JYBS6 Index</t>
  </si>
  <si>
    <t>JYBS7 Index</t>
  </si>
  <si>
    <t>JYBS8 Index</t>
  </si>
  <si>
    <t>JYBS9 Index</t>
  </si>
  <si>
    <t>JYBS10 Index</t>
  </si>
  <si>
    <t>JYBS11 Index</t>
  </si>
  <si>
    <t>JYBS12 Index</t>
  </si>
  <si>
    <t>JYBS13 Index</t>
  </si>
  <si>
    <t>JYBS14 Index</t>
  </si>
  <si>
    <t>JYBS15 Index</t>
  </si>
  <si>
    <t>JYBS16 Index</t>
  </si>
  <si>
    <t>JYBS17 Index</t>
  </si>
  <si>
    <t>JYBS20 Index</t>
  </si>
  <si>
    <t>JYBS25 Index</t>
  </si>
  <si>
    <t>JYBS30 Index</t>
  </si>
  <si>
    <t>JYBS40 Index</t>
  </si>
  <si>
    <t>BPBS3 Index</t>
  </si>
  <si>
    <t>BPBS4 Index</t>
  </si>
  <si>
    <t>BPBS5 Index</t>
  </si>
  <si>
    <t>BPBS6 Index</t>
  </si>
  <si>
    <t>BPBS7 Index</t>
  </si>
  <si>
    <t>BPBS8 Index</t>
  </si>
  <si>
    <t>BPBS9 Index</t>
  </si>
  <si>
    <t>BPBS10 Index</t>
  </si>
  <si>
    <t>BPBS11 Index</t>
  </si>
  <si>
    <t>BPBS12 Index</t>
  </si>
  <si>
    <t>BPBS13 Index</t>
  </si>
  <si>
    <t>BPBS14 Index</t>
  </si>
  <si>
    <t>BPBS15 Index</t>
  </si>
  <si>
    <t>BPBS16 Index</t>
  </si>
  <si>
    <t>BPBS17 Index</t>
  </si>
  <si>
    <t>BPBS20 Index</t>
  </si>
  <si>
    <t>BPBS25 Index</t>
  </si>
  <si>
    <t>BPBS30 Index</t>
  </si>
  <si>
    <t>BPBS40 Index</t>
  </si>
  <si>
    <t>BPBS2 Index</t>
  </si>
  <si>
    <t>SFBS2 Index</t>
  </si>
  <si>
    <t>SFBS3 Index</t>
  </si>
  <si>
    <t>SFBS4 Index</t>
  </si>
  <si>
    <t>SFBS5 Index</t>
  </si>
  <si>
    <t>SFBS6 Index</t>
  </si>
  <si>
    <t>SFBS7 Index</t>
  </si>
  <si>
    <t>SFBS8 Index</t>
  </si>
  <si>
    <t>SFBS9 Index</t>
  </si>
  <si>
    <t>SFBS10 Index</t>
  </si>
  <si>
    <t>SFBS11 Index</t>
  </si>
  <si>
    <t>SFBS12 Index</t>
  </si>
  <si>
    <t>SFBS13 Index</t>
  </si>
  <si>
    <t>SFBS14 Index</t>
  </si>
  <si>
    <t>SFBS15 Index</t>
  </si>
  <si>
    <t>SFBS20 Index</t>
  </si>
  <si>
    <t>SFBS25 Index</t>
  </si>
  <si>
    <t>SFBS30 Index</t>
  </si>
  <si>
    <t>SFBS40 Index</t>
  </si>
  <si>
    <t>CDBS2 Index</t>
  </si>
  <si>
    <t>CDBS3 Index</t>
  </si>
  <si>
    <t>CDBS4 Index</t>
  </si>
  <si>
    <t>CDBS5 Index</t>
  </si>
  <si>
    <t>CDBS6 Index</t>
  </si>
  <si>
    <t>CDBS7 Index</t>
  </si>
  <si>
    <t>CDBS8 Index</t>
  </si>
  <si>
    <t>CDBS9 Index</t>
  </si>
  <si>
    <t>CDBS10 Index</t>
  </si>
  <si>
    <t>CDBS12 Index</t>
  </si>
  <si>
    <t>CDBS15 Index</t>
  </si>
  <si>
    <t>CDBS20 Index</t>
  </si>
  <si>
    <t>CDBS25 Index</t>
  </si>
  <si>
    <t>CDBS30 Index</t>
  </si>
  <si>
    <t>CDBS40 Index</t>
  </si>
  <si>
    <t>BLBS2 Index</t>
  </si>
  <si>
    <t>BLBS3 Index</t>
  </si>
  <si>
    <t>BLBS4 Index</t>
  </si>
  <si>
    <t>BLBS5 Index</t>
  </si>
  <si>
    <t>BLBS6 Index</t>
  </si>
  <si>
    <t>BLBS7 Index</t>
  </si>
  <si>
    <t>BLBS8 Index</t>
  </si>
  <si>
    <t>BLBS9 Index</t>
  </si>
  <si>
    <t>BLBS10 Index</t>
  </si>
  <si>
    <t>BLBS11 Index</t>
  </si>
  <si>
    <t>BLBS12 Index</t>
  </si>
  <si>
    <t>BLBS13 Index</t>
  </si>
  <si>
    <t>BLBS14 Index</t>
  </si>
  <si>
    <t>BLBS15 Index</t>
  </si>
  <si>
    <t>BLBS16 Index</t>
  </si>
  <si>
    <t>BLBS17 Index</t>
  </si>
  <si>
    <t>BLBS20 Index</t>
  </si>
  <si>
    <t>BLBS25 Index</t>
  </si>
  <si>
    <t>BLBS30 Index</t>
  </si>
  <si>
    <t>BLBS40 Index</t>
  </si>
  <si>
    <t>EUBS1 Index</t>
  </si>
  <si>
    <t>JYBS1 Index</t>
  </si>
  <si>
    <t>SFBS1 Index</t>
  </si>
  <si>
    <t>CDBS1 Index</t>
  </si>
  <si>
    <t>BPBS1 curncy</t>
  </si>
  <si>
    <t>BLBS1 Curncy</t>
  </si>
  <si>
    <t>Synthetic BRL curve inputs</t>
  </si>
  <si>
    <t>Delta 5-10 years</t>
  </si>
  <si>
    <t>BCN1W BGN Curncy</t>
  </si>
  <si>
    <t>BCN1M BGN Curncy</t>
  </si>
  <si>
    <t>BCN2M BGN Curncy</t>
  </si>
  <si>
    <t>BCN3M BGN Curncy</t>
  </si>
  <si>
    <t>BCN4M BGN Curncy</t>
  </si>
  <si>
    <t>BCN5M BGN Curncy</t>
  </si>
  <si>
    <t>BCN6M BGN Curncy</t>
  </si>
  <si>
    <t>BCN9M BGN Curncy</t>
  </si>
  <si>
    <t>BCN12M BGN Curncy</t>
  </si>
  <si>
    <t>BCN2Y BGN Curncy</t>
  </si>
  <si>
    <t>BCN3Y BGN Curncy</t>
  </si>
  <si>
    <t>BCN4Y BGN Curncy</t>
  </si>
  <si>
    <t>BCN5Y BGN Curncy</t>
  </si>
  <si>
    <t>BCN6Y BGN Curncy</t>
  </si>
  <si>
    <t>BCN7Y BGN Curncy</t>
  </si>
  <si>
    <t>BCN8Y BGN Curncy</t>
  </si>
  <si>
    <t>BCN9Y BGN Curncy</t>
  </si>
  <si>
    <t>BCN10Y BGN Curncy</t>
  </si>
  <si>
    <t>SEC ID</t>
  </si>
  <si>
    <t>Basis Points</t>
  </si>
  <si>
    <t>EUR1W BGN Curncy</t>
  </si>
  <si>
    <t>EUR1M BGN Curncy</t>
  </si>
  <si>
    <t>EUR2M BGN Curncy</t>
  </si>
  <si>
    <t>EUR3M BGN Curncy</t>
  </si>
  <si>
    <t>EUR4M BGN Curncy</t>
  </si>
  <si>
    <t>EUR5M BGN Curncy</t>
  </si>
  <si>
    <t>EUR6M BGN Curncy</t>
  </si>
  <si>
    <t>EUR9M BGN Curncy</t>
  </si>
  <si>
    <t>EUR12M BGN Curncy</t>
  </si>
  <si>
    <t>EUR2Y BGN Curncy</t>
  </si>
  <si>
    <t>EUR3Y BGN Curncy</t>
  </si>
  <si>
    <t>EUR4Y BGN Curncy</t>
  </si>
  <si>
    <t>EUR5Y BGN Curncy</t>
  </si>
  <si>
    <t>EUR6Y BGN Curncy</t>
  </si>
  <si>
    <t>EUR7Y BGN Curncy</t>
  </si>
  <si>
    <t>EUR8Y BGN Curncy</t>
  </si>
  <si>
    <t>EUR9Y BGN Curncy</t>
  </si>
  <si>
    <t>EUR10Y BGN Curncy</t>
  </si>
  <si>
    <t>GBP1W BGN Curncy</t>
  </si>
  <si>
    <t>GBP1M BGN Curncy</t>
  </si>
  <si>
    <t>GBP2M BGN Curncy</t>
  </si>
  <si>
    <t>GBP3M BGN Curncy</t>
  </si>
  <si>
    <t>GBP4M BGN Curncy</t>
  </si>
  <si>
    <t>GBP5M BGN Curncy</t>
  </si>
  <si>
    <t>GBP6M BGN Curncy</t>
  </si>
  <si>
    <t>GBP9M BGN Curncy</t>
  </si>
  <si>
    <t>GBP12M BGN Curncy</t>
  </si>
  <si>
    <t>GBP2Y BGN Curncy</t>
  </si>
  <si>
    <t>GBP3Y BGN Curncy</t>
  </si>
  <si>
    <t>GBP4Y BGN Curncy</t>
  </si>
  <si>
    <t>GBP5Y BGN Curncy</t>
  </si>
  <si>
    <t>GBP6Y BGN Curncy</t>
  </si>
  <si>
    <t>GBP7Y BGN Curncy</t>
  </si>
  <si>
    <t>GBP8Y BGN Curncy</t>
  </si>
  <si>
    <t>GBP9Y BGN Curncy</t>
  </si>
  <si>
    <t>GBP10Y BGN Curncy</t>
  </si>
  <si>
    <t>Forward Rates Adjustments Basis Points</t>
  </si>
  <si>
    <t>JPY1W BGN Curncy</t>
  </si>
  <si>
    <t>JPY1M BGN Curncy</t>
  </si>
  <si>
    <t>JPY2M BGN Curncy</t>
  </si>
  <si>
    <t>JPY3M BGN Curncy</t>
  </si>
  <si>
    <t>JPY4M BGN Curncy</t>
  </si>
  <si>
    <t>JPY5M BGN Curncy</t>
  </si>
  <si>
    <t>JPY6M BGN Curncy</t>
  </si>
  <si>
    <t>JPY9M BGN Curncy</t>
  </si>
  <si>
    <t>JPY12M BGN Curncy</t>
  </si>
  <si>
    <t>JPY2Y BGN Curncy</t>
  </si>
  <si>
    <t>JPY3Y BGN Curncy</t>
  </si>
  <si>
    <t>JPY4Y BGN Curncy</t>
  </si>
  <si>
    <t>JPY5Y BGN Curncy</t>
  </si>
  <si>
    <t>JPY6Y BGN Curncy</t>
  </si>
  <si>
    <t>JPY7Y BGN Curncy</t>
  </si>
  <si>
    <t>JPY8Y BGN Curncy</t>
  </si>
  <si>
    <t>JPY9Y BGN Curncy</t>
  </si>
  <si>
    <t>JPY10Y BGN Curncy</t>
  </si>
  <si>
    <t>CAD1W BGN Curncy</t>
  </si>
  <si>
    <t>CAD1M BGN Curncy</t>
  </si>
  <si>
    <t>CAD2M BGN Curncy</t>
  </si>
  <si>
    <t>CAD3M BGN Curncy</t>
  </si>
  <si>
    <t>CAD4M BGN Curncy</t>
  </si>
  <si>
    <t>CAD5M BGN Curncy</t>
  </si>
  <si>
    <t>CAD6M BGN Curncy</t>
  </si>
  <si>
    <t>CAD9M BGN Curncy</t>
  </si>
  <si>
    <t>CAD12M BGN Curncy</t>
  </si>
  <si>
    <t>CAD2Y BGN Curncy</t>
  </si>
  <si>
    <t>CAD3Y BGN Curncy</t>
  </si>
  <si>
    <t>CAD4Y BGN Curncy</t>
  </si>
  <si>
    <t>CAD5Y BGN Curncy</t>
  </si>
  <si>
    <t>CAD6Y BGN Curncy</t>
  </si>
  <si>
    <t>CAD7Y BGN Curncy</t>
  </si>
  <si>
    <t>CAD8Y BGN Curncy</t>
  </si>
  <si>
    <t>CAD9Y BGN Curncy</t>
  </si>
  <si>
    <t>CAD10Y BGN Curncy</t>
  </si>
  <si>
    <t>CHF1W BGN Curncy</t>
  </si>
  <si>
    <t>CHF1M BGN Curncy</t>
  </si>
  <si>
    <t>CHF2M BGN Curncy</t>
  </si>
  <si>
    <t>CHF3M BGN Curncy</t>
  </si>
  <si>
    <t>CHF4M BGN Curncy</t>
  </si>
  <si>
    <t>CHF5M BGN Curncy</t>
  </si>
  <si>
    <t>CHF6M BGN Curncy</t>
  </si>
  <si>
    <t>CHF9M BGN Curncy</t>
  </si>
  <si>
    <t>CHF12M BGN Curncy</t>
  </si>
  <si>
    <t>CHF2Y BGN Curncy</t>
  </si>
  <si>
    <t>CHF3Y BGN Curncy</t>
  </si>
  <si>
    <t>CHF4Y BGN Curncy</t>
  </si>
  <si>
    <t>CHF5Y BGN Curncy</t>
  </si>
  <si>
    <t>CHF6Y BGN Curncy</t>
  </si>
  <si>
    <t>CHF7Y BGN Curncy</t>
  </si>
  <si>
    <t>CHF8Y BGN Curncy</t>
  </si>
  <si>
    <t>CHF9Y BGN Curncy</t>
  </si>
  <si>
    <t>CHF10Y BGN Curncy</t>
  </si>
  <si>
    <t>Implied Rates</t>
  </si>
  <si>
    <t>Update Daily</t>
  </si>
  <si>
    <t>Swap</t>
  </si>
  <si>
    <t>name</t>
  </si>
  <si>
    <t>leg1_currency</t>
  </si>
  <si>
    <t>leg2_currency</t>
  </si>
  <si>
    <t>leg1_cpn_detail</t>
  </si>
  <si>
    <t>leg2_cpn_detail</t>
  </si>
  <si>
    <t>leg1_pay_convention</t>
  </si>
  <si>
    <t>leg2_pay_convention</t>
  </si>
  <si>
    <t>day_convention</t>
  </si>
  <si>
    <t>Schedule</t>
  </si>
  <si>
    <t>Notional</t>
  </si>
  <si>
    <t>[1000,Fix,1,0,-100,100]</t>
  </si>
  <si>
    <r>
      <rPr>
        <sz val="20"/>
        <color theme="1"/>
        <rFont val="Calibri"/>
        <family val="2"/>
        <scheme val="minor"/>
      </rPr>
      <t xml:space="preserve">ADVOCATE </t>
    </r>
    <r>
      <rPr>
        <sz val="11"/>
        <color theme="1"/>
        <rFont val="Calibri"/>
        <family val="2"/>
        <scheme val="minor"/>
      </rPr>
      <t>CAPITAL MANAGEMENT, LLC</t>
    </r>
  </si>
  <si>
    <t xml:space="preserve">SWAP Pricing Engine   </t>
  </si>
  <si>
    <t>Value Date</t>
  </si>
  <si>
    <t>General Settings</t>
  </si>
  <si>
    <t>Money Market Date</t>
  </si>
  <si>
    <t>Future Market Date</t>
  </si>
  <si>
    <t>Swap Market Date</t>
  </si>
  <si>
    <t>Pricing Results</t>
  </si>
  <si>
    <t>Position Name</t>
  </si>
  <si>
    <t>Type</t>
  </si>
  <si>
    <t>Leg1 CPN</t>
  </si>
  <si>
    <t>Leg2 CPN</t>
  </si>
  <si>
    <t>Par Swap rate</t>
  </si>
  <si>
    <t>Fix:1.0</t>
  </si>
  <si>
    <t>BBG Source (Live/Historical)</t>
  </si>
  <si>
    <t>COP</t>
  </si>
  <si>
    <t>CORRRMIN Index</t>
  </si>
  <si>
    <t>CLSWIB2 Index</t>
  </si>
  <si>
    <t>CLSWIB3 Index</t>
  </si>
  <si>
    <t>CLSWIB4 Index</t>
  </si>
  <si>
    <t>CLSWIB5 Index</t>
  </si>
  <si>
    <t>CLSWIB6 Index</t>
  </si>
  <si>
    <t>CLSWIB7 Index</t>
  </si>
  <si>
    <t>CLSWIB8 Index</t>
  </si>
  <si>
    <t>CLSWIB9 Index</t>
  </si>
  <si>
    <t>CLSWIB10 Index</t>
  </si>
  <si>
    <t>CLSWIB11 Index</t>
  </si>
  <si>
    <t>CLSWIB12 Index</t>
  </si>
  <si>
    <t>CLSWIB13 Index</t>
  </si>
  <si>
    <t>CLSWIB14 Index</t>
  </si>
  <si>
    <t>CLSWIB15 Index</t>
  </si>
  <si>
    <t>CLSWIB16 Index</t>
  </si>
  <si>
    <t>CLSWIB17 Index</t>
  </si>
  <si>
    <t>CLSWIB20 Index</t>
  </si>
  <si>
    <t>LIBOR:3M</t>
  </si>
  <si>
    <t>USD:USD</t>
  </si>
  <si>
    <t>CLSWIBA Index</t>
  </si>
  <si>
    <t>CLSWIBC Index</t>
  </si>
  <si>
    <t>CLSWIBI Index</t>
  </si>
  <si>
    <t>CLSWIB1 Index</t>
  </si>
  <si>
    <t>CLSWIB1F Index</t>
  </si>
  <si>
    <t>[1000,3M]</t>
  </si>
  <si>
    <t>[1000,LIBOR,3M,0,-100,100]</t>
  </si>
  <si>
    <t>[ACT/360,ACT/360]</t>
  </si>
  <si>
    <t>PV01</t>
  </si>
  <si>
    <t>EUR Value</t>
  </si>
  <si>
    <t>LCL Value</t>
  </si>
  <si>
    <t>[ACT/360,30/360]</t>
  </si>
  <si>
    <t xml:space="preserve">Discount Factors Generation   </t>
  </si>
  <si>
    <t>Discount Factors</t>
  </si>
  <si>
    <t>Date</t>
  </si>
  <si>
    <t>USD LIBOR</t>
  </si>
  <si>
    <t>USD FX</t>
  </si>
  <si>
    <t>EUR LIBOR</t>
  </si>
  <si>
    <t>EUR FX</t>
  </si>
  <si>
    <t>BRL LIBOR</t>
  </si>
  <si>
    <t>BRL FX</t>
  </si>
  <si>
    <t>COP LIBOR</t>
  </si>
  <si>
    <t>COP FX</t>
  </si>
  <si>
    <t>JPY LIBOR</t>
  </si>
  <si>
    <t>JPY FX</t>
  </si>
  <si>
    <t>GBP LIBOR</t>
  </si>
  <si>
    <t>GBP FX</t>
  </si>
  <si>
    <t>CHF LIBOR</t>
  </si>
  <si>
    <t>CHF FX</t>
  </si>
  <si>
    <t>CAD LIBOR</t>
  </si>
  <si>
    <t>CAD FX</t>
  </si>
  <si>
    <t>COP_USD_Swap</t>
  </si>
  <si>
    <t>COP_COP_Swap</t>
  </si>
  <si>
    <t>COP:COP</t>
  </si>
  <si>
    <t>[1000,LIBOR,3M,0.045,-100,100]</t>
  </si>
  <si>
    <t>[1000,LIBOR,3M,0.053,-100,100]</t>
  </si>
  <si>
    <t>[1000,LIBOR,6M,0,-100,100]</t>
  </si>
  <si>
    <t>[1000,6M]</t>
  </si>
  <si>
    <t>LIBOR:6M</t>
  </si>
  <si>
    <t>EUR:EUR</t>
  </si>
  <si>
    <t>Kosovo_USD_1</t>
  </si>
  <si>
    <t>[1000,LIBOR,1M,0,-100,100]</t>
  </si>
  <si>
    <t>Kosovo_USD_2</t>
  </si>
  <si>
    <t>LIBOR:1M</t>
  </si>
  <si>
    <t>Kosovo_EUR_1</t>
  </si>
  <si>
    <t>Kosovo_EUR_2</t>
  </si>
  <si>
    <t>[1000,12M]</t>
  </si>
  <si>
    <t>Spark New Blend</t>
  </si>
  <si>
    <t>[1000,Fix,0.02762,0,-100,100]</t>
  </si>
  <si>
    <t>Fix:0.02762</t>
  </si>
  <si>
    <t>EDU0 Comdty</t>
  </si>
  <si>
    <t>EDZ0 Comdty</t>
  </si>
  <si>
    <t>ERU0 Comdty</t>
  </si>
  <si>
    <t>ERZ0 Comdty</t>
  </si>
  <si>
    <t>YEU0 Comdty</t>
  </si>
  <si>
    <t>YEZ0 Comdty</t>
  </si>
  <si>
    <t>L U0 Comdty</t>
  </si>
  <si>
    <t>L Z0 Comdty</t>
  </si>
  <si>
    <t>ESU0 Comdty</t>
  </si>
  <si>
    <t>ESZ0 Comdty</t>
  </si>
  <si>
    <t>BAU0 Comdty</t>
  </si>
  <si>
    <t>BAZ0 Comdty</t>
  </si>
  <si>
    <t>Slovakia</t>
  </si>
  <si>
    <t>3PM</t>
  </si>
  <si>
    <t>EOD</t>
  </si>
  <si>
    <t>Diff.(%)</t>
  </si>
  <si>
    <t>Swap Date</t>
  </si>
  <si>
    <t>Snap Time</t>
  </si>
  <si>
    <t>Snap End</t>
  </si>
  <si>
    <t>EUSA2 CMPN Curncy</t>
  </si>
  <si>
    <t>EUSA3 CMPN Curncy</t>
  </si>
  <si>
    <t>EUSA4 CMPN Curncy</t>
  </si>
  <si>
    <t>EUSA5 CMPN Curncy</t>
  </si>
  <si>
    <t>EUSA6 CMPN Curncy</t>
  </si>
  <si>
    <t>EUSA7 CMPN Curncy</t>
  </si>
  <si>
    <t>EUSA8 CMPN Curncy</t>
  </si>
  <si>
    <t>EUSA9 CMPN Curncy</t>
  </si>
  <si>
    <t>EUSA10 CMPN Curncy</t>
  </si>
  <si>
    <t>EUSA11 CMPN Curncy</t>
  </si>
  <si>
    <t>EUSA12 CMPN Curncy</t>
  </si>
  <si>
    <t>EUSA13 CMPN Curncy</t>
  </si>
  <si>
    <t>EUSA14 CMPN Curncy</t>
  </si>
  <si>
    <t>EUSA15 CMPN Curncy</t>
  </si>
  <si>
    <t>EUSA16 CMPN Curncy</t>
  </si>
  <si>
    <t>EUSA17 CMPN Curncy</t>
  </si>
  <si>
    <t>EUSA20 CMPN Curncy</t>
  </si>
  <si>
    <t>EUSA25 CMPN Curncy</t>
  </si>
  <si>
    <t>EUSA30 CMPN Curncy</t>
  </si>
  <si>
    <t>EUSA40 CMPN Curncy</t>
  </si>
  <si>
    <t>USSW2 CMPN Curncy</t>
  </si>
  <si>
    <t>USSW3 CMPN Curncy</t>
  </si>
  <si>
    <t>USSW4 CMPN Curncy</t>
  </si>
  <si>
    <t>USSW5 CMPN Curncy</t>
  </si>
  <si>
    <t>USSW6 CMPN Curncy</t>
  </si>
  <si>
    <t>USSW7 CMPN Curncy</t>
  </si>
  <si>
    <t>USSW8 CMPN Curncy</t>
  </si>
  <si>
    <t>USSW9 CMPN Curncy</t>
  </si>
  <si>
    <t>USSW10 CMPN Curncy</t>
  </si>
  <si>
    <t>USSW11 CMPN Curncy</t>
  </si>
  <si>
    <t>USSW12 CMPN Curncy</t>
  </si>
  <si>
    <t>USSW13 CMPN Curncy</t>
  </si>
  <si>
    <t>USSW14 CMPN Curncy</t>
  </si>
  <si>
    <t>USSW15 CMPN Curncy</t>
  </si>
  <si>
    <t>USSW16 CMPN Curncy</t>
  </si>
  <si>
    <t>USSW17 CMPN Curncy</t>
  </si>
  <si>
    <t>USSW20 CMPN Curncy</t>
  </si>
  <si>
    <t>USSW25 CMPN Curncy</t>
  </si>
  <si>
    <t>USSW30 CMPN Curncy</t>
  </si>
  <si>
    <t>USSW40 CMPN Curncy</t>
  </si>
  <si>
    <t>JYSW2 CMPN Curncy</t>
  </si>
  <si>
    <t>JYSW3 CMPN Curncy</t>
  </si>
  <si>
    <t>JYSW4 CMPN Curncy</t>
  </si>
  <si>
    <t>JYSW5 CMPN Curncy</t>
  </si>
  <si>
    <t>JYSW6 CMPN Curncy</t>
  </si>
  <si>
    <t>JYSW7 CMPN Curncy</t>
  </si>
  <si>
    <t>JYSW8 CMPN Curncy</t>
  </si>
  <si>
    <t>JYSW9 CMPN Curncy</t>
  </si>
  <si>
    <t>JYSW10 CMPN Curncy</t>
  </si>
  <si>
    <t>JYSW11 CMPN Curncy</t>
  </si>
  <si>
    <t>JYSW12 CMPN Curncy</t>
  </si>
  <si>
    <t>JYSW13 CMPN Curncy</t>
  </si>
  <si>
    <t>JYSW14 CMPN Curncy</t>
  </si>
  <si>
    <t>JYSW15 CMPN Curncy</t>
  </si>
  <si>
    <t>JYSW16 CMPN Curncy</t>
  </si>
  <si>
    <t>JYSW17 CMPN Curncy</t>
  </si>
  <si>
    <t>JYSW20 CMPN Curncy</t>
  </si>
  <si>
    <t>JYSW25 CMPN Curncy</t>
  </si>
  <si>
    <t>JYSW30 CMPN Curncy</t>
  </si>
  <si>
    <t>JYSW40 CMPN Curncy</t>
  </si>
  <si>
    <t>BPSW2 CMPN Curncy</t>
  </si>
  <si>
    <t>BPSW3 CMPN Curncy</t>
  </si>
  <si>
    <t>BPSW4 CMPN Curncy</t>
  </si>
  <si>
    <t>BPSW5 CMPN Curncy</t>
  </si>
  <si>
    <t>BPSW6 CMPN Curncy</t>
  </si>
  <si>
    <t>BPSW7 CMPN Curncy</t>
  </si>
  <si>
    <t>BPSW8 CMPN Curncy</t>
  </si>
  <si>
    <t>BPSW9 CMPN Curncy</t>
  </si>
  <si>
    <t>BPSW10 CMPN Curncy</t>
  </si>
  <si>
    <t>BPSW11 CMPN Curncy</t>
  </si>
  <si>
    <t>BPSW12 CMPN Curncy</t>
  </si>
  <si>
    <t>BPSW13 CMPN Curncy</t>
  </si>
  <si>
    <t>BPSW14 CMPN Curncy</t>
  </si>
  <si>
    <t>BPSW15 CMPN Curncy</t>
  </si>
  <si>
    <t>BPSW16 CMPN Curncy</t>
  </si>
  <si>
    <t>BPSW17 CMPN Curncy</t>
  </si>
  <si>
    <t>BPSW20 CMPN Curncy</t>
  </si>
  <si>
    <t>BPSW25 CMPN Curncy</t>
  </si>
  <si>
    <t>BPSW30 CMPN Curncy</t>
  </si>
  <si>
    <t>BPSW40 CMPN Curncy</t>
  </si>
  <si>
    <t>SFSW2 CMPN Curncy</t>
  </si>
  <si>
    <t>SFSW3 CMPN Curncy</t>
  </si>
  <si>
    <t>SFSW4 CMPN Curncy</t>
  </si>
  <si>
    <t>SFSW5 CMPN Curncy</t>
  </si>
  <si>
    <t>SFSW6 CMPN Curncy</t>
  </si>
  <si>
    <t>SFSW7 CMPN Curncy</t>
  </si>
  <si>
    <t>SFSW8 CMPN Curncy</t>
  </si>
  <si>
    <t>SFSW9 CMPN Curncy</t>
  </si>
  <si>
    <t>SFSW10 CMPN Curncy</t>
  </si>
  <si>
    <t>SFSW11 CMPN Curncy</t>
  </si>
  <si>
    <t>SFSW12 CMPN Curncy</t>
  </si>
  <si>
    <t>SFSW13 CMPN Curncy</t>
  </si>
  <si>
    <t>SFSW14 CMPN Curncy</t>
  </si>
  <si>
    <t>SFSW15 CMPN Curncy</t>
  </si>
  <si>
    <t>SFSW20 CMPN Curncy</t>
  </si>
  <si>
    <t>SFSW25 CMPN Curncy</t>
  </si>
  <si>
    <t>SFSW30 CMPN Curncy</t>
  </si>
  <si>
    <t>SFSW40 CMPN Curncy</t>
  </si>
  <si>
    <t>CDSW2 CMPN Curncy</t>
  </si>
  <si>
    <t>CDSW3 CMPN Curncy</t>
  </si>
  <si>
    <t>CDSW4 CMPN Curncy</t>
  </si>
  <si>
    <t>CDSW5 CMPN Curncy</t>
  </si>
  <si>
    <t>CDSW6 CMPN Curncy</t>
  </si>
  <si>
    <t>CDSW7 CMPN Curncy</t>
  </si>
  <si>
    <t>CDSW8 CMPN Curncy</t>
  </si>
  <si>
    <t>CDSW9 CMPN Curncy</t>
  </si>
  <si>
    <t>CDSW10 CMPN Curncy</t>
  </si>
  <si>
    <t>CDSW12 CMPN Curncy</t>
  </si>
  <si>
    <t>CDSW15 CMPN Curncy</t>
  </si>
  <si>
    <t>CDSW20 CMPN Curncy</t>
  </si>
  <si>
    <t>CDSW25 CMPN Curncy</t>
  </si>
  <si>
    <t>CDSW30 CMPN Curncy</t>
  </si>
  <si>
    <t>CDSW40 CMPN Curncy</t>
  </si>
  <si>
    <t>HASWDI1Y CMPN Curncy</t>
  </si>
  <si>
    <t>HASWDI2Y CMPN Curncy</t>
  </si>
  <si>
    <t>HASWDI3Y CMPN Curncy</t>
  </si>
  <si>
    <t>HASWDI4Y CMPN Curncy</t>
  </si>
  <si>
    <t>HASWDI5Y CMPN Curncy</t>
  </si>
  <si>
    <t>HASWDI6Y CMPN Curncy</t>
  </si>
  <si>
    <t>HASWDI7Y CMPN Curncy</t>
  </si>
  <si>
    <t>HASWDI8Y CMPN Curncy</t>
  </si>
  <si>
    <t>HASWDI9Y CMPN Curncy</t>
  </si>
  <si>
    <t>HASWDI10Y CMPN Curncy</t>
  </si>
  <si>
    <t>CLSWIB2 CMPN Index</t>
  </si>
  <si>
    <t>CLSWIB3 CMPN Index</t>
  </si>
  <si>
    <t>CLSWIB4 CMPN Index</t>
  </si>
  <si>
    <t>CLSWIB5 CMPN Index</t>
  </si>
  <si>
    <t>CLSWIB6 CMPN Index</t>
  </si>
  <si>
    <t>CLSWIB7 CMPN Index</t>
  </si>
  <si>
    <t>CLSWIB8 CMPN Index</t>
  </si>
  <si>
    <t>CLSWIB9 CMPN Index</t>
  </si>
  <si>
    <t>CLSWIB10 CMPN Index</t>
  </si>
  <si>
    <t>CLSWIB11 CMPN Index</t>
  </si>
  <si>
    <t>CLSWIB12 CMPN Index</t>
  </si>
  <si>
    <t>CLSWIB13 CMPN Index</t>
  </si>
  <si>
    <t>CLSWIB14 CMPN Index</t>
  </si>
  <si>
    <t>CLSWIB15 CMPN Index</t>
  </si>
  <si>
    <t>CLSWIB16 CMPN Index</t>
  </si>
  <si>
    <t>CLSWIB17 CMPN Index</t>
  </si>
  <si>
    <t>CLSWIB20 CMPN Index</t>
  </si>
  <si>
    <t xml:space="preserve"> </t>
  </si>
  <si>
    <t>[1000,Fix,0.000161,0,-100,100]</t>
  </si>
  <si>
    <t>Fix:0.000161</t>
  </si>
  <si>
    <t>Curve Frequency (M)</t>
  </si>
  <si>
    <r>
      <rPr>
        <sz val="20"/>
        <color theme="1"/>
        <rFont val="Calibri"/>
        <family val="2"/>
        <scheme val="minor"/>
      </rPr>
      <t>ADVOCATE CAPITAL MANAGEMENT, LLC</t>
    </r>
  </si>
  <si>
    <t>Month End Reset (Y/N)</t>
  </si>
  <si>
    <t>Y</t>
  </si>
  <si>
    <t>Italy_Semi_New</t>
  </si>
  <si>
    <t>Italy_Ann_New</t>
  </si>
  <si>
    <t>Portoenergy SRL</t>
  </si>
  <si>
    <t>CG Helios SRL</t>
  </si>
  <si>
    <t>[1000,Fix,0.0356,0,-100,100]</t>
  </si>
  <si>
    <t>CG Sarda 3 SRL</t>
  </si>
  <si>
    <t>CG Sarda SRL</t>
  </si>
  <si>
    <t>PVP 2 SRL</t>
  </si>
  <si>
    <t>PVP 3 SRL</t>
  </si>
  <si>
    <t>Officine Solari Barone SRL</t>
  </si>
  <si>
    <t>Officine Solari Camporeale SRL</t>
  </si>
  <si>
    <t>Officine Solari Kaggio SRL</t>
  </si>
  <si>
    <t>ContourGlobal Energetica SRL_1</t>
  </si>
  <si>
    <t>ContourGlobal Energetica SRL_2</t>
  </si>
  <si>
    <t>Ergyca One Srl_1</t>
  </si>
  <si>
    <t>Ergyca One Srl_2</t>
  </si>
  <si>
    <t>Ergyca One Srl_3</t>
  </si>
  <si>
    <t>Ergyca One Srl_4</t>
  </si>
  <si>
    <t>Ergyca One Srl_5</t>
  </si>
  <si>
    <t>Brescia Energia New Srl</t>
  </si>
  <si>
    <t>Sungea Srl</t>
  </si>
  <si>
    <t>Solar 5 Srl</t>
  </si>
  <si>
    <t>Solar 6 Srl</t>
  </si>
  <si>
    <t>[1000,Fix,0.0081,0,-100,100]</t>
  </si>
  <si>
    <t>[1000,Fix,0.0107,0,-100,100]</t>
  </si>
  <si>
    <t>[1000,Fix,0.009815,0,-100,100]</t>
  </si>
  <si>
    <t>[1000,Fix,0.00653,0,-100,100]</t>
  </si>
  <si>
    <t>[1000,Fix,0.035,0,-100,100]</t>
  </si>
  <si>
    <t>[1000,Fix,0.0337,0,-100,100]</t>
  </si>
  <si>
    <t>[1000,Fix,0.01485,0,-100,100]</t>
  </si>
  <si>
    <t>[1000,Fix,0.0073,0,-100,100]</t>
  </si>
  <si>
    <t>[1000,Fix,0.00795,0,-100,100]</t>
  </si>
  <si>
    <t>[1000,Fix,0.0273,0,-100,100]</t>
  </si>
  <si>
    <t>Fix:0.0356</t>
  </si>
  <si>
    <t>Fix:0.0081</t>
  </si>
  <si>
    <t>Fix:0.0107</t>
  </si>
  <si>
    <t>Fix:0.009815</t>
  </si>
  <si>
    <t>Fix:0.00653</t>
  </si>
  <si>
    <t>Fix:0.035</t>
  </si>
  <si>
    <t>Fix:0.0337</t>
  </si>
  <si>
    <t>Fix:0.01485</t>
  </si>
  <si>
    <t>Fix:0.0073</t>
  </si>
  <si>
    <t>Fix:0.00795</t>
  </si>
  <si>
    <t>Fix:0.0273</t>
  </si>
  <si>
    <t>Margin</t>
  </si>
  <si>
    <t>GO Value</t>
  </si>
  <si>
    <t>DV01</t>
  </si>
  <si>
    <t>ADV</t>
  </si>
  <si>
    <t>USD Normal C/F</t>
  </si>
  <si>
    <t>Normal Vol</t>
  </si>
  <si>
    <t>Make sure fillin NAN for no values</t>
  </si>
  <si>
    <t>USONX</t>
  </si>
  <si>
    <t>USONY</t>
  </si>
  <si>
    <t>USONZ</t>
  </si>
  <si>
    <t>USONA</t>
  </si>
  <si>
    <t>USONB</t>
  </si>
  <si>
    <t>USONC</t>
  </si>
  <si>
    <t>USOND</t>
  </si>
  <si>
    <t>USONE</t>
  </si>
  <si>
    <t>USONH</t>
  </si>
  <si>
    <t>USONI</t>
  </si>
  <si>
    <t>USONJ</t>
  </si>
  <si>
    <t>USONK</t>
  </si>
  <si>
    <t>Tenor</t>
  </si>
  <si>
    <t>Nan</t>
  </si>
  <si>
    <t>EUR Normal C/F</t>
  </si>
  <si>
    <t>EU0Z05</t>
  </si>
  <si>
    <t>EU0Z25</t>
  </si>
  <si>
    <t>EU0Z13</t>
  </si>
  <si>
    <t>EUNZO</t>
  </si>
  <si>
    <t>EUNZA</t>
  </si>
  <si>
    <t>EUNZ05</t>
  </si>
  <si>
    <t>EUNZ10</t>
  </si>
  <si>
    <t>EUNZ15</t>
  </si>
  <si>
    <t>EUNZ20</t>
  </si>
  <si>
    <t>EUNZ30</t>
  </si>
  <si>
    <t>EUNZ50</t>
  </si>
  <si>
    <t>USD Normal SWAP</t>
  </si>
  <si>
    <t>ATM Normal VOL</t>
  </si>
  <si>
    <t>USSN</t>
  </si>
  <si>
    <t>Start/Tenor</t>
  </si>
  <si>
    <t>EUR Normal SWAP</t>
  </si>
  <si>
    <t>EUNE</t>
  </si>
  <si>
    <t>Manual Inputs BVOL</t>
  </si>
  <si>
    <t>H</t>
  </si>
  <si>
    <t>Floor</t>
  </si>
  <si>
    <t>SLK Floor</t>
  </si>
  <si>
    <t>Italy Floor</t>
  </si>
  <si>
    <t>Detail</t>
  </si>
  <si>
    <t>[0.00]</t>
  </si>
  <si>
    <t>[,]</t>
  </si>
  <si>
    <t>EOF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</si>
</sst>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1">
    <numFmt numFmtId="43" formatCode="_(* #,##0.00_);_(* \(#,##0.00\);_(* &quot;-&quot;??_);_(@_)"/>
    <numFmt numFmtId="164" formatCode="yyyy\-mm\-dd;@"/>
    <numFmt numFmtId="165" formatCode="_(* #,##0_);_(* \(#,##0\);_(* &quot;-&quot;??_);_(@_)"/>
    <numFmt numFmtId="166" formatCode="_(* #,##0.0000_);_(* \(#,##0.0000\);_(* &quot;-&quot;??_);_(@_)"/>
    <numFmt numFmtId="167" formatCode="m/d/yy;@"/>
    <numFmt numFmtId="168" formatCode="mm/dd/yy;@"/>
    <numFmt numFmtId="169" formatCode="_ * #,##0_ ;_ * \-#,##0_ ;_ * &quot;-&quot;??_ ;_ @_ "/>
    <numFmt numFmtId="170" formatCode="0.0000%"/>
    <numFmt numFmtId="171" formatCode="0.000%"/>
    <numFmt numFmtId="172" formatCode="0.0000"/>
    <numFmt numFmtId="173" formatCode="0.000"/>
  </numFmts>
  <fonts count="2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4"/>
      <color rgb="FF002060"/>
      <name val="Arial"/>
      <family val="2"/>
    </font>
    <font>
      <sz val="20"/>
      <color theme="1"/>
      <name val="Calibri"/>
      <family val="2"/>
      <scheme val="minor"/>
    </font>
    <font>
      <b/>
      <sz val="22"/>
      <color theme="4" tint="-0.249977111117893"/>
      <name val="Calibri"/>
      <family val="2"/>
      <scheme val="minor"/>
    </font>
    <font>
      <b/>
      <sz val="12"/>
      <color theme="4" tint="-0.249977111117893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6"/>
      <color rgb="FFFF0000"/>
      <name val="Calibri"/>
      <family val="2"/>
    </font>
    <font>
      <b/>
      <sz val="2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rgb="FF008000"/>
      <name val="Calibri"/>
      <family val="2"/>
    </font>
    <font>
      <sz val="1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20"/>
      <color rgb="FF002060"/>
      <name val="Arial"/>
      <family val="2"/>
    </font>
    <font>
      <sz val="11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85">
    <xf numFmtId="0" fontId="0" fillId="0" borderId="0" xfId="0"/>
    <xf numFmtId="167" fontId="0" fillId="0" borderId="0" xfId="0" applyNumberFormat="1"/>
    <xf numFmtId="14" fontId="0" fillId="0" borderId="0" xfId="0" applyNumberFormat="1"/>
    <xf numFmtId="164" fontId="0" fillId="0" borderId="0" xfId="0" applyNumberFormat="1"/>
    <xf numFmtId="0" fontId="0" fillId="3" borderId="0" xfId="0" applyFill="1" applyAlignment="1">
      <alignment vertical="center"/>
    </xf>
    <xf numFmtId="0" fontId="0" fillId="4" borderId="0" xfId="0" applyFill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  <xf numFmtId="0" fontId="5" fillId="6" borderId="0" xfId="0" applyFont="1" applyFill="1"/>
    <xf numFmtId="0" fontId="0" fillId="6" borderId="0" xfId="0" applyFill="1"/>
    <xf numFmtId="168" fontId="0" fillId="2" borderId="0" xfId="0" applyNumberFormat="1" applyFill="1"/>
    <xf numFmtId="167" fontId="0" fillId="2" borderId="0" xfId="0" applyNumberFormat="1" applyFill="1"/>
    <xf numFmtId="0" fontId="0" fillId="2" borderId="0" xfId="0" applyFill="1"/>
    <xf numFmtId="0" fontId="2" fillId="0" borderId="0" xfId="0" applyFont="1" applyAlignment="1">
      <alignment horizontal="center" vertical="center"/>
    </xf>
    <xf numFmtId="165" fontId="2" fillId="0" borderId="0" xfId="2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66" fontId="4" fillId="0" borderId="0" xfId="2" applyNumberFormat="1" applyFont="1" applyAlignment="1">
      <alignment horizontal="center" vertical="center"/>
    </xf>
    <xf numFmtId="0" fontId="0" fillId="8" borderId="0" xfId="0" applyFill="1"/>
    <xf numFmtId="0" fontId="3" fillId="2" borderId="0" xfId="0" applyFont="1" applyFill="1"/>
    <xf numFmtId="0" fontId="7" fillId="0" borderId="0" xfId="0" applyFont="1"/>
    <xf numFmtId="0" fontId="8" fillId="0" borderId="0" xfId="0" applyFont="1"/>
    <xf numFmtId="169" fontId="0" fillId="0" borderId="0" xfId="2" applyNumberFormat="1" applyFont="1"/>
    <xf numFmtId="0" fontId="0" fillId="10" borderId="0" xfId="0" applyFill="1"/>
    <xf numFmtId="14" fontId="0" fillId="10" borderId="0" xfId="0" applyNumberFormat="1" applyFill="1"/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14" fontId="12" fillId="0" borderId="0" xfId="0" applyNumberFormat="1" applyFont="1" applyAlignment="1">
      <alignment horizontal="center"/>
    </xf>
    <xf numFmtId="0" fontId="13" fillId="0" borderId="0" xfId="0" applyFont="1" applyAlignment="1">
      <alignment horizontal="center"/>
    </xf>
    <xf numFmtId="0" fontId="6" fillId="11" borderId="0" xfId="0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170" fontId="0" fillId="0" borderId="0" xfId="3" applyNumberFormat="1" applyFont="1" applyAlignment="1">
      <alignment horizontal="center" vertical="center"/>
    </xf>
    <xf numFmtId="14" fontId="0" fillId="0" borderId="0" xfId="0" applyNumberFormat="1" applyAlignment="1">
      <alignment horizontal="center"/>
    </xf>
    <xf numFmtId="37" fontId="0" fillId="0" borderId="0" xfId="2" applyNumberFormat="1" applyFont="1" applyAlignment="1">
      <alignment horizontal="center" vertical="center"/>
    </xf>
    <xf numFmtId="37" fontId="0" fillId="0" borderId="0" xfId="2" applyNumberFormat="1" applyFont="1" applyAlignment="1">
      <alignment horizontal="center"/>
    </xf>
    <xf numFmtId="164" fontId="0" fillId="0" borderId="0" xfId="0" applyNumberFormat="1" applyAlignment="1">
      <alignment horizontal="center" vertical="center"/>
    </xf>
    <xf numFmtId="0" fontId="11" fillId="0" borderId="0" xfId="0" applyFont="1"/>
    <xf numFmtId="0" fontId="9" fillId="10" borderId="0" xfId="0" applyFont="1" applyFill="1" applyAlignment="1">
      <alignment vertical="center"/>
    </xf>
    <xf numFmtId="0" fontId="0" fillId="0" borderId="0" xfId="0" applyAlignment="1">
      <alignment horizontal="left" vertical="center"/>
    </xf>
    <xf numFmtId="0" fontId="18" fillId="11" borderId="0" xfId="0" applyFont="1" applyFill="1" applyAlignment="1">
      <alignment horizontal="center" vertical="center"/>
    </xf>
    <xf numFmtId="14" fontId="19" fillId="2" borderId="0" xfId="0" applyNumberFormat="1" applyFont="1" applyFill="1" applyAlignment="1">
      <alignment horizontal="center"/>
    </xf>
    <xf numFmtId="165" fontId="0" fillId="0" borderId="0" xfId="2" applyNumberFormat="1" applyFont="1"/>
    <xf numFmtId="171" fontId="0" fillId="0" borderId="0" xfId="0" applyNumberFormat="1"/>
    <xf numFmtId="0" fontId="0" fillId="2" borderId="0" xfId="0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37" fontId="0" fillId="2" borderId="0" xfId="2" applyNumberFormat="1" applyFont="1" applyFill="1" applyAlignment="1">
      <alignment horizontal="center" vertical="center"/>
    </xf>
    <xf numFmtId="170" fontId="0" fillId="2" borderId="0" xfId="3" applyNumberFormat="1" applyFont="1" applyFill="1" applyAlignment="1">
      <alignment horizontal="center" vertical="center"/>
    </xf>
    <xf numFmtId="22" fontId="0" fillId="0" borderId="0" xfId="0" applyNumberFormat="1"/>
    <xf numFmtId="14" fontId="0" fillId="0" borderId="0" xfId="0" applyNumberFormat="1" applyAlignment="1">
      <alignment horizontal="right" vertical="center"/>
    </xf>
    <xf numFmtId="37" fontId="0" fillId="0" borderId="0" xfId="0" applyNumberFormat="1"/>
    <xf numFmtId="3" fontId="0" fillId="0" borderId="0" xfId="0" applyNumberFormat="1"/>
    <xf numFmtId="2" fontId="0" fillId="0" borderId="0" xfId="0" applyNumberFormat="1"/>
    <xf numFmtId="167" fontId="7" fillId="0" borderId="0" xfId="0" applyNumberFormat="1" applyFont="1"/>
    <xf numFmtId="14" fontId="7" fillId="0" borderId="0" xfId="0" applyNumberFormat="1" applyFont="1"/>
    <xf numFmtId="167" fontId="7" fillId="2" borderId="0" xfId="0" applyNumberFormat="1" applyFont="1" applyFill="1"/>
    <xf numFmtId="0" fontId="7" fillId="2" borderId="0" xfId="0" applyFont="1" applyFill="1"/>
    <xf numFmtId="0" fontId="7" fillId="3" borderId="0" xfId="0" applyFont="1" applyFill="1" applyAlignment="1">
      <alignment vertical="center"/>
    </xf>
    <xf numFmtId="0" fontId="7" fillId="8" borderId="0" xfId="0" applyFont="1" applyFill="1"/>
    <xf numFmtId="0" fontId="22" fillId="6" borderId="0" xfId="0" applyFont="1" applyFill="1"/>
    <xf numFmtId="0" fontId="7" fillId="6" borderId="0" xfId="0" applyFont="1" applyFill="1"/>
    <xf numFmtId="0" fontId="23" fillId="0" borderId="0" xfId="0" applyFont="1"/>
    <xf numFmtId="0" fontId="24" fillId="0" borderId="0" xfId="0" applyFont="1"/>
    <xf numFmtId="14" fontId="24" fillId="0" borderId="0" xfId="0" applyNumberFormat="1" applyFont="1" applyAlignment="1">
      <alignment horizontal="center" vertical="center"/>
    </xf>
    <xf numFmtId="172" fontId="24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1" fontId="19" fillId="2" borderId="0" xfId="0" applyNumberFormat="1" applyFont="1" applyFill="1" applyAlignment="1">
      <alignment horizontal="center"/>
    </xf>
    <xf numFmtId="10" fontId="19" fillId="2" borderId="0" xfId="0" applyNumberFormat="1" applyFont="1" applyFill="1" applyAlignment="1">
      <alignment horizontal="center"/>
    </xf>
    <xf numFmtId="0" fontId="6" fillId="6" borderId="0" xfId="0" applyFont="1" applyFill="1" applyAlignment="1">
      <alignment horizontal="center" vertical="center"/>
    </xf>
    <xf numFmtId="173" fontId="0" fillId="0" borderId="0" xfId="0" applyNumberFormat="1"/>
    <xf numFmtId="1" fontId="0" fillId="0" borderId="0" xfId="0" applyNumberFormat="1"/>
    <xf numFmtId="172" fontId="0" fillId="0" borderId="0" xfId="0" applyNumberFormat="1"/>
    <xf numFmtId="0" fontId="17" fillId="12" borderId="0" xfId="0" applyFont="1" applyFill="1" applyAlignment="1">
      <alignment horizontal="center" vertical="center" wrapText="1"/>
    </xf>
    <xf numFmtId="0" fontId="14" fillId="12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0" fontId="9" fillId="10" borderId="0" xfId="0" applyFont="1" applyFill="1" applyAlignment="1">
      <alignment horizontal="center" vertical="center"/>
    </xf>
    <xf numFmtId="0" fontId="25" fillId="10" borderId="0" xfId="0" applyFont="1" applyFill="1" applyAlignment="1">
      <alignment horizontal="center" vertical="center"/>
    </xf>
    <xf numFmtId="0" fontId="15" fillId="0" borderId="0" xfId="0" applyFont="1" applyAlignment="1">
      <alignment horizontal="center"/>
    </xf>
    <xf numFmtId="0" fontId="19" fillId="2" borderId="0" xfId="0" applyFont="1" applyFill="1" applyAlignment="1">
      <alignment horizontal="center"/>
    </xf>
    <xf numFmtId="0" fontId="20" fillId="11" borderId="0" xfId="0" applyFont="1" applyFill="1" applyAlignment="1">
      <alignment horizontal="center" vertical="center" wrapText="1"/>
    </xf>
    <xf numFmtId="0" fontId="26" fillId="2" borderId="0" xfId="0" applyFont="1" applyFill="1" applyAlignment="1">
      <alignment horizontal="center"/>
    </xf>
    <xf numFmtId="0" fontId="0" fillId="3" borderId="0" xfId="0" applyFill="1" applyAlignment="1">
      <alignment horizontal="center" vertical="center"/>
    </xf>
    <xf numFmtId="0" fontId="0" fillId="7" borderId="0" xfId="0" applyFill="1" applyAlignment="1">
      <alignment horizontal="center"/>
    </xf>
    <xf numFmtId="0" fontId="7" fillId="7" borderId="0" xfId="0" applyFont="1" applyFill="1" applyAlignment="1">
      <alignment horizontal="center"/>
    </xf>
    <xf numFmtId="0" fontId="6" fillId="9" borderId="0" xfId="0" applyFont="1" applyFill="1" applyAlignment="1">
      <alignment horizontal="center"/>
    </xf>
    <xf numFmtId="3" fontId="0" fillId="0" borderId="0" xfId="0" applyNumberFormat="1" applyAlignment="1">
      <alignment horizontal="center" vertical="center"/>
    </xf>
  </cellXfs>
  <cellStyles count="4">
    <cellStyle name="Comma" xfId="2" builtinId="3"/>
    <cellStyle name="Normal" xfId="0" builtinId="0"/>
    <cellStyle name="Normal 2" xfId="1" xr:uid="{00000000-0005-0000-0000-000002000000}"/>
    <cellStyle name="Percent" xfId="3" builtinId="5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e">
        <v>#N/A</v>
        <stp/>
        <stp>##V3_BDPV12</stp>
        <stp>JYSW15 Index</stp>
        <stp>PX_LAST</stp>
        <stp>[Live Pricing.xlsm]FX_Curve_Live!R69C6</stp>
        <tr r="F69" s="42"/>
      </tp>
      <tp t="e">
        <v>#N/A</v>
        <stp/>
        <stp>##V3_BDPV12</stp>
        <stp>EDM9 Comdty</stp>
        <stp>PX_LAST</stp>
        <stp>[Live Pricing.xlsm]Rate_Live!R6C4</stp>
        <tr r="D6" s="39"/>
        <tr r="D6" s="39"/>
      </tp>
      <tp t="e">
        <v>#N/A</v>
        <stp/>
        <stp>##V3_BDPV12</stp>
        <stp>BPSW12 Index</stp>
        <stp>PX_LAST</stp>
        <stp>[Live Pricing.xlsm]FX_Curve_Live!R91C6</stp>
        <tr r="F91" s="42"/>
      </tp>
      <tp t="e">
        <v>#N/A</v>
        <stp/>
        <stp>##V3_BDPV12</stp>
        <stp>EUSA17 Index</stp>
        <stp>PX_LAST</stp>
        <stp>[Live Pricing.xlsm]FX_Curve_Live!R46C6</stp>
        <tr r="F46" s="42"/>
      </tp>
      <tp t="e">
        <v>#N/A</v>
        <stp/>
        <stp>##V3_BDPV12</stp>
        <stp>JYBS6 Index</stp>
        <stp>PX_LAST</stp>
        <stp>[Live Pricing.xlsm]FX_Curve_Live!R60C13</stp>
        <tr r="M60" s="42"/>
      </tp>
      <tp t="e">
        <v>#N/A</v>
        <stp/>
        <stp>##V3_BDPV12</stp>
        <stp>EUBS9 Index</stp>
        <stp>PX_LAST</stp>
        <stp>[Live Pricing.xlsm]FX_Curve_Live!R38C13</stp>
        <tr r="M38" s="42"/>
      </tp>
      <tp t="e">
        <v>#N/A</v>
        <stp/>
        <stp>##V3_BDPV12</stp>
        <stp>SFBS7 Index</stp>
        <stp>PX_LAST</stp>
        <stp>[Live Pricing.xlsm]FX_Curve_History!R111C13</stp>
        <tr r="M111" s="50"/>
      </tp>
      <tp t="e">
        <v>#N/A</v>
        <stp/>
        <stp>##V3_BDPV12</stp>
        <stp>EUSA4 Index</stp>
        <stp>PX_LAST</stp>
        <stp>[Live Pricing.xlsm]Rate_Live!R33C6</stp>
        <tr r="F33" s="39"/>
      </tp>
      <tp t="e">
        <v>#N/A</v>
        <stp/>
        <stp>##V3_BDHV12</stp>
        <stp>YEU8 Comdty</stp>
        <stp>PX_LAST</stp>
        <stp>3/26/2019</stp>
        <stp>3/26/2019</stp>
        <stp>[Live Pricing.xlsm]FX_Curve_History!R56C4</stp>
        <tr r="D56" s="50"/>
      </tp>
      <tp t="e">
        <v>#N/A</v>
        <stp/>
        <stp>##V3_BDPV12</stp>
        <stp>US0012m Index</stp>
        <stp>PX_LAST</stp>
        <stp>[Live Pricing.xlsm]FX_Curve_Live!R11C2</stp>
        <tr r="B11" s="42"/>
      </tp>
      <tp t="e">
        <v>#N/A</v>
        <stp/>
        <stp>##V3_BDPV12</stp>
        <stp>CDBS12 Index</stp>
        <stp>PX_LAST</stp>
        <stp>[Live Pricing.xlsm]FX_Curve_History!R140C13</stp>
        <tr r="M140" s="50"/>
      </tp>
      <tp t="e">
        <v>#N/A</v>
        <stp/>
        <stp>##V3_BDPV12</stp>
        <stp>SFBS30 Index</stp>
        <stp>PX_LAST</stp>
        <stp>[Live Pricing.xlsm]FX_Curve_History!R122C13</stp>
        <tr r="M122" s="50"/>
      </tp>
      <tp t="e">
        <v>#N/A</v>
        <stp/>
        <stp>##V3_BDPV12</stp>
        <stp>SFBS20 Index</stp>
        <stp>PX_LAST</stp>
        <stp>[Live Pricing.xlsm]FX_Curve_History!R120C13</stp>
        <tr r="M120" s="50"/>
      </tp>
      <tp t="e">
        <v>#N/A</v>
        <stp/>
        <stp>##V3_BDPV12</stp>
        <stp>SFBS10 Index</stp>
        <stp>PX_LAST</stp>
        <stp>[Live Pricing.xlsm]FX_Curve_History!R114C13</stp>
        <tr r="M114" s="50"/>
      </tp>
      <tp t="e">
        <v>#N/A</v>
        <stp/>
        <stp>##V3_BDPV12</stp>
        <stp>JYSW14 Index</stp>
        <stp>PX_LAST</stp>
        <stp>[Live Pricing.xlsm]FX_Curve_Live!R68C6</stp>
        <tr r="F68" s="42"/>
      </tp>
      <tp t="e">
        <v>#N/A</v>
        <stp/>
        <stp>##V3_BDPV12</stp>
        <stp>EUR012m Index</stp>
        <stp>PX_LAST</stp>
        <stp>[Live Pricing.xlsm]FX_Curve_Live!R36C2</stp>
        <tr r="B36" s="42"/>
      </tp>
      <tp t="e">
        <v>#N/A</v>
        <stp/>
        <stp>##V3_BDPV12</stp>
        <stp>BPSW11 Index</stp>
        <stp>PX_LAST</stp>
        <stp>[Live Pricing.xlsm]FX_Curve_Live!R90C6</stp>
        <tr r="F90" s="42"/>
      </tp>
      <tp t="e">
        <v>#N/A</v>
        <stp/>
        <stp>##V3_BDPV12</stp>
        <stp>JYBS7 Index</stp>
        <stp>PX_LAST</stp>
        <stp>[Live Pricing.xlsm]FX_Curve_Live!R61C13</stp>
        <tr r="M61" s="42"/>
      </tp>
      <tp t="e">
        <v>#N/A</v>
        <stp/>
        <stp>##V3_BDPV12</stp>
        <stp>EUBS8 Index</stp>
        <stp>PX_LAST</stp>
        <stp>[Live Pricing.xlsm]FX_Curve_Live!R37C13</stp>
        <tr r="M37" s="42"/>
      </tp>
      <tp t="e">
        <v>#N/A</v>
        <stp/>
        <stp>##V3_BDPV12</stp>
        <stp>SFBS6 Index</stp>
        <stp>PX_LAST</stp>
        <stp>[Live Pricing.xlsm]FX_Curve_History!R110C13</stp>
        <tr r="M110" s="50"/>
      </tp>
      <tp t="e">
        <v>#N/A</v>
        <stp/>
        <stp>##V3_BDHV12</stp>
        <stp>EUNZ1015 ICPL Curncy</stp>
        <stp>PX_LAST</stp>
        <stp>3/26/2019</stp>
        <stp>3/26/2019</stp>
        <stp>[Live Pricing.xlsm]Vol_Surface!R32C8</stp>
        <tr r="H32" s="53"/>
      </tp>
      <tp t="e">
        <v>#N/A</v>
        <stp/>
        <stp>##V3_BDHV12</stp>
        <stp>EUNZ1515 ICPL Curncy</stp>
        <stp>PX_LAST</stp>
        <stp>3/26/2019</stp>
        <stp>3/26/2019</stp>
        <stp>[Live Pricing.xlsm]Vol_Surface!R32C9</stp>
        <tr r="I32" s="53"/>
      </tp>
      <tp t="e">
        <v>#N/A</v>
        <stp/>
        <stp>##V3_BDHV12</stp>
        <stp>EUNZ0515 ICPL Curncy</stp>
        <stp>PX_LAST</stp>
        <stp>3/26/2019</stp>
        <stp>3/26/2019</stp>
        <stp>[Live Pricing.xlsm]Vol_Surface!R32C7</stp>
        <tr r="G32" s="53"/>
      </tp>
      <tp t="e">
        <v>#N/A</v>
        <stp/>
        <stp>##V3_BDPV12</stp>
        <stp>EUSA3 Index</stp>
        <stp>PX_LAST</stp>
        <stp>[Live Pricing.xlsm]Rate_Live!R32C6</stp>
        <tr r="F32" s="39"/>
      </tp>
      <tp t="e">
        <v>#N/A</v>
        <stp/>
        <stp>##V3_BDPV12</stp>
        <stp>BP0002M Index</stp>
        <stp>PX_LAST</stp>
        <stp>[Live Pricing.xlsm]FX_Curve_Live!R83C2</stp>
        <tr r="B83" s="42"/>
      </tp>
      <tp t="e">
        <v>#N/A</v>
        <stp/>
        <stp>##V3_BDPV12</stp>
        <stp>BPSW14 Index</stp>
        <stp>PX_LAST</stp>
        <stp>[Live Pricing.xlsm]FX_Curve_Live!R93C6</stp>
        <tr r="F93" s="42"/>
      </tp>
      <tp t="e">
        <v>#N/A</v>
        <stp/>
        <stp>##V3_BDPV12</stp>
        <stp>EUSA20 Index</stp>
        <stp>PX_LAST</stp>
        <stp>[Live Pricing.xlsm]FX_Curve_Live!R47C6</stp>
        <tr r="F47" s="42"/>
      </tp>
      <tp t="e">
        <v>#N/A</v>
        <stp/>
        <stp>##V3_BDPV12</stp>
        <stp>EUR003m Index</stp>
        <stp>PX_LAST</stp>
        <stp>[Live Pricing.xlsm]FX_Curve_Live!R34C2</stp>
        <tr r="B34" s="42"/>
      </tp>
      <tp t="e">
        <v>#N/A</v>
        <stp/>
        <stp>##V3_BDPV12</stp>
        <stp>EUSA15 Index</stp>
        <stp>PX_LAST</stp>
        <stp>[Live Pricing.xlsm]FX_Curve_Live!R44C6</stp>
        <tr r="F44" s="42"/>
      </tp>
      <tp t="e">
        <v>#N/A</v>
        <stp/>
        <stp>##V3_BDPV12</stp>
        <stp>JYBS4 Index</stp>
        <stp>PX_LAST</stp>
        <stp>[Live Pricing.xlsm]FX_Curve_Live!R58C13</stp>
        <tr r="M58" s="42"/>
      </tp>
      <tp t="e">
        <v>#N/A</v>
        <stp/>
        <stp>##V3_BDPV12</stp>
        <stp>SFBS5 Index</stp>
        <stp>PX_LAST</stp>
        <stp>[Live Pricing.xlsm]FX_Curve_History!R109C13</stp>
        <tr r="M109" s="50"/>
      </tp>
      <tp t="e">
        <v>#N/A</v>
        <stp/>
        <stp>##V3_BDHV12</stp>
        <stp>EUNZ1012 ICPL Curncy</stp>
        <stp>PX_LAST</stp>
        <stp>3/26/2019</stp>
        <stp>3/26/2019</stp>
        <stp>[Live Pricing.xlsm]Vol_Surface!R31C8</stp>
        <tr r="H31" s="53"/>
      </tp>
      <tp t="e">
        <v>#N/A</v>
        <stp/>
        <stp>##V3_BDHV12</stp>
        <stp>EUNZ1512 ICPL Curncy</stp>
        <stp>PX_LAST</stp>
        <stp>3/26/2019</stp>
        <stp>3/26/2019</stp>
        <stp>[Live Pricing.xlsm]Vol_Surface!R31C9</stp>
        <tr r="I31" s="53"/>
      </tp>
      <tp t="e">
        <v>#N/A</v>
        <stp/>
        <stp>##V3_BDHV12</stp>
        <stp>EUNZ0512 ICPL Curncy</stp>
        <stp>PX_LAST</stp>
        <stp>3/26/2019</stp>
        <stp>3/26/2019</stp>
        <stp>[Live Pricing.xlsm]Vol_Surface!R31C7</stp>
        <tr r="G31" s="53"/>
      </tp>
      <tp t="e">
        <v>#N/A</v>
        <stp/>
        <stp>##V3_BDPV12</stp>
        <stp>EUSA2 Index</stp>
        <stp>PX_LAST</stp>
        <stp>[Live Pricing.xlsm]Rate_Live!R31C6</stp>
        <tr r="F31" s="39"/>
      </tp>
      <tp t="e">
        <v>#N/A</v>
        <stp/>
        <stp>##V3_BDPV12</stp>
        <stp>CLSWIB1F Index</stp>
        <stp>PX_LAST</stp>
        <stp>[Live Pricing.xlsm]Rate_Live!R187C2</stp>
        <tr r="B187" s="39"/>
      </tp>
      <tp t="e">
        <v>#N/A</v>
        <stp/>
        <stp>##V3_BDPV12</stp>
        <stp>JYBS25 Index</stp>
        <stp>PX_LAST</stp>
        <stp>[Live Pricing.xlsm]FX_Curve_Live!R73C13</stp>
        <tr r="M73" s="42"/>
      </tp>
      <tp t="e">
        <v>#N/A</v>
        <stp/>
        <stp>##V3_BDPV12</stp>
        <stp>JYBS15 Index</stp>
        <stp>PX_LAST</stp>
        <stp>[Live Pricing.xlsm]FX_Curve_Live!R69C13</stp>
        <tr r="M69" s="42"/>
      </tp>
      <tp t="e">
        <v>#N/A</v>
        <stp/>
        <stp>##V3_BDPV12</stp>
        <stp>CDBS20 Index</stp>
        <stp>PX_LAST</stp>
        <stp>[Live Pricing.xlsm]FX_Curve_History!R142C13</stp>
        <tr r="M142" s="50"/>
      </tp>
      <tp t="e">
        <v>#N/A</v>
        <stp/>
        <stp>##V3_BDPV12</stp>
        <stp>CDBS10 Index</stp>
        <stp>PX_LAST</stp>
        <stp>[Live Pricing.xlsm]FX_Curve_History!R139C13</stp>
        <tr r="M139" s="50"/>
      </tp>
      <tp t="e">
        <v>#N/A</v>
        <stp/>
        <stp>##V3_BDPV12</stp>
        <stp>SFBS12 Index</stp>
        <stp>PX_LAST</stp>
        <stp>[Live Pricing.xlsm]FX_Curve_History!R116C13</stp>
        <tr r="M116" s="50"/>
      </tp>
      <tp t="e">
        <v>#N/A</v>
        <stp/>
        <stp>##V3_BDPV12</stp>
        <stp>EUSA40 Index</stp>
        <stp>PX_LAST</stp>
        <stp>[Live Pricing.xlsm]FX_Curve_Live!R50C6</stp>
        <tr r="F50" s="42"/>
      </tp>
      <tp t="e">
        <v>#N/A</v>
        <stp/>
        <stp>##V3_BDPV12</stp>
        <stp>BPSW13 Index</stp>
        <stp>PX_LAST</stp>
        <stp>[Live Pricing.xlsm]FX_Curve_Live!R92C6</stp>
        <tr r="F92" s="42"/>
      </tp>
      <tp t="e">
        <v>#N/A</v>
        <stp/>
        <stp>##V3_BDPV12</stp>
        <stp>EUSA16 Index</stp>
        <stp>PX_LAST</stp>
        <stp>[Live Pricing.xlsm]FX_Curve_Live!R45C6</stp>
        <tr r="F45" s="42"/>
      </tp>
      <tp t="e">
        <v>#N/A</v>
        <stp/>
        <stp>##V3_BDPV12</stp>
        <stp>JYBS5 Index</stp>
        <stp>PX_LAST</stp>
        <stp>[Live Pricing.xlsm]FX_Curve_Live!R59C13</stp>
        <tr r="M59" s="42"/>
      </tp>
      <tp t="e">
        <v>#N/A</v>
        <stp/>
        <stp>##V3_BDHV12</stp>
        <stp>EUNZ1010 ICPL Curncy</stp>
        <stp>PX_LAST</stp>
        <stp>3/26/2019</stp>
        <stp>3/26/2019</stp>
        <stp>[Live Pricing.xlsm]Vol_Surface!R30C8</stp>
        <tr r="H30" s="53"/>
      </tp>
      <tp t="e">
        <v>#N/A</v>
        <stp/>
        <stp>##V3_BDHV12</stp>
        <stp>EUNZ1020 ICPL Curncy</stp>
        <stp>PX_LAST</stp>
        <stp>3/26/2019</stp>
        <stp>3/26/2019</stp>
        <stp>[Live Pricing.xlsm]Vol_Surface!R33C8</stp>
        <tr r="H33" s="53"/>
      </tp>
      <tp t="e">
        <v>#N/A</v>
        <stp/>
        <stp>##V3_BDHV12</stp>
        <stp>EUNZ1510 ICPL Curncy</stp>
        <stp>PX_LAST</stp>
        <stp>3/26/2019</stp>
        <stp>3/26/2019</stp>
        <stp>[Live Pricing.xlsm]Vol_Surface!R30C9</stp>
        <tr r="I30" s="53"/>
      </tp>
      <tp t="e">
        <v>#N/A</v>
        <stp/>
        <stp>##V3_BDHV12</stp>
        <stp>EUNZ1520 ICPL Curncy</stp>
        <stp>PX_LAST</stp>
        <stp>3/26/2019</stp>
        <stp>3/26/2019</stp>
        <stp>[Live Pricing.xlsm]Vol_Surface!R33C9</stp>
        <tr r="I33" s="53"/>
      </tp>
      <tp t="e">
        <v>#N/A</v>
        <stp/>
        <stp>##V3_BDHV12</stp>
        <stp>EUNZ0510 ICPL Curncy</stp>
        <stp>PX_LAST</stp>
        <stp>3/26/2019</stp>
        <stp>3/26/2019</stp>
        <stp>[Live Pricing.xlsm]Vol_Surface!R30C7</stp>
        <tr r="G30" s="53"/>
      </tp>
      <tp t="e">
        <v>#N/A</v>
        <stp/>
        <stp>##V3_BDHV12</stp>
        <stp>EUNZ0520 ICPL Curncy</stp>
        <stp>PX_LAST</stp>
        <stp>3/26/2019</stp>
        <stp>3/26/2019</stp>
        <stp>[Live Pricing.xlsm]Vol_Surface!R33C7</stp>
        <tr r="G33" s="53"/>
      </tp>
      <tp t="e">
        <v>#N/A</v>
        <stp/>
        <stp>##V3_BDPV12</stp>
        <stp>SFBS4 Index</stp>
        <stp>PX_LAST</stp>
        <stp>[Live Pricing.xlsm]FX_Curve_History!R108C13</stp>
        <tr r="M108" s="50"/>
      </tp>
      <tp t="e">
        <v>#N/A</v>
        <stp/>
        <stp>##V3_BDHV12</stp>
        <stp>JY0012M Index</stp>
        <stp>PX_LAST</stp>
        <stp>3/26/2019</stp>
        <stp>3/26/2019</stp>
        <stp>[Live Pricing.xlsm]Rate_History!R61C2</stp>
        <tr r="B61" s="49"/>
      </tp>
      <tp t="e">
        <v>#N/A</v>
        <stp/>
        <stp>##V3_BDHV12</stp>
        <stp>JY0006M Index</stp>
        <stp>PX_LAST</stp>
        <stp>3/26/2019</stp>
        <stp>3/26/2019</stp>
        <stp>[Live Pricing.xlsm]Rate_History!R60C2</stp>
        <tr r="B60" s="49"/>
      </tp>
      <tp t="e">
        <v>#N/A</v>
        <stp/>
        <stp>##V3_BDPV12</stp>
        <stp>BP0001M Index</stp>
        <stp>PX_LAST</stp>
        <stp>[Live Pricing.xlsm]FX_Curve_Live!R82C2</stp>
        <tr r="B82" s="42"/>
      </tp>
      <tp t="e">
        <v>#N/A</v>
        <stp/>
        <stp>##V3_BDPV12</stp>
        <stp>BP0006M Index</stp>
        <stp>PX_LAST</stp>
        <stp>[Live Pricing.xlsm]FX_Curve_Live!R85C2</stp>
        <tr r="B85" s="42"/>
      </tp>
      <tp t="e">
        <v>#N/A</v>
        <stp/>
        <stp>##V3_BDPV12</stp>
        <stp>JY0002M Index</stp>
        <stp>PX_LAST</stp>
        <stp>[Live Pricing.xlsm]FX_Curve_Live!R58C2</stp>
        <tr r="B58" s="42"/>
      </tp>
      <tp t="e">
        <v>#N/A</v>
        <stp/>
        <stp>##V3_BDPV12</stp>
        <stp>JY0003M Index</stp>
        <stp>PX_LAST</stp>
        <stp>[Live Pricing.xlsm]FX_Curve_Live!R59C2</stp>
        <tr r="B59" s="42"/>
      </tp>
      <tp t="e">
        <v>#N/A</v>
        <stp/>
        <stp>##V3_BDHV12</stp>
        <stp>ERU9 Comdty</stp>
        <stp>PX_LAST</stp>
        <stp>3/26/2019</stp>
        <stp>3/26/2019</stp>
        <stp>[Live Pricing.xlsm]FX_Curve_History!R35C4</stp>
        <tr r="D35" s="50"/>
      </tp>
      <tp t="e">
        <v>#N/A</v>
        <stp/>
        <stp>##V3_BDHV12</stp>
        <stp>L U9 Comdty</stp>
        <stp>PX_LAST</stp>
        <stp>3/26/2019</stp>
        <stp>3/26/2019</stp>
        <stp>[Live Pricing.xlsm]FX_Curve_History!R85C4</stp>
        <tr r="D85" s="50"/>
      </tp>
      <tp t="e">
        <v>#N/A</v>
        <stp/>
        <stp>##V3_BDPV12</stp>
        <stp>US0001m Index</stp>
        <stp>PX_LAST</stp>
        <stp>[Live Pricing.xlsm]FX_Curve_Live!R7C2</stp>
        <tr r="B7" s="42"/>
      </tp>
      <tp t="e">
        <v>#N/A</v>
        <stp/>
        <stp>##V3_BDPV12</stp>
        <stp>BPSW16 Index</stp>
        <stp>PX_LAST</stp>
        <stp>[Live Pricing.xlsm]FX_Curve_Live!R95C6</stp>
        <tr r="F95" s="42"/>
      </tp>
      <tp t="e">
        <v>#N/A</v>
        <stp/>
        <stp>##V3_BDPV12</stp>
        <stp>EUSA13 Index</stp>
        <stp>PX_LAST</stp>
        <stp>[Live Pricing.xlsm]FX_Curve_Live!R42C6</stp>
        <tr r="F42" s="42"/>
      </tp>
      <tp t="e">
        <v>#N/A</v>
        <stp/>
        <stp>##V3_BDPV12</stp>
        <stp>EUR002m Index</stp>
        <stp>PX_LAST</stp>
        <stp>[Live Pricing.xlsm]FX_Curve_Live!R33C2</stp>
        <tr r="B33" s="42"/>
      </tp>
      <tp t="e">
        <v>#N/A</v>
        <stp/>
        <stp>##V3_BDPV12</stp>
        <stp>JYBS2 Index</stp>
        <stp>PX_LAST</stp>
        <stp>[Live Pricing.xlsm]FX_Curve_Live!R56C13</stp>
        <tr r="M56" s="42"/>
      </tp>
      <tp t="e">
        <v>#N/A</v>
        <stp/>
        <stp>##V3_BDHV12</stp>
        <stp>JY0001M Index</stp>
        <stp>PX_LAST</stp>
        <stp>3/26/2019</stp>
        <stp>3/26/2019</stp>
        <stp>[Live Pricing.xlsm]Rate_History!R57C2</stp>
        <tr r="B57" s="49"/>
      </tp>
      <tp t="e">
        <v>#N/A</v>
        <stp/>
        <stp>##V3_BDPV12</stp>
        <stp>EUSA8 Index</stp>
        <stp>PX_LAST</stp>
        <stp>[Live Pricing.xlsm]Rate_Live!R37C6</stp>
        <tr r="F37" s="39"/>
      </tp>
      <tp t="e">
        <v>#N/A</v>
        <stp/>
        <stp>##V3_BDPV12</stp>
        <stp>BP0012M Index</stp>
        <stp>PX_LAST</stp>
        <stp>[Live Pricing.xlsm]FX_Curve_Live!R86C2</stp>
        <tr r="B86" s="42"/>
      </tp>
      <tp t="e">
        <v>#N/A</v>
        <stp/>
        <stp>##V3_BDPV12</stp>
        <stp>BPSW15 Index</stp>
        <stp>PX_LAST</stp>
        <stp>[Live Pricing.xlsm]FX_Curve_Live!R94C6</stp>
        <tr r="F94" s="42"/>
      </tp>
      <tp t="e">
        <v>#N/A</v>
        <stp/>
        <stp>##V3_BDPV12</stp>
        <stp>BPSW20 Index</stp>
        <stp>PX_LAST</stp>
        <stp>[Live Pricing.xlsm]FX_Curve_Live!R97C6</stp>
        <tr r="F97" s="42"/>
      </tp>
      <tp t="e">
        <v>#N/A</v>
        <stp/>
        <stp>##V3_BDPV12</stp>
        <stp>EUSA14 Index</stp>
        <stp>PX_LAST</stp>
        <stp>[Live Pricing.xlsm]FX_Curve_Live!R43C6</stp>
        <tr r="F43" s="42"/>
      </tp>
      <tp t="e">
        <v>#N/A</v>
        <stp/>
        <stp>##V3_BDPV12</stp>
        <stp>JYBS3 Index</stp>
        <stp>PX_LAST</stp>
        <stp>[Live Pricing.xlsm]FX_Curve_Live!R57C13</stp>
        <tr r="M57" s="42"/>
      </tp>
      <tp t="e">
        <v>#N/A</v>
        <stp/>
        <stp>##V3_BDPV12</stp>
        <stp>SFBS2 Index</stp>
        <stp>PX_LAST</stp>
        <stp>[Live Pricing.xlsm]FX_Curve_History!R106C13</stp>
        <tr r="M106" s="50"/>
      </tp>
      <tp t="e">
        <v>#N/A</v>
        <stp/>
        <stp>##V3_BDPV12</stp>
        <stp>EUSA7 Index</stp>
        <stp>PX_LAST</stp>
        <stp>[Live Pricing.xlsm]Rate_Live!R36C6</stp>
        <tr r="F36" s="39"/>
      </tp>
      <tp t="e">
        <v>#N/A</v>
        <stp/>
        <stp>##V3_BDPV12</stp>
        <stp>JYBS12 Index</stp>
        <stp>PX_LAST</stp>
        <stp>[Live Pricing.xlsm]FX_Curve_Live!R66C13</stp>
        <tr r="M66" s="42"/>
      </tp>
      <tp t="e">
        <v>#N/A</v>
        <stp/>
        <stp>##V3_BDPV12</stp>
        <stp>US0006m Index</stp>
        <stp>PX_LAST</stp>
        <stp>[Live Pricing.xlsm]FX_Curve_Live!R10C2</stp>
        <tr r="B10" s="42"/>
      </tp>
      <tp t="e">
        <v>#N/A</v>
        <stp/>
        <stp>##V3_BDPV12</stp>
        <stp>SFBS15 Index</stp>
        <stp>PX_LAST</stp>
        <stp>[Live Pricing.xlsm]FX_Curve_History!R119C13</stp>
        <tr r="M119" s="50"/>
      </tp>
      <tp t="e">
        <v>#N/A</v>
        <stp/>
        <stp>##V3_BDPV12</stp>
        <stp>EUSA11 Index</stp>
        <stp>PX_LAST</stp>
        <stp>[Live Pricing.xlsm]FX_Curve_Live!R40C6</stp>
        <tr r="F40" s="42"/>
      </tp>
      <tp t="e">
        <v>#N/A</v>
        <stp/>
        <stp>##V3_BDPV12</stp>
        <stp>EUR001m Index</stp>
        <stp>PX_LAST</stp>
        <stp>[Live Pricing.xlsm]FX_Curve_Live!R32C2</stp>
        <tr r="B32" s="42"/>
      </tp>
      <tp t="e">
        <v>#N/A</v>
        <stp/>
        <stp>##V3_BDPV12</stp>
        <stp>EUR006m Index</stp>
        <stp>PX_LAST</stp>
        <stp>[Live Pricing.xlsm]FX_Curve_Live!R35C2</stp>
        <tr r="B35" s="42"/>
      </tp>
      <tp t="e">
        <v>#N/A</v>
        <stp/>
        <stp>##V3_BDPV12</stp>
        <stp>SFBS1 Index</stp>
        <stp>PX_LAST</stp>
        <stp>[Live Pricing.xlsm]FX_Curve_History!R106C16</stp>
        <tr r="P106" s="50"/>
      </tp>
      <tp t="e">
        <v>#N/A</v>
        <stp/>
        <stp>##V3_BDPV12</stp>
        <stp>BPBS8 Index</stp>
        <stp>PX_LAST</stp>
        <stp>[Live Pricing.xlsm]FX_Curve_Live!R87C13</stp>
        <tr r="M87" s="42"/>
      </tp>
      <tp t="e">
        <v>#N/A</v>
        <stp/>
        <stp>##V3_BDHV12</stp>
        <stp>BCN4M BGN Curncy</stp>
        <stp>PX_LAST</stp>
        <stp>3/26/2019</stp>
        <stp>3/26/2019</stp>
        <stp>[Live Pricing.xlsm]FXFR!R8C4</stp>
        <tr r="D8" s="46"/>
      </tp>
      <tp t="e">
        <v>#N/A</v>
        <stp/>
        <stp>##V3_BDHV12</stp>
        <stp>EUSWEC Curncy</stp>
        <stp>PX_LAST</stp>
        <stp>3/26/2019</stp>
        <stp>3/26/2019</stp>
        <stp>[Live Pricing.xlsm]FX_Curve_History!R31C2</stp>
        <tr r="B31" s="50"/>
      </tp>
      <tp t="e">
        <v>#N/A</v>
        <stp/>
        <stp>##V3_BDPV12</stp>
        <stp>EUSA6 Index</stp>
        <stp>PX_LAST</stp>
        <stp>[Live Pricing.xlsm]Rate_Live!R35C6</stp>
        <tr r="F35" s="39"/>
      </tp>
      <tp t="e">
        <v>#N/A</v>
        <stp/>
        <stp>##V3_BDHV12</stp>
        <stp>YEU9 Comdty</stp>
        <stp>PX_LAST</stp>
        <stp>3/26/2019</stp>
        <stp>3/26/2019</stp>
        <stp>[Live Pricing.xlsm]FX_Curve_History!R60C4</stp>
        <tr r="D60" s="50"/>
      </tp>
      <tp t="e">
        <v>#N/A</v>
        <stp/>
        <stp>##V3_BDHV12</stp>
        <stp>EDU9 Comdty</stp>
        <stp>PX_LAST</stp>
        <stp>3/26/2019</stp>
        <stp>3/26/2019</stp>
        <stp>[Live Pricing.xlsm]FX_Curve_History!R10C4</stp>
        <tr r="D10" s="50"/>
      </tp>
      <tp t="e">
        <v>#N/A</v>
        <stp/>
        <stp>##V3_BDPV12</stp>
        <stp>JYBS11 Index</stp>
        <stp>PX_LAST</stp>
        <stp>[Live Pricing.xlsm]FX_Curve_Live!R65C13</stp>
        <tr r="M65" s="42"/>
      </tp>
      <tp t="e">
        <v>#N/A</v>
        <stp/>
        <stp>##V3_BDPV12</stp>
        <stp>BPSW17 Index</stp>
        <stp>PX_LAST</stp>
        <stp>[Live Pricing.xlsm]FX_Curve_Live!R96C6</stp>
        <tr r="F96" s="42"/>
      </tp>
      <tp t="e">
        <v>#N/A</v>
        <stp/>
        <stp>##V3_BDPV12</stp>
        <stp>EUSA12 Index</stp>
        <stp>PX_LAST</stp>
        <stp>[Live Pricing.xlsm]FX_Curve_Live!R41C6</stp>
        <tr r="F41" s="42"/>
      </tp>
      <tp t="e">
        <v>#N/A</v>
        <stp/>
        <stp>##V3_BDPV12</stp>
        <stp>JYBS1 Index</stp>
        <stp>PX_LAST</stp>
        <stp>[Live Pricing.xlsm]FX_Curve_Live!R56C16</stp>
        <tr r="P56" s="42"/>
      </tp>
      <tp t="e">
        <v>#N/A</v>
        <stp/>
        <stp>##V3_BDPV12</stp>
        <stp>BPBS9 Index</stp>
        <stp>PX_LAST</stp>
        <stp>[Live Pricing.xlsm]FX_Curve_Live!R88C13</stp>
        <tr r="M88" s="42"/>
      </tp>
      <tp t="e">
        <v>#N/A</v>
        <stp/>
        <stp>##V3_BDHV12</stp>
        <stp>BCN5M BGN Curncy</stp>
        <stp>PX_LAST</stp>
        <stp>3/26/2019</stp>
        <stp>3/26/2019</stp>
        <stp>[Live Pricing.xlsm]FXFR!R9C4</stp>
        <tr r="D9" s="46"/>
      </tp>
      <tp t="e">
        <v>#N/A</v>
        <stp/>
        <stp>##V3_BDPV12</stp>
        <stp>EUSA5 Index</stp>
        <stp>PX_LAST</stp>
        <stp>[Live Pricing.xlsm]Rate_Live!R34C6</stp>
        <tr r="F34" s="39"/>
      </tp>
      <tp t="e">
        <v>#N/A</v>
        <stp/>
        <stp>##V3_BDPV12</stp>
        <stp>HASWDI3M Index</stp>
        <stp>PX_LAST</stp>
        <stp>[Live Pricing.xlsm]Rate_Live!R159C2</stp>
        <tr r="B159" s="39"/>
      </tp>
      <tp t="e">
        <v>#N/A</v>
        <stp/>
        <stp>##V3_BDPV12</stp>
        <stp>BP0003M Index</stp>
        <stp>PX_LAST</stp>
        <stp>[Live Pricing.xlsm]FX_Curve_Live!R84C2</stp>
        <tr r="B84" s="42"/>
      </tp>
      <tp t="e">
        <v>#N/A</v>
        <stp/>
        <stp>##V3_BDHV12</stp>
        <stp>ERU8 Comdty</stp>
        <stp>PX_LAST</stp>
        <stp>3/26/2019</stp>
        <stp>3/26/2019</stp>
        <stp>[Live Pricing.xlsm]FX_Curve_History!R31C4</stp>
        <tr r="D31" s="50"/>
      </tp>
      <tp t="e">
        <v>#N/A</v>
        <stp/>
        <stp>##V3_BDHV12</stp>
        <stp>L U8 Comdty</stp>
        <stp>PX_LAST</stp>
        <stp>3/26/2019</stp>
        <stp>3/26/2019</stp>
        <stp>[Live Pricing.xlsm]FX_Curve_History!R81C4</stp>
        <tr r="D81" s="50"/>
      </tp>
      <tp t="e">
        <v>#N/A</v>
        <stp/>
        <stp>##V3_BDPV12</stp>
        <stp>JYBS40 Index</stp>
        <stp>PX_LAST</stp>
        <stp>[Live Pricing.xlsm]FX_Curve_Live!R75C13</stp>
        <tr r="M75" s="42"/>
      </tp>
      <tp t="e">
        <v>#N/A</v>
        <stp/>
        <stp>##V3_BDPV12</stp>
        <stp>JYBS20 Index</stp>
        <stp>PX_LAST</stp>
        <stp>[Live Pricing.xlsm]FX_Curve_Live!R72C13</stp>
        <tr r="M72" s="42"/>
      </tp>
      <tp t="e">
        <v>#N/A</v>
        <stp/>
        <stp>##V3_BDPV12</stp>
        <stp>JYBS30 Index</stp>
        <stp>PX_LAST</stp>
        <stp>[Live Pricing.xlsm]FX_Curve_Live!R74C13</stp>
        <tr r="M74" s="42"/>
      </tp>
      <tp t="e">
        <v>#N/A</v>
        <stp/>
        <stp>##V3_BDPV12</stp>
        <stp>JYBS10 Index</stp>
        <stp>PX_LAST</stp>
        <stp>[Live Pricing.xlsm]FX_Curve_Live!R64C13</stp>
        <tr r="M64" s="42"/>
      </tp>
      <tp t="e">
        <v>#N/A</v>
        <stp/>
        <stp>##V3_BDPV12</stp>
        <stp>CDBS15 Index</stp>
        <stp>PX_LAST</stp>
        <stp>[Live Pricing.xlsm]FX_Curve_History!R141C13</stp>
        <tr r="M141" s="50"/>
      </tp>
      <tp t="e">
        <v>#N/A</v>
        <stp/>
        <stp>##V3_BDPV12</stp>
        <stp>JYSW17 Index</stp>
        <stp>PX_LAST</stp>
        <stp>[Live Pricing.xlsm]FX_Curve_Live!R71C6</stp>
        <tr r="F71" s="42"/>
      </tp>
      <tp t="e">
        <v>#N/A</v>
        <stp/>
        <stp>##V3_BDPV12</stp>
        <stp>JYSW20 Index</stp>
        <stp>PX_LAST</stp>
        <stp>[Live Pricing.xlsm]FX_Curve_Live!R72C6</stp>
        <tr r="F72" s="42"/>
      </tp>
      <tp t="e">
        <v>#N/A</v>
        <stp/>
        <stp>##V3_BDPV12</stp>
        <stp>BPSW10 Index</stp>
        <stp>PX_LAST</stp>
        <stp>[Live Pricing.xlsm]FX_Curve_Live!R89C6</stp>
        <tr r="F89" s="42"/>
      </tp>
      <tp t="e">
        <v>#N/A</v>
        <stp/>
        <stp>##V3_BDPV12</stp>
        <stp>EUBS1 Index</stp>
        <stp>PX_LAST</stp>
        <stp>[Live Pricing.xlsm]FX_Curve_Live!R31C16</stp>
        <tr r="P31" s="42"/>
      </tp>
      <tp t="e">
        <v>#N/A</v>
        <stp/>
        <stp>##V3_BDHV12</stp>
        <stp>BCN2M BGN Curncy</stp>
        <stp>PX_LAST</stp>
        <stp>3/26/2019</stp>
        <stp>3/26/2019</stp>
        <stp>[Live Pricing.xlsm]FXFR!R6C4</stp>
        <tr r="D6" s="46"/>
      </tp>
      <tp t="e">
        <v>#N/A</v>
        <stp/>
        <stp>##V3_BDPV12</stp>
        <stp>BPBS6 Index</stp>
        <stp>PX_LAST</stp>
        <stp>[Live Pricing.xlsm]FX_Curve_Live!R85C13</stp>
        <tr r="M85" s="42"/>
      </tp>
      <tp t="e">
        <v>#N/A</v>
        <stp/>
        <stp>##V3_BDHV12</stp>
        <stp>BP0002M Index</stp>
        <stp>PX_LAST</stp>
        <stp>3/26/2019</stp>
        <stp>3/26/2019</stp>
        <stp>[Live Pricing.xlsm]Rate_History!R83C2</stp>
        <tr r="B83" s="49"/>
        <tr r="B83" s="49"/>
      </tp>
      <tp t="e">
        <v>#N/A</v>
        <stp/>
        <stp>##V3_BDHV12</stp>
        <stp>EUR003m Index</stp>
        <stp>PX_LAST</stp>
        <stp>3/26/2019</stp>
        <stp>3/26/2019</stp>
        <stp>[Live Pricing.xlsm]Rate_History!R34C2</stp>
        <tr r="B34" s="49"/>
      </tp>
      <tp t="e">
        <v>#N/A</v>
        <stp/>
        <stp>##V3_BDHV12</stp>
        <stp>YEZ9 Comdty</stp>
        <stp>PX_LAST</stp>
        <stp>3/26/2019</stp>
        <stp>3/26/2019</stp>
        <stp>[Live Pricing.xlsm]FX_Curve_History!R61C4</stp>
        <tr r="D61" s="50"/>
      </tp>
      <tp t="e">
        <v>#N/A</v>
        <stp/>
        <stp>##V3_BDHV12</stp>
        <stp>EDZ9 Comdty</stp>
        <stp>PX_LAST</stp>
        <stp>3/26/2019</stp>
        <stp>3/26/2019</stp>
        <stp>[Live Pricing.xlsm]FX_Curve_History!R11C4</stp>
        <tr r="D11" s="50"/>
      </tp>
      <tp t="e">
        <v>#N/A</v>
        <stp/>
        <stp>##V3_BDPV12</stp>
        <stp>JYSW16 Index</stp>
        <stp>PX_LAST</stp>
        <stp>[Live Pricing.xlsm]FX_Curve_Live!R70C6</stp>
        <tr r="F70" s="42"/>
      </tp>
      <tp t="e">
        <v>#N/A</v>
        <stp/>
        <stp>##V3_BDPV12</stp>
        <stp>JYSW25 Index</stp>
        <stp>PX_LAST</stp>
        <stp>[Live Pricing.xlsm]FX_Curve_Live!R73C6</stp>
        <tr r="F73" s="42"/>
      </tp>
      <tp t="e">
        <v>#N/A</v>
        <stp/>
        <stp>##V3_BDPV12</stp>
        <stp>BLBS3 Index</stp>
        <stp>PX_LAST</stp>
        <stp>[Live Pricing.xlsm]FX_Curve_Live!R157C13</stp>
        <stp>B.S. Adjustments</stp>
        <stp>B.S. Adjustments</stp>
        <tr r="M157" s="42"/>
      </tp>
      <tp t="e">
        <v>#N/A</v>
        <stp/>
        <stp>##V3_BDPV12</stp>
        <stp>JYSW40 Index</stp>
        <stp>PX_LAST</stp>
        <stp>[Live Pricing.xlsm]FX_Curve_Live!R75C6</stp>
        <tr r="F75" s="42"/>
      </tp>
      <tp t="e">
        <v>#N/A</v>
        <stp/>
        <stp>##V3_BDHV12</stp>
        <stp>CORRRMIN Index</stp>
        <stp>PX_LAST</stp>
        <stp>3/26/2019</stp>
        <stp>3/26/2019</stp>
        <stp>[Live Pricing.xlsm]FX_Curve_History!R181C2</stp>
        <tr r="B181" s="50"/>
      </tp>
      <tp t="e">
        <v>#N/A</v>
        <stp/>
        <stp>##V3_BDHV12</stp>
        <stp>USSW4 CMPN Curncy</stp>
        <stp>LAST_PRICE</stp>
        <stp>3/26/2019</stp>
        <stp>3/26/2019</stp>
        <stp>[Live Pricing.xlsm]Rate_History!R8C20</stp>
        <tr r="T8" s="49"/>
      </tp>
      <tp t="e">
        <v>#N/A</v>
        <stp/>
        <stp>##V3_BDHV12</stp>
        <stp>BCN3M BGN Curncy</stp>
        <stp>PX_LAST</stp>
        <stp>3/26/2019</stp>
        <stp>3/26/2019</stp>
        <stp>[Live Pricing.xlsm]FXFR!R7C4</stp>
        <tr r="D7" s="46"/>
      </tp>
      <tp t="e">
        <v>#N/A</v>
        <stp/>
        <stp>##V3_BDHV12</stp>
        <stp>USSW5 CMPN Curncy</stp>
        <stp>LAST_PRICE</stp>
        <stp>3/26/2019</stp>
        <stp>3/26/2019</stp>
        <stp>[Live Pricing.xlsm]Rate_History!R9C20</stp>
        <tr r="T9" s="49"/>
      </tp>
      <tp t="e">
        <v>#N/A</v>
        <stp/>
        <stp>##V3_BDPV12</stp>
        <stp>BPBS7 Index</stp>
        <stp>PX_LAST</stp>
        <stp>[Live Pricing.xlsm]FX_Curve_Live!R86C13</stp>
        <tr r="M86" s="42"/>
      </tp>
      <tp t="e">
        <v>#N/A</v>
        <stp/>
        <stp>##V3_BDHV12</stp>
        <stp>USSW2 CMPN Curncy</stp>
        <stp>LAST_PRICE</stp>
        <stp>3/26/2019</stp>
        <stp>3/26/2019</stp>
        <stp>[Live Pricing.xlsm]Rate_History!R6C20</stp>
        <tr r="T6" s="49"/>
      </tp>
      <tp t="e">
        <v>#N/A</v>
        <stp/>
        <stp>##V3_BDHV12</stp>
        <stp>USSW3 CMPN Curncy</stp>
        <stp>LAST_PRICE</stp>
        <stp>3/26/2019</stp>
        <stp>3/26/2019</stp>
        <stp>[Live Pricing.xlsm]Rate_History!R7C20</stp>
        <tr r="T7" s="49"/>
      </tp>
      <tp t="e">
        <v>#N/A</v>
        <stp/>
        <stp>##V3_BDHV12</stp>
        <stp>EUR006m Index</stp>
        <stp>PX_LAST</stp>
        <stp>3/26/2019</stp>
        <stp>3/26/2019</stp>
        <stp>[Live Pricing.xlsm]Rate_History!R35C2</stp>
        <tr r="B35" s="49"/>
      </tp>
      <tp t="e">
        <v>#N/A</v>
        <stp/>
        <stp>##V3_BDHV12</stp>
        <stp>BP0001M Index</stp>
        <stp>PX_LAST</stp>
        <stp>3/26/2019</stp>
        <stp>3/26/2019</stp>
        <stp>[Live Pricing.xlsm]Rate_History!R82C2</stp>
        <tr r="B82" s="49"/>
      </tp>
      <tp t="e">
        <v>#N/A</v>
        <stp/>
        <stp>##V3_BDPV12</stp>
        <stp>HASWDI1M Index</stp>
        <stp>PX_LAST</stp>
        <stp>[Live Pricing.xlsm]Rate_Live!R157C2</stp>
        <tr r="B157" s="39"/>
      </tp>
      <tp t="e">
        <v>#N/A</v>
        <stp/>
        <stp>##V3_BDPV12</stp>
        <stp>CORRRMIN Index</stp>
        <stp>PX_LAST</stp>
        <stp>[Live Pricing.xlsm]Rate_Live!R181C2</stp>
        <tr r="B181" s="39"/>
      </tp>
      <tp t="e">
        <v>#N/A</v>
        <stp/>
        <stp>##V3_BDPV12</stp>
        <stp>EUBS12 Index</stp>
        <stp>PX_LAST</stp>
        <stp>[Live Pricing.xlsm]FX_Curve_Live!R41C13</stp>
        <tr r="M41" s="42"/>
      </tp>
      <tp t="e">
        <v>#N/A</v>
        <stp/>
        <stp>##V3_BDPV12</stp>
        <stp>EDH0 Comdty</stp>
        <stp>PX_LAST</stp>
        <stp>[Live Pricing.xlsm]Rate_Live!R9C4</stp>
        <tr r="D9" s="39"/>
      </tp>
      <tp t="e">
        <v>#N/A</v>
        <stp/>
        <stp>##V3_BDPV12</stp>
        <stp>BPSW25 Index</stp>
        <stp>PX_LAST</stp>
        <stp>[Live Pricing.xlsm]FX_Curve_Live!R98C6</stp>
        <tr r="F98" s="42"/>
      </tp>
      <tp t="e">
        <v>#N/A</v>
        <stp/>
        <stp>##V3_BDPV12</stp>
        <stp>BPSW30 Index</stp>
        <stp>PX_LAST</stp>
        <stp>[Live Pricing.xlsm]FX_Curve_Live!R99C6</stp>
        <tr r="F99" s="42"/>
      </tp>
      <tp t="e">
        <v>#N/A</v>
        <stp/>
        <stp>##V3_BDPV12</stp>
        <stp>EUBS3 Index</stp>
        <stp>PX_LAST</stp>
        <stp>[Live Pricing.xlsm]FX_Curve_Live!R32C13</stp>
        <tr r="M32" s="42"/>
      </tp>
      <tp t="e">
        <v>#N/A</v>
        <stp/>
        <stp>##V3_BDHV12</stp>
        <stp>BCN1W BGN Curncy</stp>
        <stp>PX_LAST</stp>
        <stp>3/26/2019</stp>
        <stp>3/26/2019</stp>
        <stp>[Live Pricing.xlsm]FXFR!R4C4</stp>
        <tr r="D4" s="46"/>
      </tp>
      <tp t="e">
        <v>#N/A</v>
        <stp/>
        <stp>##V3_BDPV12</stp>
        <stp>BPBS4 Index</stp>
        <stp>PX_LAST</stp>
        <stp>[Live Pricing.xlsm]FX_Curve_Live!R83C13</stp>
        <tr r="M83" s="42"/>
      </tp>
      <tp t="e">
        <v>#N/A</v>
        <stp/>
        <stp>##V3_BDHV12</stp>
        <stp>JY0003M Index</stp>
        <stp>PX_LAST</stp>
        <stp>3/26/2019</stp>
        <stp>3/26/2019</stp>
        <stp>[Live Pricing.xlsm]Rate_History!R59C2</stp>
        <tr r="B59" s="49"/>
      </tp>
      <tp t="e">
        <v>#N/A</v>
        <stp/>
        <stp>##V3_BDPV12</stp>
        <stp>JY0012M Index</stp>
        <stp>PX_LAST</stp>
        <stp>[Live Pricing.xlsm]FX_Curve_Live!R61C2</stp>
        <tr r="B61" s="42"/>
      </tp>
      <tp t="e">
        <v>#N/A</v>
        <stp/>
        <stp>##V3_BDPV12</stp>
        <stp>EUBS11 Index</stp>
        <stp>PX_LAST</stp>
        <stp>[Live Pricing.xlsm]FX_Curve_Live!R40C13</stp>
        <tr r="M40" s="42"/>
      </tp>
      <tp t="e">
        <v>#N/A</v>
        <stp/>
        <stp>##V3_BDPV12</stp>
        <stp>EUBS2 Index</stp>
        <stp>PX_LAST</stp>
        <stp>[Live Pricing.xlsm]FX_Curve_Live!R31C13</stp>
        <tr r="M31" s="42"/>
      </tp>
      <tp t="e">
        <v>#N/A</v>
        <stp/>
        <stp>##V3_BDHV12</stp>
        <stp>BCN1M BGN Curncy</stp>
        <stp>PX_LAST</stp>
        <stp>3/26/2019</stp>
        <stp>3/26/2019</stp>
        <stp>[Live Pricing.xlsm]FXFR!R5C4</stp>
        <tr r="D5" s="46"/>
      </tp>
      <tp t="e">
        <v>#N/A</v>
        <stp/>
        <stp>##V3_BDPV12</stp>
        <stp>BPBS5 Index</stp>
        <stp>PX_LAST</stp>
        <stp>[Live Pricing.xlsm]FX_Curve_Live!R84C13</stp>
        <tr r="M84" s="42"/>
      </tp>
      <tp t="e">
        <v>#N/A</v>
        <stp/>
        <stp>##V3_BDHV12</stp>
        <stp>EUR012m Index</stp>
        <stp>PX_LAST</stp>
        <stp>3/26/2019</stp>
        <stp>3/26/2019</stp>
        <stp>[Live Pricing.xlsm]Rate_History!R36C2</stp>
        <tr r="B36" s="49"/>
      </tp>
      <tp t="e">
        <v>#N/A</v>
        <stp/>
        <stp>##V3_BDHV12</stp>
        <stp>JY0002M Index</stp>
        <stp>PX_LAST</stp>
        <stp>3/26/2019</stp>
        <stp>3/26/2019</stp>
        <stp>[Live Pricing.xlsm]Rate_History!R58C2</stp>
        <tr r="B58" s="49"/>
        <tr r="B58" s="49"/>
      </tp>
      <tp t="e">
        <v>#N/A</v>
        <stp/>
        <stp>##V3_BDPV12</stp>
        <stp>EUSA9 Index</stp>
        <stp>PX_LAST</stp>
        <stp>[Live Pricing.xlsm]Rate_Live!R38C6</stp>
        <tr r="F38" s="39"/>
      </tp>
      <tp t="e">
        <v>#N/A</v>
        <stp/>
        <stp>##V3_BDHV12</stp>
        <stp>ERZ8 Comdty</stp>
        <stp>PX_LAST</stp>
        <stp>3/26/2019</stp>
        <stp>3/26/2019</stp>
        <stp>[Live Pricing.xlsm]FX_Curve_History!R32C4</stp>
        <tr r="D32" s="50"/>
      </tp>
      <tp t="e">
        <v>#N/A</v>
        <stp/>
        <stp>##V3_BDHV12</stp>
        <stp>L Z8 Comdty</stp>
        <stp>PX_LAST</stp>
        <stp>3/26/2019</stp>
        <stp>3/26/2019</stp>
        <stp>[Live Pricing.xlsm]FX_Curve_History!R82C4</stp>
        <tr r="D82" s="50"/>
      </tp>
      <tp t="e">
        <v>#N/A</v>
        <stp/>
        <stp>##V3_BDPV12</stp>
        <stp>EUBS10 Index</stp>
        <stp>PX_LAST</stp>
        <stp>[Live Pricing.xlsm]FX_Curve_Live!R39C13</stp>
        <tr r="M39" s="42"/>
      </tp>
      <tp t="e">
        <v>#N/A</v>
        <stp/>
        <stp>##V3_BDPV12</stp>
        <stp>EUBS40 Index</stp>
        <stp>PX_LAST</stp>
        <stp>[Live Pricing.xlsm]FX_Curve_Live!R50C13</stp>
        <tr r="M50" s="42"/>
      </tp>
      <tp t="e">
        <v>#N/A</v>
        <stp/>
        <stp>##V3_BDPV12</stp>
        <stp>EUBS20 Index</stp>
        <stp>PX_LAST</stp>
        <stp>[Live Pricing.xlsm]FX_Curve_Live!R47C13</stp>
        <tr r="M47" s="42"/>
      </tp>
      <tp t="e">
        <v>#N/A</v>
        <stp/>
        <stp>##V3_BDPV12</stp>
        <stp>EUBS30 Index</stp>
        <stp>PX_LAST</stp>
        <stp>[Live Pricing.xlsm]FX_Curve_Live!R49C13</stp>
        <tr r="M49" s="42"/>
      </tp>
      <tp t="e">
        <v>#N/A</v>
        <stp/>
        <stp>##V3_BDPV12</stp>
        <stp>BPBS15 Index</stp>
        <stp>PX_LAST</stp>
        <stp>[Live Pricing.xlsm]FX_Curve_Live!R94C13</stp>
        <tr r="M94" s="42"/>
      </tp>
      <tp t="e">
        <v>#N/A</v>
        <stp/>
        <stp>##V3_BDPV12</stp>
        <stp>BPBS25 Index</stp>
        <stp>PX_LAST</stp>
        <stp>[Live Pricing.xlsm]FX_Curve_Live!R98C13</stp>
        <tr r="M98" s="42"/>
      </tp>
      <tp t="e">
        <v>#N/A</v>
        <stp/>
        <stp>##V3_BDPV12</stp>
        <stp>JYSW11 Index</stp>
        <stp>PX_LAST</stp>
        <stp>[Live Pricing.xlsm]FX_Curve_Live!R65C6</stp>
        <tr r="F65" s="42"/>
      </tp>
      <tp t="e">
        <v>#N/A</v>
        <stp/>
        <stp>##V3_BDPV12</stp>
        <stp>USDKRW CMPN Curncy</stp>
        <stp>PX_LAST</stp>
        <stp>[Live Pricing.xlsm]FX_Live!R4C5</stp>
        <tr r="E4" s="44"/>
      </tp>
      <tp t="e">
        <v>#N/A</v>
        <stp/>
        <stp>##V3_BDPV12</stp>
        <stp>EUBS5 Index</stp>
        <stp>PX_LAST</stp>
        <stp>[Live Pricing.xlsm]FX_Curve_Live!R34C13</stp>
        <tr r="M34" s="42"/>
      </tp>
      <tp t="e">
        <v>#N/A</v>
        <stp/>
        <stp>##V3_BDPV12</stp>
        <stp>BPBS2 Index</stp>
        <stp>PX_LAST</stp>
        <stp>[Live Pricing.xlsm]FX_Curve_Live!R81C13</stp>
        <tr r="M81" s="42"/>
      </tp>
      <tp t="e">
        <v>#N/A</v>
        <stp/>
        <stp>##V3_BDHV12</stp>
        <stp>BP0012M Index</stp>
        <stp>PX_LAST</stp>
        <stp>3/26/2019</stp>
        <stp>3/26/2019</stp>
        <stp>[Live Pricing.xlsm]Rate_History!R86C2</stp>
        <tr r="B86" s="49"/>
      </tp>
      <tp t="e">
        <v>#N/A</v>
        <stp/>
        <stp>##V3_BDHV12</stp>
        <stp>USSW13 CMPN Curncy</stp>
        <stp>Close</stp>
        <stp>03/26/2019 15:00:00</stp>
        <stp>03/26/2019 15:01:00</stp>
        <stp>[Live Pricing.xlsm]Rate_History!R17C18</stp>
        <stp>BarType</stp>
        <stp>T</stp>
        <stp>Dir=V</stp>
        <tr r="R17" s="49"/>
      </tp>
      <tp t="e">
        <v>#N/A</v>
        <stp/>
        <stp>##V3_BDHV12</stp>
        <stp>USSW14 CMPN Curncy</stp>
        <stp>Close</stp>
        <stp>03/26/2019 15:00:00</stp>
        <stp>03/26/2019 15:01:00</stp>
        <stp>[Live Pricing.xlsm]Rate_History!R18C18</stp>
        <stp>BarType</stp>
        <stp>T</stp>
        <stp>Dir=V</stp>
        <tr r="R18" s="49"/>
      </tp>
      <tp t="e">
        <v>#N/A</v>
        <stp/>
        <stp>##V3_BDPV12</stp>
        <stp>BPBS12 Index</stp>
        <stp>PX_LAST</stp>
        <stp>[Live Pricing.xlsm]FX_Curve_Live!R91C13</stp>
        <tr r="M91" s="42"/>
      </tp>
      <tp t="e">
        <v>#N/A</v>
        <stp/>
        <stp>##V3_BDPV12</stp>
        <stp>US0002m Index</stp>
        <stp>PX_LAST</stp>
        <stp>[Live Pricing.xlsm]FX_Curve_Live!R8C2</stp>
        <tr r="B8" s="42"/>
      </tp>
      <tp t="e">
        <v>#N/A</v>
        <stp/>
        <stp>##V3_BDPV12</stp>
        <stp>JYSW10 Index</stp>
        <stp>PX_LAST</stp>
        <stp>[Live Pricing.xlsm]FX_Curve_Live!R64C6</stp>
        <tr r="F64" s="42"/>
      </tp>
      <tp t="e">
        <v>#N/A</v>
        <stp/>
        <stp>##V3_BDPV12</stp>
        <stp>EUSA30 Index</stp>
        <stp>PX_LAST</stp>
        <stp>[Live Pricing.xlsm]FX_Curve_Live!R49C6</stp>
        <tr r="F49" s="42"/>
      </tp>
      <tp t="e">
        <v>#N/A</v>
        <stp/>
        <stp>##V3_BDPV12</stp>
        <stp>EUSA25 Index</stp>
        <stp>PX_LAST</stp>
        <stp>[Live Pricing.xlsm]FX_Curve_Live!R48C6</stp>
        <tr r="F48" s="42"/>
      </tp>
      <tp t="e">
        <v>#N/A</v>
        <stp/>
        <stp>##V3_BDPV12</stp>
        <stp>EUBS4 Index</stp>
        <stp>PX_LAST</stp>
        <stp>[Live Pricing.xlsm]FX_Curve_Live!R33C13</stp>
        <tr r="M33" s="42"/>
      </tp>
      <tp t="e">
        <v>#N/A</v>
        <stp/>
        <stp>##V3_BDPV12</stp>
        <stp>US0003m Index</stp>
        <stp>PX_LAST</stp>
        <stp>[Live Pricing.xlsm]FX_Curve_Live!R9C2</stp>
        <tr r="B9" s="42"/>
      </tp>
      <tp t="e">
        <v>#N/A</v>
        <stp/>
        <stp>##V3_BDPV12</stp>
        <stp>EUSWEC Curncy</stp>
        <stp>PX_LAST</stp>
        <stp>[Live Pricing.xlsm]Rate_Live!R31C2</stp>
        <tr r="B31" s="39"/>
      </tp>
      <tp t="e">
        <v>#N/A</v>
        <stp/>
        <stp>##V3_BDPV12</stp>
        <stp>JYSW13 Index</stp>
        <stp>PX_LAST</stp>
        <stp>[Live Pricing.xlsm]FX_Curve_Live!R67C6</stp>
        <tr r="F67" s="42"/>
      </tp>
      <tp t="e">
        <v>#N/A</v>
        <stp/>
        <stp>##V3_BDPV12</stp>
        <stp>JYBS8 Index</stp>
        <stp>PX_LAST</stp>
        <stp>[Live Pricing.xlsm]FX_Curve_Live!R62C13</stp>
        <tr r="M62" s="42"/>
      </tp>
      <tp t="e">
        <v>#N/A</v>
        <stp/>
        <stp>##V3_BDPV12</stp>
        <stp>EUBS7 Index</stp>
        <stp>PX_LAST</stp>
        <stp>[Live Pricing.xlsm]FX_Curve_Live!R36C13</stp>
        <tr r="M36" s="42"/>
      </tp>
      <tp t="e">
        <v>#N/A</v>
        <stp/>
        <stp>##V3_BDPV12</stp>
        <stp>SFBS9 Index</stp>
        <stp>PX_LAST</stp>
        <stp>[Live Pricing.xlsm]FX_Curve_History!R113C13</stp>
        <tr r="M113" s="50"/>
      </tp>
      <tp t="e">
        <v>#N/A</v>
        <stp/>
        <stp>##V3_BDHV12</stp>
        <stp>BP0006M Index</stp>
        <stp>PX_LAST</stp>
        <stp>3/26/2019</stp>
        <stp>3/26/2019</stp>
        <stp>[Live Pricing.xlsm]Rate_History!R85C2</stp>
        <tr r="B85" s="49"/>
      </tp>
      <tp t="e">
        <v>#N/A</v>
        <stp/>
        <stp>##V3_BDHV12</stp>
        <stp>EUR001m Index</stp>
        <stp>PX_LAST</stp>
        <stp>3/26/2019</stp>
        <stp>3/26/2019</stp>
        <stp>[Live Pricing.xlsm]Rate_History!R32C2</stp>
        <tr r="B32" s="49"/>
      </tp>
      <tp t="e">
        <v>#N/A</v>
        <stp/>
        <stp>##V3_BDPV12</stp>
        <stp>HASWDI6M Index</stp>
        <stp>PX_LAST</stp>
        <stp>[Live Pricing.xlsm]Rate_Live!R160C2</stp>
        <tr r="B160" s="39"/>
      </tp>
      <tp t="e">
        <v>#N/A</v>
        <stp/>
        <stp>##V3_BDHV12</stp>
        <stp>YEZ8 Comdty</stp>
        <stp>PX_LAST</stp>
        <stp>3/26/2019</stp>
        <stp>3/26/2019</stp>
        <stp>[Live Pricing.xlsm]FX_Curve_History!R57C4</stp>
        <tr r="D57" s="50"/>
      </tp>
      <tp t="e">
        <v>#N/A</v>
        <stp/>
        <stp>##V3_BDPV12</stp>
        <stp>EUBS15 Index</stp>
        <stp>PX_LAST</stp>
        <stp>[Live Pricing.xlsm]FX_Curve_Live!R44C13</stp>
        <tr r="M44" s="42"/>
      </tp>
      <tp t="e">
        <v>#N/A</v>
        <stp/>
        <stp>##V3_BDPV12</stp>
        <stp>EUBS25 Index</stp>
        <stp>PX_LAST</stp>
        <stp>[Live Pricing.xlsm]FX_Curve_Live!R48C13</stp>
        <tr r="M48" s="42"/>
      </tp>
      <tp t="e">
        <v>#N/A</v>
        <stp/>
        <stp>##V3_BDPV12</stp>
        <stp>BPBS20 Index</stp>
        <stp>PX_LAST</stp>
        <stp>[Live Pricing.xlsm]FX_Curve_Live!R97C13</stp>
        <tr r="M97" s="42"/>
      </tp>
      <tp t="e">
        <v>#N/A</v>
        <stp/>
        <stp>##V3_BDPV12</stp>
        <stp>BPBS10 Index</stp>
        <stp>PX_LAST</stp>
        <stp>[Live Pricing.xlsm]FX_Curve_Live!R89C13</stp>
        <tr r="M89" s="42"/>
      </tp>
      <tp t="e">
        <v>#N/A</v>
        <stp/>
        <stp>##V3_BDPV12</stp>
        <stp>JYSW12 Index</stp>
        <stp>PX_LAST</stp>
        <stp>[Live Pricing.xlsm]FX_Curve_Live!R66C6</stp>
        <tr r="F66" s="42"/>
      </tp>
      <tp t="e">
        <v>#N/A</v>
        <stp/>
        <stp>##V3_BDPV12</stp>
        <stp>JYSW30 Index</stp>
        <stp>PX_LAST</stp>
        <stp>[Live Pricing.xlsm]FX_Curve_Live!R74C6</stp>
        <tr r="F74" s="42"/>
      </tp>
      <tp t="e">
        <v>#N/A</v>
        <stp/>
        <stp>##V3_BDPV12</stp>
        <stp>EUSA10 Index</stp>
        <stp>PX_LAST</stp>
        <stp>[Live Pricing.xlsm]FX_Curve_Live!R39C6</stp>
        <tr r="F39" s="42"/>
      </tp>
      <tp t="e">
        <v>#N/A</v>
        <stp/>
        <stp>##V3_BDPV12</stp>
        <stp>JYBS9 Index</stp>
        <stp>PX_LAST</stp>
        <stp>[Live Pricing.xlsm]FX_Curve_Live!R63C13</stp>
        <tr r="M63" s="42"/>
      </tp>
      <tp t="e">
        <v>#N/A</v>
        <stp/>
        <stp>##V3_BDPV12</stp>
        <stp>EUBS6 Index</stp>
        <stp>PX_LAST</stp>
        <stp>[Live Pricing.xlsm]FX_Curve_Live!R35C13</stp>
        <tr r="M35" s="42"/>
      </tp>
      <tp t="e">
        <v>#N/A</v>
        <stp/>
        <stp>##V3_BDPV12</stp>
        <stp>SFBS8 Index</stp>
        <stp>PX_LAST</stp>
        <stp>[Live Pricing.xlsm]FX_Curve_History!R112C13</stp>
        <tr r="M112" s="50"/>
      </tp>
      <tp t="e">
        <v>#N/A</v>
        <stp/>
        <stp>##V3_BDHV12</stp>
        <stp>BP0003M Index</stp>
        <stp>PX_LAST</stp>
        <stp>3/26/2019</stp>
        <stp>3/26/2019</stp>
        <stp>[Live Pricing.xlsm]Rate_History!R84C2</stp>
        <tr r="B84" s="49"/>
      </tp>
      <tp t="e">
        <v>#N/A</v>
        <stp/>
        <stp>##V3_BDHV12</stp>
        <stp>EUR002m Index</stp>
        <stp>PX_LAST</stp>
        <stp>3/26/2019</stp>
        <stp>3/26/2019</stp>
        <stp>[Live Pricing.xlsm]Rate_History!R33C2</stp>
        <tr r="B33" s="49"/>
      </tp>
      <tp t="e">
        <v>#N/A</v>
        <stp/>
        <stp>##V3_BDPV12</stp>
        <stp>HASWDI9M Index</stp>
        <stp>PX_LAST</stp>
        <stp>[Live Pricing.xlsm]Rate_Live!R161C2</stp>
        <tr r="B161" s="39"/>
      </tp>
      <tp t="e">
        <v>#N/A</v>
        <stp/>
        <stp>##V3_BDPV12</stp>
        <stp>JY0006M Index</stp>
        <stp>PX_LAST</stp>
        <stp>[Live Pricing.xlsm]FX_Curve_Live!R60C2</stp>
        <tr r="B60" s="42"/>
      </tp>
      <tp t="e">
        <v>#N/A</v>
        <stp/>
        <stp>##V3_BDPV12</stp>
        <stp>JY0001M Index</stp>
        <stp>PX_LAST</stp>
        <stp>[Live Pricing.xlsm]FX_Curve_Live!R57C2</stp>
        <tr r="B57" s="42"/>
      </tp>
      <tp t="e">
        <v>#N/A</v>
        <stp/>
        <stp>##V3_BDHV12</stp>
        <stp>ERZ9 Comdty</stp>
        <stp>PX_LAST</stp>
        <stp>3/26/2019</stp>
        <stp>3/26/2019</stp>
        <stp>[Live Pricing.xlsm]FX_Curve_History!R36C4</stp>
        <tr r="D36" s="50"/>
      </tp>
      <tp t="e">
        <v>#N/A</v>
        <stp/>
        <stp>##V3_BDHV12</stp>
        <stp>L Z9 Comdty</stp>
        <stp>PX_LAST</stp>
        <stp>3/26/2019</stp>
        <stp>3/26/2019</stp>
        <stp>[Live Pricing.xlsm]FX_Curve_History!R86C4</stp>
        <tr r="D86" s="50"/>
      </tp>
      <tp t="e">
        <v>#N/A</v>
        <stp/>
        <stp>##V3_BDPV12</stp>
        <stp>BPBS11 Index</stp>
        <stp>PX_LAST</stp>
        <stp>[Live Pricing.xlsm]FX_Curve_Live!R90C13</stp>
        <tr r="M90" s="42"/>
      </tp>
      <tp t="e">
        <v>#N/A</v>
        <stp/>
        <stp>##V3_BDPV12</stp>
        <stp>USSW30 Index</stp>
        <stp>PX_LAST</stp>
        <stp>[Live Pricing.xlsm]FX_Curve_Live!R24C6</stp>
        <tr r="F24" s="42"/>
      </tp>
      <tp t="e">
        <v>#N/A</v>
        <stp/>
        <stp>##V3_BDPV12</stp>
        <stp>USSW12 Index</stp>
        <stp>PX_LAST</stp>
        <stp>[Live Pricing.xlsm]FX_Curve_Live!R16C6</stp>
        <tr r="F16" s="42"/>
      </tp>
      <tp t="e">
        <v>#N/A</v>
        <stp/>
        <stp>##V3_BDPV12</stp>
        <stp>USDTWD CMPN Curncy</stp>
        <stp>PX_LAST</stp>
        <stp>[Live Pricing.xlsm]FX_Live!R7C5</stp>
        <tr r="E7" s="44"/>
      </tp>
      <tp t="e">
        <v>#N/A</v>
        <stp/>
        <stp>##V3_BDPV12</stp>
        <stp>CDBS7 Index</stp>
        <stp>PX_LAST</stp>
        <stp>[Live Pricing.xlsm]FX_Curve_History!R136C13</stp>
        <tr r="M136" s="50"/>
      </tp>
      <tp t="e">
        <v>#N/A</v>
        <stp/>
        <stp>##V3_BDHV12</stp>
        <stp>SFSW10 CMPN Curncy</stp>
        <stp>Close</stp>
        <stp>03/26/2019 11:15:00</stp>
        <stp>03/26/2019 11:16:00</stp>
        <stp>[Live Pricing.xlsm]Rate_History!R114C18</stp>
        <stp>BarType</stp>
        <stp>T</stp>
        <stp>Dir=V</stp>
        <tr r="R114" s="49"/>
      </tp>
      <tp t="e">
        <v>#N/A</v>
        <stp/>
        <stp>##V3_BDHV12</stp>
        <stp>SFSW40 CMPN Curncy</stp>
        <stp>Close</stp>
        <stp>03/26/2019 11:15:00</stp>
        <stp>03/26/2019 11:16:00</stp>
        <stp>[Live Pricing.xlsm]Rate_History!R123C18</stp>
        <stp>BarType</stp>
        <stp>T</stp>
        <stp>Dir=V</stp>
        <tr r="R123" s="49"/>
      </tp>
      <tp t="e">
        <v>#N/A</v>
        <stp/>
        <stp>##V3_BDHV12</stp>
        <stp>SFSW30 CMPN Curncy</stp>
        <stp>Close</stp>
        <stp>03/26/2019 11:15:00</stp>
        <stp>03/26/2019 11:16:00</stp>
        <stp>[Live Pricing.xlsm]Rate_History!R122C18</stp>
        <stp>BarType</stp>
        <stp>T</stp>
        <stp>Dir=V</stp>
        <tr r="R122" s="49"/>
      </tp>
      <tp t="e">
        <v>#N/A</v>
        <stp/>
        <stp>##V3_BDHV12</stp>
        <stp>SFSW20 CMPN Curncy</stp>
        <stp>Close</stp>
        <stp>03/26/2019 11:15:00</stp>
        <stp>03/26/2019 11:16:00</stp>
        <stp>[Live Pricing.xlsm]Rate_History!R120C18</stp>
        <stp>BarType</stp>
        <stp>T</stp>
        <stp>Dir=V</stp>
        <tr r="R120" s="49"/>
      </tp>
      <tp t="e">
        <v>#N/A</v>
        <stp/>
        <stp>##V3_BDPV12</stp>
        <stp>BPSW6 Index</stp>
        <stp>PX_LAST</stp>
        <stp>[Live Pricing.xlsm]Rate_Live!R85C6</stp>
        <tr r="F85" s="39"/>
      </tp>
      <tp t="e">
        <v>#N/A</v>
        <stp/>
        <stp>##V3_BDHV12</stp>
        <stp>JYSW20 CMPN Curncy</stp>
        <stp>Close</stp>
        <stp>03/26/2019 15:00:00</stp>
        <stp>03/26/2019 15:01:00</stp>
        <stp>[Live Pricing.xlsm]Rate_History!R72C18</stp>
        <stp>BarType</stp>
        <stp>T</stp>
        <stp>Dir=V</stp>
        <tr r="R72" s="49"/>
      </tp>
      <tp t="e">
        <v>#N/A</v>
        <stp/>
        <stp>##V3_BDPV12</stp>
        <stp>JY00S/N Index</stp>
        <stp>PX_LAST</stp>
        <stp>[Live Pricing.xlsm]FX_Curve_Live!R56C2</stp>
        <tr r="B56" s="42"/>
      </tp>
      <tp t="e">
        <v>#N/A</v>
        <stp/>
        <stp>##V3_BDHV12</stp>
        <stp>JYSW25 CMPN Curncy</stp>
        <stp>Close</stp>
        <stp>03/26/2019 15:00:00</stp>
        <stp>03/26/2019 15:01:00</stp>
        <stp>[Live Pricing.xlsm]Rate_History!R73C18</stp>
        <stp>BarType</stp>
        <stp>T</stp>
        <stp>Dir=V</stp>
        <tr r="R73" s="49"/>
      </tp>
      <tp t="e">
        <v>#N/A</v>
        <stp/>
        <stp>##V3_BDHV12</stp>
        <stp>USONK03 ICPL curncy</stp>
        <stp>PX_LAST</stp>
        <stp>3/26/2019</stp>
        <stp>3/26/2019</stp>
        <stp>[Live Pricing.xlsm]Vol_Surface!R6C13</stp>
        <tr r="M6" s="53"/>
      </tp>
      <tp t="e">
        <v>#N/A</v>
        <stp/>
        <stp>##V3_BDHV12</stp>
        <stp>USONJ03 ICPL curncy</stp>
        <stp>PX_LAST</stp>
        <stp>3/26/2019</stp>
        <stp>3/26/2019</stp>
        <stp>[Live Pricing.xlsm]Vol_Surface!R6C12</stp>
        <tr r="L6" s="53"/>
      </tp>
      <tp t="e">
        <v>#N/A</v>
        <stp/>
        <stp>##V3_BDHV12</stp>
        <stp>USONK02 ICPL curncy</stp>
        <stp>PX_LAST</stp>
        <stp>3/26/2019</stp>
        <stp>3/26/2019</stp>
        <stp>[Live Pricing.xlsm]Vol_Surface!R5C13</stp>
        <tr r="M5" s="53"/>
      </tp>
      <tp t="e">
        <v>#N/A</v>
        <stp/>
        <stp>##V3_BDHV12</stp>
        <stp>USONJ02 ICPL curncy</stp>
        <stp>PX_LAST</stp>
        <stp>3/26/2019</stp>
        <stp>3/26/2019</stp>
        <stp>[Live Pricing.xlsm]Vol_Surface!R5C12</stp>
        <tr r="L5" s="53"/>
      </tp>
      <tp t="e">
        <v>#N/A</v>
        <stp/>
        <stp>##V3_BDHV12</stp>
        <stp>USONK01 ICPL curncy</stp>
        <stp>PX_LAST</stp>
        <stp>3/26/2019</stp>
        <stp>3/26/2019</stp>
        <stp>[Live Pricing.xlsm]Vol_Surface!R4C13</stp>
        <tr r="M4" s="53"/>
      </tp>
      <tp t="e">
        <v>#N/A</v>
        <stp/>
        <stp>##V3_BDHV12</stp>
        <stp>USONJ01 ICPL curncy</stp>
        <stp>PX_LAST</stp>
        <stp>3/26/2019</stp>
        <stp>3/26/2019</stp>
        <stp>[Live Pricing.xlsm]Vol_Surface!R4C12</stp>
        <tr r="L4" s="53"/>
      </tp>
      <tp t="e">
        <v>#N/A</v>
        <stp/>
        <stp>##V3_BDHV12</stp>
        <stp>USONK07 ICPL curncy</stp>
        <stp>PX_LAST</stp>
        <stp>3/26/2019</stp>
        <stp>3/26/2019</stp>
        <stp>[Live Pricing.xlsm]Vol_Surface!R9C13</stp>
        <tr r="M9" s="53"/>
      </tp>
      <tp t="e">
        <v>#N/A</v>
        <stp/>
        <stp>##V3_BDHV12</stp>
        <stp>USONJ07 ICPL curncy</stp>
        <stp>PX_LAST</stp>
        <stp>3/26/2019</stp>
        <stp>3/26/2019</stp>
        <stp>[Live Pricing.xlsm]Vol_Surface!R9C12</stp>
        <tr r="L9" s="53"/>
      </tp>
      <tp t="e">
        <v>#N/A</v>
        <stp/>
        <stp>##V3_BDHV12</stp>
        <stp>USONK05 ICPL curncy</stp>
        <stp>PX_LAST</stp>
        <stp>3/26/2019</stp>
        <stp>3/26/2019</stp>
        <stp>[Live Pricing.xlsm]Vol_Surface!R8C13</stp>
        <tr r="M8" s="53"/>
      </tp>
      <tp t="e">
        <v>#N/A</v>
        <stp/>
        <stp>##V3_BDHV12</stp>
        <stp>USONJ05 ICPL curncy</stp>
        <stp>PX_LAST</stp>
        <stp>3/26/2019</stp>
        <stp>3/26/2019</stp>
        <stp>[Live Pricing.xlsm]Vol_Surface!R8C12</stp>
        <tr r="L8" s="53"/>
      </tp>
      <tp t="e">
        <v>#N/A</v>
        <stp/>
        <stp>##V3_BDHV12</stp>
        <stp>USONK04 ICPL curncy</stp>
        <stp>PX_LAST</stp>
        <stp>3/26/2019</stp>
        <stp>3/26/2019</stp>
        <stp>[Live Pricing.xlsm]Vol_Surface!R7C13</stp>
        <tr r="M7" s="53"/>
      </tp>
      <tp t="e">
        <v>#N/A</v>
        <stp/>
        <stp>##V3_BDHV12</stp>
        <stp>USONJ04 ICPL curncy</stp>
        <stp>PX_LAST</stp>
        <stp>3/26/2019</stp>
        <stp>3/26/2019</stp>
        <stp>[Live Pricing.xlsm]Vol_Surface!R7C12</stp>
        <tr r="L7" s="53"/>
      </tp>
      <tp t="e">
        <v>#N/A</v>
        <stp/>
        <stp>##V3_BDHV12</stp>
        <stp>SFSW7 CMPN Curncy</stp>
        <stp>Close</stp>
        <stp>03/26/2019 11:15:00</stp>
        <stp>03/26/2019 11:16:00</stp>
        <stp>[Live Pricing.xlsm]Rate_History!R111C18</stp>
        <stp>BarType</stp>
        <stp>T</stp>
        <stp>Dir=V</stp>
        <tr r="R111" s="49"/>
      </tp>
      <tp t="e">
        <v>#N/A</v>
        <stp/>
        <stp>##V3_BDPV12</stp>
        <stp>USSW13 Index</stp>
        <stp>PX_LAST</stp>
        <stp>[Live Pricing.xlsm]FX_Curve_Live!R17C6</stp>
        <tr r="F17" s="42"/>
      </tp>
      <tp t="e">
        <v>#N/A</v>
        <stp/>
        <stp>##V3_BDPV12</stp>
        <stp>CDBS6 Index</stp>
        <stp>PX_LAST</stp>
        <stp>[Live Pricing.xlsm]FX_Curve_History!R135C13</stp>
        <tr r="M135" s="50"/>
      </tp>
      <tp t="e">
        <v>#N/A</v>
        <stp/>
        <stp>##V3_BDHV12</stp>
        <stp>SFSW11 CMPN Curncy</stp>
        <stp>Close</stp>
        <stp>03/26/2019 11:15:00</stp>
        <stp>03/26/2019 11:16:00</stp>
        <stp>[Live Pricing.xlsm]Rate_History!R115C18</stp>
        <stp>BarType</stp>
        <stp>T</stp>
        <stp>Dir=V</stp>
        <tr r="R115" s="49"/>
      </tp>
      <tp t="e">
        <v>#N/A</v>
        <stp/>
        <stp>##V3_BDPV12</stp>
        <stp>BPSW5 Index</stp>
        <stp>PX_LAST</stp>
        <stp>[Live Pricing.xlsm]Rate_Live!R84C6</stp>
        <tr r="F84" s="39"/>
      </tp>
      <tp t="e">
        <v>#N/A</v>
        <stp/>
        <stp>##V3_BDPV12</stp>
        <stp>HASWDI6M Index</stp>
        <stp>PX_LAST</stp>
        <stp>[Live Pricing.xlsm]FX_Curve_Live!R160C22</stp>
        <tr r="V160" s="42"/>
      </tp>
      <tp t="e">
        <v>#N/A</v>
        <stp/>
        <stp>##V3_BDPV12</stp>
        <stp>HASWDI3M Index</stp>
        <stp>PX_LAST</stp>
        <stp>[Live Pricing.xlsm]FX_Curve_Live!R159C22</stp>
        <tr r="V159" s="42"/>
      </tp>
      <tp t="e">
        <v>#N/A</v>
        <stp/>
        <stp>##V3_BDPV12</stp>
        <stp>HASWDI1M Index</stp>
        <stp>PX_LAST</stp>
        <stp>[Live Pricing.xlsm]FX_Curve_Live!R157C22</stp>
        <tr r="V157" s="42"/>
      </tp>
      <tp t="e">
        <v>#N/A</v>
        <stp/>
        <stp>##V3_BDPV12</stp>
        <stp>HASWDI9M Index</stp>
        <stp>PX_LAST</stp>
        <stp>[Live Pricing.xlsm]FX_Curve_Live!R161C22</stp>
        <tr r="V161" s="42"/>
      </tp>
      <tp t="e">
        <v>#N/A</v>
        <stp/>
        <stp>##V3_BDHV12</stp>
        <stp>JYSW30 CMPN Curncy</stp>
        <stp>Close</stp>
        <stp>03/26/2019 15:00:00</stp>
        <stp>03/26/2019 15:01:00</stp>
        <stp>[Live Pricing.xlsm]Rate_History!R74C18</stp>
        <stp>BarType</stp>
        <stp>T</stp>
        <stp>Dir=V</stp>
        <tr r="R74" s="49"/>
      </tp>
      <tp t="e">
        <v>#N/A</v>
        <stp/>
        <stp>##V3_BDPV12</stp>
        <stp>SFBS15 Index</stp>
        <stp>PX_LAST</stp>
        <stp>[Live Pricing.xlsm]FX_Curve_Live!R119C13</stp>
        <tr r="M119" s="42"/>
      </tp>
      <tp t="e">
        <v>#N/A</v>
        <stp/>
        <stp>##V3_BDPV12</stp>
        <stp>SFBS20 Index</stp>
        <stp>PX_LAST</stp>
        <stp>[Live Pricing.xlsm]FX_Curve_Live!R120C13</stp>
        <tr r="M120" s="42"/>
      </tp>
      <tp t="e">
        <v>#N/A</v>
        <stp/>
        <stp>##V3_BDPV12</stp>
        <stp>SFBS10 Index</stp>
        <stp>PX_LAST</stp>
        <stp>[Live Pricing.xlsm]FX_Curve_Live!R114C13</stp>
        <tr r="M114" s="42"/>
      </tp>
      <tp t="e">
        <v>#N/A</v>
        <stp/>
        <stp>##V3_BDPV12</stp>
        <stp>SFBS12 Index</stp>
        <stp>PX_LAST</stp>
        <stp>[Live Pricing.xlsm]FX_Curve_Live!R116C13</stp>
        <tr r="M116" s="42"/>
      </tp>
      <tp t="e">
        <v>#N/A</v>
        <stp/>
        <stp>##V3_BDPV12</stp>
        <stp>SFBS30 Index</stp>
        <stp>PX_LAST</stp>
        <stp>[Live Pricing.xlsm]FX_Curve_Live!R122C13</stp>
        <tr r="M122" s="42"/>
      </tp>
      <tp t="e">
        <v>#N/A</v>
        <stp/>
        <stp>##V3_BDPV12</stp>
        <stp>CDBS12 Index</stp>
        <stp>PX_LAST</stp>
        <stp>[Live Pricing.xlsm]FX_Curve_Live!R140C13</stp>
        <tr r="M140" s="42"/>
      </tp>
      <tp t="e">
        <v>#N/A</v>
        <stp/>
        <stp>##V3_BDPV12</stp>
        <stp>CDBS15 Index</stp>
        <stp>PX_LAST</stp>
        <stp>[Live Pricing.xlsm]FX_Curve_Live!R141C13</stp>
        <tr r="M141" s="42"/>
      </tp>
      <tp t="e">
        <v>#N/A</v>
        <stp/>
        <stp>##V3_BDPV12</stp>
        <stp>BPBS40 Index</stp>
        <stp>PX_LAST</stp>
        <stp>[Live Pricing.xlsm]FX_Curve_Live!R100C13</stp>
        <tr r="M100" s="42"/>
      </tp>
      <tp t="e">
        <v>#N/A</v>
        <stp/>
        <stp>##V3_BDPV12</stp>
        <stp>CDBS20 Index</stp>
        <stp>PX_LAST</stp>
        <stp>[Live Pricing.xlsm]FX_Curve_Live!R142C13</stp>
        <tr r="M142" s="42"/>
      </tp>
      <tp t="e">
        <v>#N/A</v>
        <stp/>
        <stp>##V3_BDPV12</stp>
        <stp>CDBS10 Index</stp>
        <stp>PX_LAST</stp>
        <stp>[Live Pricing.xlsm]FX_Curve_Live!R139C13</stp>
        <tr r="M139" s="42"/>
      </tp>
      <tp t="e">
        <v>#N/A</v>
        <stp/>
        <stp>##V3_BDHV12</stp>
        <stp>HASWDI6M Index</stp>
        <stp>PX_LAST</stp>
        <stp>3/26/2019</stp>
        <stp>3/26/2019</stp>
        <stp>[Live Pricing.xlsm]FX_Curve_History!R160C22</stp>
        <tr r="V160" s="50"/>
        <tr r="V160" s="50"/>
      </tp>
      <tp t="e">
        <v>#N/A</v>
        <stp/>
        <stp>##V3_BDHV12</stp>
        <stp>HASWDI9M Index</stp>
        <stp>PX_LAST</stp>
        <stp>3/26/2019</stp>
        <stp>3/26/2019</stp>
        <stp>[Live Pricing.xlsm]FX_Curve_History!R161C22</stp>
        <tr r="V161" s="50"/>
        <tr r="V161" s="50"/>
      </tp>
      <tp t="e">
        <v>#N/A</v>
        <stp/>
        <stp>##V3_BDHV12</stp>
        <stp>HASWDI1M Index</stp>
        <stp>PX_LAST</stp>
        <stp>3/26/2019</stp>
        <stp>3/26/2019</stp>
        <stp>[Live Pricing.xlsm]FX_Curve_History!R157C22</stp>
        <tr r="V157" s="50"/>
        <tr r="V157" s="50"/>
      </tp>
      <tp t="e">
        <v>#N/A</v>
        <stp/>
        <stp>##V3_BDHV12</stp>
        <stp>HASWDI2M Index</stp>
        <stp>PX_LAST</stp>
        <stp>3/26/2019</stp>
        <stp>3/26/2019</stp>
        <stp>[Live Pricing.xlsm]FX_Curve_History!R158C22</stp>
        <tr r="V158" s="50"/>
      </tp>
      <tp t="e">
        <v>#N/A</v>
        <stp/>
        <stp>##V3_BDHV12</stp>
        <stp>HASWDI3M Index</stp>
        <stp>PX_LAST</stp>
        <stp>3/26/2019</stp>
        <stp>3/26/2019</stp>
        <stp>[Live Pricing.xlsm]FX_Curve_History!R159C22</stp>
        <tr r="V159" s="50"/>
        <tr r="V159" s="50"/>
      </tp>
      <tp t="e">
        <v>#N/A</v>
        <stp/>
        <stp>##V3_BDHV12</stp>
        <stp>SFSW6 CMPN Curncy</stp>
        <stp>Close</stp>
        <stp>03/26/2019 11:15:00</stp>
        <stp>03/26/2019 11:16:00</stp>
        <stp>[Live Pricing.xlsm]Rate_History!R110C18</stp>
        <stp>BarType</stp>
        <stp>T</stp>
        <stp>Dir=V</stp>
        <tr r="R110" s="49"/>
      </tp>
      <tp t="e">
        <v>#N/A</v>
        <stp/>
        <stp>##V3_BDPV12</stp>
        <stp>USSW10 Index</stp>
        <stp>PX_LAST</stp>
        <stp>[Live Pricing.xlsm]FX_Curve_Live!R14C6</stp>
        <tr r="F14" s="42"/>
      </tp>
      <tp t="e">
        <v>#N/A</v>
        <stp/>
        <stp>##V3_BDPV12</stp>
        <stp>CDBS5 Index</stp>
        <stp>PX_LAST</stp>
        <stp>[Live Pricing.xlsm]FX_Curve_History!R134C13</stp>
        <tr r="M134" s="50"/>
      </tp>
      <tp t="e">
        <v>#N/A</v>
        <stp/>
        <stp>##V3_BDHV12</stp>
        <stp>SFSW12 CMPN Curncy</stp>
        <stp>Close</stp>
        <stp>03/26/2019 11:15:00</stp>
        <stp>03/26/2019 11:16:00</stp>
        <stp>[Live Pricing.xlsm]Rate_History!R116C18</stp>
        <stp>BarType</stp>
        <stp>T</stp>
        <stp>Dir=V</stp>
        <tr r="R116" s="49"/>
      </tp>
      <tp t="e">
        <v>#N/A</v>
        <stp/>
        <stp>##V3_BDPV12</stp>
        <stp>HASWDI3Y Index</stp>
        <stp>PX_LAST</stp>
        <stp>[Live Pricing.xlsm]Rate_Live!R158C6</stp>
        <tr r="F158" s="39"/>
      </tp>
      <tp t="e">
        <v>#N/A</v>
        <stp/>
        <stp>##V3_BDPV12</stp>
        <stp>BPSW8 Index</stp>
        <stp>PX_LAST</stp>
        <stp>[Live Pricing.xlsm]Rate_Live!R87C6</stp>
        <tr r="F87" s="39"/>
      </tp>
      <tp t="e">
        <v>#N/A</v>
        <stp/>
        <stp>##V3_BDPV12</stp>
        <stp>JYSW3 Index</stp>
        <stp>PX_LAST</stp>
        <stp>[Live Pricing.xlsm]Rate_Live!R57C6</stp>
        <tr r="F57" s="39"/>
      </tp>
      <tp t="e">
        <v>#N/A</v>
        <stp/>
        <stp>##V3_BDHV12</stp>
        <stp>SFSW5 CMPN Curncy</stp>
        <stp>Close</stp>
        <stp>03/26/2019 11:15:00</stp>
        <stp>03/26/2019 11:16:00</stp>
        <stp>[Live Pricing.xlsm]Rate_History!R109C18</stp>
        <stp>BarType</stp>
        <stp>T</stp>
        <stp>Dir=V</stp>
        <tr r="R109" s="49"/>
      </tp>
      <tp t="e">
        <v>#N/A</v>
        <stp/>
        <stp>##V3_BDPV12</stp>
        <stp>USSW11 Index</stp>
        <stp>PX_LAST</stp>
        <stp>[Live Pricing.xlsm]FX_Curve_Live!R15C6</stp>
        <tr r="F15" s="42"/>
      </tp>
      <tp t="e">
        <v>#N/A</v>
        <stp/>
        <stp>##V3_BDPV12</stp>
        <stp>L H0 Comdty</stp>
        <stp>PX_LAST</stp>
        <stp>[Live Pricing.xlsm]FX_Curve_Live!R87C4</stp>
        <tr r="D87" s="42"/>
      </tp>
      <tp t="e">
        <v>#N/A</v>
        <stp/>
        <stp>##V3_BDPV12</stp>
        <stp>ERH0 Comdty</stp>
        <stp>PX_LAST</stp>
        <stp>[Live Pricing.xlsm]FX_Curve_Live!R37C4</stp>
        <tr r="D37" s="42"/>
      </tp>
      <tp t="e">
        <v>#N/A</v>
        <stp/>
        <stp>##V3_BDPV12</stp>
        <stp>CDBS4 Index</stp>
        <stp>PX_LAST</stp>
        <stp>[Live Pricing.xlsm]FX_Curve_History!R133C13</stp>
        <tr r="M133" s="50"/>
      </tp>
      <tp t="e">
        <v>#N/A</v>
        <stp/>
        <stp>##V3_BDHV12</stp>
        <stp>SFSW13 CMPN Curncy</stp>
        <stp>Close</stp>
        <stp>03/26/2019 11:15:00</stp>
        <stp>03/26/2019 11:16:00</stp>
        <stp>[Live Pricing.xlsm]Rate_History!R117C18</stp>
        <stp>BarType</stp>
        <stp>T</stp>
        <stp>Dir=V</stp>
        <tr r="R117" s="49"/>
      </tp>
      <tp t="e">
        <v>#N/A</v>
        <stp/>
        <stp>##V3_BDPV12</stp>
        <stp>BPSW7 Index</stp>
        <stp>PX_LAST</stp>
        <stp>[Live Pricing.xlsm]Rate_Live!R86C6</stp>
        <tr r="F86" s="39"/>
      </tp>
      <tp t="e">
        <v>#N/A</v>
        <stp/>
        <stp>##V3_BDHV12</stp>
        <stp>JYSW11 CMPN Curncy</stp>
        <stp>Close</stp>
        <stp>03/26/2019 15:00:00</stp>
        <stp>03/26/2019 15:01:00</stp>
        <stp>[Live Pricing.xlsm]Rate_History!R65C18</stp>
        <stp>BarType</stp>
        <stp>T</stp>
        <stp>Dir=V</stp>
        <tr r="R65" s="49"/>
      </tp>
      <tp t="e">
        <v>#N/A</v>
        <stp/>
        <stp>##V3_BDHV12</stp>
        <stp>JYSW10 CMPN Curncy</stp>
        <stp>Close</stp>
        <stp>03/26/2019 15:00:00</stp>
        <stp>03/26/2019 15:01:00</stp>
        <stp>[Live Pricing.xlsm]Rate_History!R64C18</stp>
        <stp>BarType</stp>
        <stp>T</stp>
        <stp>Dir=V</stp>
        <tr r="R64" s="49"/>
      </tp>
      <tp t="e">
        <v>#N/A</v>
        <stp/>
        <stp>##V3_BDHV12</stp>
        <stp>JYSW13 CMPN Curncy</stp>
        <stp>Close</stp>
        <stp>03/26/2019 15:00:00</stp>
        <stp>03/26/2019 15:01:00</stp>
        <stp>[Live Pricing.xlsm]Rate_History!R67C18</stp>
        <stp>BarType</stp>
        <stp>T</stp>
        <stp>Dir=V</stp>
        <tr r="R67" s="49"/>
      </tp>
      <tp t="e">
        <v>#N/A</v>
        <stp/>
        <stp>##V3_BDHV12</stp>
        <stp>JYSW12 CMPN Curncy</stp>
        <stp>Close</stp>
        <stp>03/26/2019 15:00:00</stp>
        <stp>03/26/2019 15:01:00</stp>
        <stp>[Live Pricing.xlsm]Rate_History!R66C18</stp>
        <stp>BarType</stp>
        <stp>T</stp>
        <stp>Dir=V</stp>
        <tr r="R66" s="49"/>
      </tp>
      <tp t="e">
        <v>#N/A</v>
        <stp/>
        <stp>##V3_BDPV12</stp>
        <stp>HASWDI4Y Index</stp>
        <stp>PX_LAST</stp>
        <stp>[Live Pricing.xlsm]Rate_Live!R159C6</stp>
        <tr r="F159" s="39"/>
      </tp>
      <tp t="e">
        <v>#N/A</v>
        <stp/>
        <stp>##V3_BDHV12</stp>
        <stp>JYSW15 CMPN Curncy</stp>
        <stp>Close</stp>
        <stp>03/26/2019 15:00:00</stp>
        <stp>03/26/2019 15:01:00</stp>
        <stp>[Live Pricing.xlsm]Rate_History!R69C18</stp>
        <stp>BarType</stp>
        <stp>T</stp>
        <stp>Dir=V</stp>
        <tr r="R69" s="49"/>
      </tp>
      <tp t="e">
        <v>#N/A</v>
        <stp/>
        <stp>##V3_BDHV12</stp>
        <stp>JYSW14 CMPN Curncy</stp>
        <stp>Close</stp>
        <stp>03/26/2019 15:00:00</stp>
        <stp>03/26/2019 15:01:00</stp>
        <stp>[Live Pricing.xlsm]Rate_History!R68C18</stp>
        <stp>BarType</stp>
        <stp>T</stp>
        <stp>Dir=V</stp>
        <tr r="R68" s="49"/>
      </tp>
      <tp t="e">
        <v>#N/A</v>
        <stp/>
        <stp>##V3_BDHV12</stp>
        <stp>JYSW17 CMPN Curncy</stp>
        <stp>Close</stp>
        <stp>03/26/2019 15:00:00</stp>
        <stp>03/26/2019 15:01:00</stp>
        <stp>[Live Pricing.xlsm]Rate_History!R71C18</stp>
        <stp>BarType</stp>
        <stp>T</stp>
        <stp>Dir=V</stp>
        <tr r="R71" s="49"/>
      </tp>
      <tp t="e">
        <v>#N/A</v>
        <stp/>
        <stp>##V3_BDHV12</stp>
        <stp>JYSW16 CMPN Curncy</stp>
        <stp>Close</stp>
        <stp>03/26/2019 15:00:00</stp>
        <stp>03/26/2019 15:01:00</stp>
        <stp>[Live Pricing.xlsm]Rate_History!R70C18</stp>
        <stp>BarType</stp>
        <stp>T</stp>
        <stp>Dir=V</stp>
        <tr r="R70" s="49"/>
      </tp>
      <tp t="e">
        <v>#N/A</v>
        <stp/>
        <stp>##V3_BDPV12</stp>
        <stp>JYSW2 Index</stp>
        <stp>PX_LAST</stp>
        <stp>[Live Pricing.xlsm]Rate_Live!R56C6</stp>
        <tr r="F56" s="39"/>
      </tp>
      <tp t="e">
        <v>#N/A</v>
        <stp/>
        <stp>##V3_BDHV12</stp>
        <stp>YEH9 Comdty</stp>
        <stp>PX_LAST</stp>
        <stp>3/26/2019</stp>
        <stp>3/26/2019</stp>
        <stp>[Live Pricing.xlsm]FX_Curve_History!R58C4</stp>
        <tr r="D58" s="50"/>
      </tp>
      <tp t="e">
        <v>#N/A</v>
        <stp/>
        <stp>##V3_BDHV12</stp>
        <stp>SFSW4 CMPN Curncy</stp>
        <stp>Close</stp>
        <stp>03/26/2019 11:15:00</stp>
        <stp>03/26/2019 11:16:00</stp>
        <stp>[Live Pricing.xlsm]Rate_History!R108C18</stp>
        <stp>BarType</stp>
        <stp>T</stp>
        <stp>Dir=V</stp>
        <tr r="R108" s="49"/>
      </tp>
      <tp t="e">
        <v>#N/A</v>
        <stp/>
        <stp>##V3_BDPV12</stp>
        <stp>YEM9 Comdty</stp>
        <stp>PX_LAST</stp>
        <stp>[Live Pricing.xlsm]FX_Curve_Live!R59C4</stp>
        <tr r="D59" s="42"/>
      </tp>
      <tp t="e">
        <v>#N/A</v>
        <stp/>
        <stp>##V3_BDPV12</stp>
        <stp>BPBS1 curncy</stp>
        <stp>PX_LAST</stp>
        <stp>[Live Pricing.xlsm]FX_Curve_Live!R81C16</stp>
        <tr r="P81" s="42"/>
      </tp>
      <tp t="e">
        <v>#N/A</v>
        <stp/>
        <stp>##V3_BDHV12</stp>
        <stp>SFSW14 CMPN Curncy</stp>
        <stp>Close</stp>
        <stp>03/26/2019 11:15:00</stp>
        <stp>03/26/2019 11:16:00</stp>
        <stp>[Live Pricing.xlsm]Rate_History!R118C18</stp>
        <stp>BarType</stp>
        <stp>T</stp>
        <stp>Dir=V</stp>
        <tr r="R118" s="49"/>
      </tp>
      <tp t="e">
        <v>#N/A</v>
        <stp/>
        <stp>##V3_BDPV12</stp>
        <stp>BPSW2 Index</stp>
        <stp>PX_LAST</stp>
        <stp>[Live Pricing.xlsm]Rate_Live!R81C6</stp>
        <tr r="F81" s="39"/>
      </tp>
      <tp t="e">
        <v>#N/A</v>
        <stp/>
        <stp>##V3_BDPV12</stp>
        <stp>JYSW7 Index</stp>
        <stp>PX_LAST</stp>
        <stp>[Live Pricing.xlsm]Rate_Live!R61C6</stp>
        <tr r="F61" s="39"/>
      </tp>
      <tp t="e">
        <v>#N/A</v>
        <stp/>
        <stp>##V3_BDHV12</stp>
        <stp>USSW4 Index</stp>
        <stp>PX_LAST</stp>
        <stp>3/26/2019</stp>
        <stp>3/26/2019</stp>
        <stp>[Live Pricing.xlsm]FX_Curve_History!R8C6</stp>
        <tr r="F8" s="50"/>
      </tp>
      <tp t="e">
        <v>#N/A</v>
        <stp/>
        <stp>##V3_BDPV12</stp>
        <stp>USSW7 Index</stp>
        <stp>PX_LAST</stp>
        <stp>[Live Pricing.xlsm]Rate_Live!R11C6</stp>
        <tr r="F11" s="39"/>
      </tp>
      <tp t="e">
        <v>#N/A</v>
        <stp/>
        <stp>##V3_BDPV12</stp>
        <stp>HASWDI10Y Index</stp>
        <stp>PX_LAST</stp>
        <stp>[Live Pricing.xlsm]Rate_Live!R165C6</stp>
        <tr r="F165" s="39"/>
      </tp>
      <tp t="e">
        <v>#N/A</v>
        <stp/>
        <stp>##V3_BDHV12</stp>
        <stp>SFSW3 CMPN Curncy</stp>
        <stp>Close</stp>
        <stp>03/26/2019 11:15:00</stp>
        <stp>03/26/2019 11:16:00</stp>
        <stp>[Live Pricing.xlsm]Rate_History!R107C18</stp>
        <stp>BarType</stp>
        <stp>T</stp>
        <stp>Dir=V</stp>
        <tr r="R107" s="49"/>
      </tp>
      <tp t="e">
        <v>#N/A</v>
        <stp/>
        <stp>##V3_BDPV12</stp>
        <stp>YEH9 Comdty</stp>
        <stp>PX_LAST</stp>
        <stp>[Live Pricing.xlsm]FX_Curve_Live!R58C4</stp>
        <tr r="D58" s="42"/>
      </tp>
      <tp t="e">
        <v>#N/A</v>
        <stp/>
        <stp>##V3_BDHV12</stp>
        <stp>CABROVER Index</stp>
        <stp>PX_LAST</stp>
        <stp>3/26/2019</stp>
        <stp>3/26/2019</stp>
        <stp>[Live Pricing.xlsm]FX_Curve_History!R131C2</stp>
        <tr r="B131" s="50"/>
      </tp>
      <tp t="e">
        <v>#N/A</v>
        <stp/>
        <stp>##V3_BDPV12</stp>
        <stp>CDBS2 Index</stp>
        <stp>PX_LAST</stp>
        <stp>[Live Pricing.xlsm]FX_Curve_History!R131C13</stp>
        <tr r="M131" s="50"/>
      </tp>
      <tp t="e">
        <v>#N/A</v>
        <stp/>
        <stp>##V3_BDHV12</stp>
        <stp>SFSW15 CMPN Curncy</stp>
        <stp>Close</stp>
        <stp>03/26/2019 11:15:00</stp>
        <stp>03/26/2019 11:16:00</stp>
        <stp>[Live Pricing.xlsm]Rate_History!R119C18</stp>
        <stp>BarType</stp>
        <stp>T</stp>
        <stp>Dir=V</stp>
        <tr r="R119" s="49"/>
      </tp>
      <tp t="e">
        <v>#N/A</v>
        <stp/>
        <stp>##V3_BDHV12</stp>
        <stp>SFSW25 CMPN Curncy</stp>
        <stp>Close</stp>
        <stp>03/26/2019 11:15:00</stp>
        <stp>03/26/2019 11:16:00</stp>
        <stp>[Live Pricing.xlsm]Rate_History!R121C18</stp>
        <stp>BarType</stp>
        <stp>T</stp>
        <stp>Dir=V</stp>
        <tr r="R121" s="49"/>
      </tp>
      <tp t="e">
        <v>#N/A</v>
        <stp/>
        <stp>##V3_BDPV12</stp>
        <stp>CLSWIBI Index</stp>
        <stp>PX_LAST</stp>
        <stp>[Live Pricing.xlsm]Rate_Live!R185C2</stp>
        <tr r="B185" s="39"/>
      </tp>
      <tp t="e">
        <v>#N/A</v>
        <stp/>
        <stp>##V3_BDPV12</stp>
        <stp>JYSW6 Index</stp>
        <stp>PX_LAST</stp>
        <stp>[Live Pricing.xlsm]Rate_Live!R60C6</stp>
        <tr r="F60" s="39"/>
      </tp>
      <tp t="e">
        <v>#N/A</v>
        <stp/>
        <stp>##V3_BDPV12</stp>
        <stp>CABROVER Index</stp>
        <stp>PX_LAST</stp>
        <stp>[Live Pricing.xlsm]Rate_Live!R131C2</stp>
        <tr r="B131" s="39"/>
      </tp>
      <tp t="e">
        <v>#N/A</v>
        <stp/>
        <stp>##V3_BDHV12</stp>
        <stp>USSW5 Index</stp>
        <stp>PX_LAST</stp>
        <stp>3/26/2019</stp>
        <stp>3/26/2019</stp>
        <stp>[Live Pricing.xlsm]FX_Curve_History!R9C6</stp>
        <tr r="F9" s="50"/>
      </tp>
      <tp t="e">
        <v>#N/A</v>
        <stp/>
        <stp>##V3_BDPV12</stp>
        <stp>USSW6 Index</stp>
        <stp>PX_LAST</stp>
        <stp>[Live Pricing.xlsm]Rate_Live!R10C6</stp>
        <tr r="F10" s="39"/>
      </tp>
      <tp t="e">
        <v>#N/A</v>
        <stp/>
        <stp>##V3_BDHV12</stp>
        <stp>HASWDI9M Index</stp>
        <stp>PX_LAST</stp>
        <stp>3/26/2019</stp>
        <stp>3/26/2019</stp>
        <stp>[Live Pricing.xlsm]Rate_History!R161C2</stp>
        <tr r="B161" s="49"/>
        <tr r="B161" s="49"/>
      </tp>
      <tp t="e">
        <v>#N/A</v>
        <stp/>
        <stp>##V3_BDHV12</stp>
        <stp>SFSW2 CMPN Curncy</stp>
        <stp>Close</stp>
        <stp>03/26/2019 11:15:00</stp>
        <stp>03/26/2019 11:16:00</stp>
        <stp>[Live Pricing.xlsm]Rate_History!R106C18</stp>
        <stp>BarType</stp>
        <stp>T</stp>
        <stp>Dir=V</stp>
        <tr r="R106" s="49"/>
      </tp>
      <tp t="e">
        <v>#N/A</v>
        <stp/>
        <stp>##V3_BDPV12</stp>
        <stp>YEH0 Comdty</stp>
        <stp>PX_LAST</stp>
        <stp>[Live Pricing.xlsm]FX_Curve_Live!R62C4</stp>
        <tr r="D62" s="42"/>
      </tp>
      <tp t="e">
        <v>#N/A</v>
        <stp/>
        <stp>##V3_BDPV12</stp>
        <stp>USSW25 Index</stp>
        <stp>PX_LAST</stp>
        <stp>[Live Pricing.xlsm]FX_Curve_Live!R23C6</stp>
        <tr r="F23" s="42"/>
      </tp>
      <tp t="e">
        <v>#N/A</v>
        <stp/>
        <stp>##V3_BDPV12</stp>
        <stp>USSW16 Index</stp>
        <stp>PX_LAST</stp>
        <stp>[Live Pricing.xlsm]FX_Curve_Live!R20C6</stp>
        <tr r="F20" s="42"/>
      </tp>
      <tp t="e">
        <v>#N/A</v>
        <stp/>
        <stp>##V3_BDPV12</stp>
        <stp>USSW40 Index</stp>
        <stp>PX_LAST</stp>
        <stp>[Live Pricing.xlsm]FX_Curve_Live!R25C6</stp>
        <tr r="F25" s="42"/>
      </tp>
      <tp t="e">
        <v>#N/A</v>
        <stp/>
        <stp>##V3_BDPV12</stp>
        <stp>EDH0 Comdty</stp>
        <stp>PX_LAST</stp>
        <stp>[Live Pricing.xlsm]FX_Curve_Live!R12C4</stp>
        <tr r="D12" s="42"/>
      </tp>
      <tp t="e">
        <v>#N/A</v>
        <stp/>
        <stp>##V3_BDPV12</stp>
        <stp>CDBS1 Index</stp>
        <stp>PX_LAST</stp>
        <stp>[Live Pricing.xlsm]FX_Curve_History!R131C16</stp>
        <tr r="P131" s="50"/>
      </tp>
      <tp t="e">
        <v>#N/A</v>
        <stp/>
        <stp>##V3_BDPV12</stp>
        <stp>BPSW4 Index</stp>
        <stp>PX_LAST</stp>
        <stp>[Live Pricing.xlsm]Rate_Live!R83C6</stp>
        <tr r="F83" s="39"/>
      </tp>
      <tp t="e">
        <v>#N/A</v>
        <stp/>
        <stp>##V3_BDPV12</stp>
        <stp>JYSW9 Index</stp>
        <stp>PX_LAST</stp>
        <stp>[Live Pricing.xlsm]Rate_Live!R63C6</stp>
        <tr r="F63" s="39"/>
      </tp>
      <tp t="e">
        <v>#N/A</v>
        <stp/>
        <stp>##V3_BDHV12</stp>
        <stp>JYSW40 CMPN Curncy</stp>
        <stp>Close</stp>
        <stp>03/26/2019 15:00:00</stp>
        <stp>03/26/2019 15:01:00</stp>
        <stp>[Live Pricing.xlsm]Rate_History!R75C18</stp>
        <stp>BarType</stp>
        <stp>T</stp>
        <stp>Dir=V</stp>
        <tr r="R75" s="49"/>
      </tp>
      <tp t="e">
        <v>#N/A</v>
        <stp/>
        <stp>##V3_BDHV12</stp>
        <stp>ERM0 Comdty</stp>
        <stp>PX_LAST</stp>
        <stp>3/26/2019</stp>
        <stp>3/26/2019</stp>
        <stp>[Live Pricing.xlsm]FX_Curve_History!R38C4</stp>
        <tr r="D38" s="50"/>
      </tp>
      <tp t="e">
        <v>#N/A</v>
        <stp/>
        <stp>##V3_BDHV12</stp>
        <stp>L M0 Comdty</stp>
        <stp>PX_LAST</stp>
        <stp>3/26/2019</stp>
        <stp>3/26/2019</stp>
        <stp>[Live Pricing.xlsm]FX_Curve_History!R88C4</stp>
        <tr r="D88" s="50"/>
      </tp>
      <tp t="e">
        <v>#N/A</v>
        <stp/>
        <stp>##V3_BDPV12</stp>
        <stp>USSW9 Index</stp>
        <stp>PX_LAST</stp>
        <stp>[Live Pricing.xlsm]Rate_Live!R13C6</stp>
        <tr r="F13" s="39"/>
      </tp>
      <tp t="e">
        <v>#N/A</v>
        <stp/>
        <stp>##V3_BDPV12</stp>
        <stp>BPBS40 Index</stp>
        <stp>PX_LAST</stp>
        <stp>[Live Pricing.xlsm]FX_Curve_History!R100C13</stp>
        <tr r="M100" s="50"/>
      </tp>
      <tp t="e">
        <v>#N/A</v>
        <stp/>
        <stp>##V3_BDPV12</stp>
        <stp>YEM0 Comdty</stp>
        <stp>PX_LAST</stp>
        <stp>[Live Pricing.xlsm]FX_Curve_Live!R63C4</stp>
        <tr r="D63" s="42"/>
      </tp>
      <tp t="e">
        <v>#N/A</v>
        <stp/>
        <stp>##V3_BDPV12</stp>
        <stp>USSW17 Index</stp>
        <stp>PX_LAST</stp>
        <stp>[Live Pricing.xlsm]FX_Curve_Live!R21C6</stp>
        <tr r="F21" s="42"/>
      </tp>
      <tp t="e">
        <v>#N/A</v>
        <stp/>
        <stp>##V3_BDPV12</stp>
        <stp>USSW20 Index</stp>
        <stp>PX_LAST</stp>
        <stp>[Live Pricing.xlsm]FX_Curve_Live!R22C6</stp>
        <tr r="F22" s="42"/>
      </tp>
      <tp t="e">
        <v>#N/A</v>
        <stp/>
        <stp>##V3_BDPV12</stp>
        <stp>EDM0 Comdty</stp>
        <stp>PX_LAST</stp>
        <stp>[Live Pricing.xlsm]FX_Curve_Live!R13C4</stp>
        <tr r="D13" s="42"/>
      </tp>
      <tp t="e">
        <v>#N/A</v>
        <stp/>
        <stp>##V3_BDPV12</stp>
        <stp>JYSW8 Index</stp>
        <stp>PX_LAST</stp>
        <stp>[Live Pricing.xlsm]Rate_Live!R62C6</stp>
        <tr r="F62" s="39"/>
      </tp>
      <tp t="e">
        <v>#N/A</v>
        <stp/>
        <stp>##V3_BDPV12</stp>
        <stp>BPSW3 Index</stp>
        <stp>PX_LAST</stp>
        <stp>[Live Pricing.xlsm]Rate_Live!R82C6</stp>
        <tr r="F82" s="39"/>
      </tp>
      <tp t="e">
        <v>#N/A</v>
        <stp/>
        <stp>##V3_BDHV12</stp>
        <stp>HASWDI2M Index</stp>
        <stp>PX_LAST</stp>
        <stp>3/26/2019</stp>
        <stp>3/26/2019</stp>
        <stp>[Live Pricing.xlsm]Rate_History!R158C2</stp>
        <tr r="B158" s="49"/>
      </tp>
      <tp t="e">
        <v>#N/A</v>
        <stp/>
        <stp>##V3_BDHV12</stp>
        <stp>HASWDI3M Index</stp>
        <stp>PX_LAST</stp>
        <stp>3/26/2019</stp>
        <stp>3/26/2019</stp>
        <stp>[Live Pricing.xlsm]Rate_History!R159C2</stp>
        <tr r="B159" s="49"/>
        <tr r="B159" s="49"/>
      </tp>
      <tp t="e">
        <v>#N/A</v>
        <stp/>
        <stp>##V3_BDHV12</stp>
        <stp>YEM9 Comdty</stp>
        <stp>PX_LAST</stp>
        <stp>3/26/2019</stp>
        <stp>3/26/2019</stp>
        <stp>[Live Pricing.xlsm]FX_Curve_History!R59C4</stp>
        <tr r="D59" s="50"/>
      </tp>
      <tp t="e">
        <v>#N/A</v>
        <stp/>
        <stp>##V3_BDPV12</stp>
        <stp>USSW8 Index</stp>
        <stp>PX_LAST</stp>
        <stp>[Live Pricing.xlsm]Rate_Live!R12C6</stp>
        <tr r="F12" s="39"/>
      </tp>
      <tp t="e">
        <v>#N/A</v>
        <stp/>
        <stp>##V3_BDPV12</stp>
        <stp>L U9 Comdty</stp>
        <stp>PX_LAST</stp>
        <stp>[Live Pricing.xlsm]FX_Curve_Live!R85C4</stp>
        <tr r="D85" s="42"/>
      </tp>
      <tp t="e">
        <v>#N/A</v>
        <stp/>
        <stp>##V3_BDPV12</stp>
        <stp>ERU9 Comdty</stp>
        <stp>PX_LAST</stp>
        <stp>[Live Pricing.xlsm]FX_Curve_Live!R35C4</stp>
        <tr r="D35" s="42"/>
      </tp>
      <tp t="e">
        <v>#N/A</v>
        <stp/>
        <stp>##V3_BDPV12</stp>
        <stp>JYSSTL2 index</stp>
        <stp>PX_LAST</stp>
        <stp>[Live Pricing.xlsm]Rate_Live!R58C14</stp>
        <tr r="N58" s="39"/>
      </tp>
      <tp t="e">
        <v>#N/A</v>
        <stp/>
        <stp>##V3_BDPV12</stp>
        <stp>HASWDI7Y Index</stp>
        <stp>PX_LAST</stp>
        <stp>[Live Pricing.xlsm]Rate_Live!R162C6</stp>
        <tr r="F162" s="39"/>
      </tp>
      <tp t="e">
        <v>#N/A</v>
        <stp/>
        <stp>##V3_BDHV12</stp>
        <stp>ERH9 Comdty</stp>
        <stp>PX_LAST</stp>
        <stp>3/26/2019</stp>
        <stp>3/26/2019</stp>
        <stp>[Live Pricing.xlsm]FX_Curve_History!R33C4</stp>
        <tr r="D33" s="50"/>
      </tp>
      <tp t="e">
        <v>#N/A</v>
        <stp/>
        <stp>##V3_BDHV12</stp>
        <stp>L H9 Comdty</stp>
        <stp>PX_LAST</stp>
        <stp>3/26/2019</stp>
        <stp>3/26/2019</stp>
        <stp>[Live Pricing.xlsm]FX_Curve_History!R83C4</stp>
        <tr r="D83" s="50"/>
      </tp>
      <tp t="e">
        <v>#N/A</v>
        <stp/>
        <stp>##V3_BDPV12</stp>
        <stp>EDU9 Comdty</stp>
        <stp>PX_LAST</stp>
        <stp>[Live Pricing.xlsm]Rate_Live!R7C4</stp>
        <tr r="D7" s="39"/>
      </tp>
      <tp t="e">
        <v>#N/A</v>
        <stp/>
        <stp>##V3_BDPV12</stp>
        <stp>EDZ9 Comdty</stp>
        <stp>PX_LAST</stp>
        <stp>[Live Pricing.xlsm]Rate_Live!R8C4</stp>
        <tr r="D8" s="39"/>
      </tp>
      <tp t="e">
        <v>#N/A</v>
        <stp/>
        <stp>##V3_BDPV12</stp>
        <stp>L M9 Comdty</stp>
        <stp>PX_LAST</stp>
        <stp>[Live Pricing.xlsm]FX_Curve_Live!R84C4</stp>
        <tr r="D84" s="42"/>
      </tp>
      <tp t="e">
        <v>#N/A</v>
        <stp/>
        <stp>##V3_BDPV12</stp>
        <stp>ERM9 Comdty</stp>
        <stp>PX_LAST</stp>
        <stp>[Live Pricing.xlsm]FX_Curve_Live!R34C4</stp>
        <tr r="D34" s="42"/>
      </tp>
      <tp t="e">
        <v>#N/A</v>
        <stp/>
        <stp>##V3_BDPV12</stp>
        <stp>HASWDI8Y Index</stp>
        <stp>PX_LAST</stp>
        <stp>[Live Pricing.xlsm]Rate_Live!R163C6</stp>
        <tr r="F163" s="39"/>
      </tp>
      <tp t="e">
        <v>#N/A</v>
        <stp/>
        <stp>##V3_BDHV12</stp>
        <stp>YEH0 Comdty</stp>
        <stp>PX_LAST</stp>
        <stp>3/26/2019</stp>
        <stp>3/26/2019</stp>
        <stp>[Live Pricing.xlsm]FX_Curve_History!R62C4</stp>
        <tr r="D62" s="50"/>
      </tp>
      <tp t="e">
        <v>#N/A</v>
        <stp/>
        <stp>##V3_BDHV12</stp>
        <stp>EDH0 Comdty</stp>
        <stp>PX_LAST</stp>
        <stp>3/26/2019</stp>
        <stp>3/26/2019</stp>
        <stp>[Live Pricing.xlsm]FX_Curve_History!R12C4</stp>
        <tr r="D12" s="50"/>
      </tp>
      <tp t="e">
        <v>#N/A</v>
        <stp/>
        <stp>##V3_BDPV12</stp>
        <stp>YEU8 Comdty</stp>
        <stp>PX_LAST</stp>
        <stp>[Live Pricing.xlsm]FX_Curve_Live!R56C4</stp>
        <tr r="D56" s="42"/>
      </tp>
      <tp t="e">
        <v>#N/A</v>
        <stp/>
        <stp>##V3_BDPV12</stp>
        <stp>CLSWIBA Index</stp>
        <stp>PX_LAST</stp>
        <stp>[Live Pricing.xlsm]Rate_Live!R182C2</stp>
        <tr r="B182" s="39"/>
      </tp>
      <tp t="e">
        <v>#N/A</v>
        <stp/>
        <stp>##V3_BDPV12</stp>
        <stp>HASWDI5Y Index</stp>
        <stp>PX_LAST</stp>
        <stp>[Live Pricing.xlsm]Rate_Live!R160C6</stp>
        <tr r="F160" s="39"/>
      </tp>
      <tp t="e">
        <v>#N/A</v>
        <stp/>
        <stp>##V3_BDHV12</stp>
        <stp>USSW2 Index</stp>
        <stp>PX_LAST</stp>
        <stp>3/26/2019</stp>
        <stp>3/26/2019</stp>
        <stp>[Live Pricing.xlsm]FX_Curve_History!R6C6</stp>
        <tr r="F6" s="50"/>
      </tp>
      <tp t="e">
        <v>#N/A</v>
        <stp/>
        <stp>##V3_BDHV12</stp>
        <stp>ERM9 Comdty</stp>
        <stp>PX_LAST</stp>
        <stp>3/26/2019</stp>
        <stp>3/26/2019</stp>
        <stp>[Live Pricing.xlsm]FX_Curve_History!R34C4</stp>
        <tr r="D34" s="50"/>
      </tp>
      <tp t="e">
        <v>#N/A</v>
        <stp/>
        <stp>##V3_BDHV12</stp>
        <stp>L M9 Comdty</stp>
        <stp>PX_LAST</stp>
        <stp>3/26/2019</stp>
        <stp>3/26/2019</stp>
        <stp>[Live Pricing.xlsm]FX_Curve_History!R84C4</stp>
        <tr r="D84" s="50"/>
      </tp>
      <tp t="e">
        <v>#N/A</v>
        <stp/>
        <stp>##V3_BDPV12</stp>
        <stp>YEZ8 Comdty</stp>
        <stp>PX_LAST</stp>
        <stp>[Live Pricing.xlsm]FX_Curve_Live!R57C4</stp>
        <tr r="D57" s="42"/>
      </tp>
      <tp t="e">
        <v>#N/A</v>
        <stp/>
        <stp>##V3_BDPV12</stp>
        <stp>L Z9 Comdty</stp>
        <stp>PX_LAST</stp>
        <stp>[Live Pricing.xlsm]FX_Curve_Live!R86C4</stp>
        <tr r="D86" s="42"/>
      </tp>
      <tp t="e">
        <v>#N/A</v>
        <stp/>
        <stp>##V3_BDPV12</stp>
        <stp>ERZ9 Comdty</stp>
        <stp>PX_LAST</stp>
        <stp>[Live Pricing.xlsm]FX_Curve_Live!R36C4</stp>
        <tr r="D36" s="42"/>
      </tp>
      <tp t="e">
        <v>#N/A</v>
        <stp/>
        <stp>##V3_BDPV12</stp>
        <stp>JYSSTL1 index</stp>
        <stp>PX_LAST</stp>
        <stp>[Live Pricing.xlsm]Rate_Live!R57C14</stp>
        <tr r="N57" s="39"/>
      </tp>
      <tp t="e">
        <v>#N/A</v>
        <stp/>
        <stp>##V3_BDPV12</stp>
        <stp>HASWDI6Y Index</stp>
        <stp>PX_LAST</stp>
        <stp>[Live Pricing.xlsm]Rate_Live!R161C6</stp>
        <tr r="F161" s="39"/>
      </tp>
      <tp t="e">
        <v>#N/A</v>
        <stp/>
        <stp>##V3_BDHV12</stp>
        <stp>CLSWIB1F Index</stp>
        <stp>PX_LAST</stp>
        <stp>3/26/2019</stp>
        <stp>3/26/2019</stp>
        <stp>[Live Pricing.xlsm]Rate_History!R187C2</stp>
        <tr r="B187" s="49"/>
        <tr r="B187" s="49"/>
      </tp>
      <tp t="e">
        <v>#N/A</v>
        <stp/>
        <stp>##V3_BDHV12</stp>
        <stp>USSW3 Index</stp>
        <stp>PX_LAST</stp>
        <stp>3/26/2019</stp>
        <stp>3/26/2019</stp>
        <stp>[Live Pricing.xlsm]FX_Curve_History!R7C6</stp>
        <tr r="F7" s="50"/>
      </tp>
      <tp t="e">
        <v>#N/A</v>
        <stp/>
        <stp>##V3_BDHV12</stp>
        <stp>HASWDI6M Index</stp>
        <stp>PX_LAST</stp>
        <stp>3/26/2019</stp>
        <stp>3/26/2019</stp>
        <stp>[Live Pricing.xlsm]Rate_History!R160C2</stp>
        <tr r="B160" s="49"/>
        <tr r="B160" s="49"/>
      </tp>
      <tp t="e">
        <v>#N/A</v>
        <stp/>
        <stp>##V3_BDHV12</stp>
        <stp>HASWDI1M Index</stp>
        <stp>PX_LAST</stp>
        <stp>3/26/2019</stp>
        <stp>3/26/2019</stp>
        <stp>[Live Pricing.xlsm]Rate_History!R157C2</stp>
        <tr r="B157" s="49"/>
        <tr r="B157" s="49"/>
      </tp>
      <tp t="e">
        <v>#N/A</v>
        <stp/>
        <stp>##V3_BDPV12</stp>
        <stp>YEZ9 Comdty</stp>
        <stp>PX_LAST</stp>
        <stp>[Live Pricing.xlsm]FX_Curve_Live!R61C4</stp>
        <tr r="D61" s="42"/>
      </tp>
      <tp t="e">
        <v>#N/A</v>
        <stp/>
        <stp>##V3_BDPV12</stp>
        <stp>L M0 Comdty</stp>
        <stp>PX_LAST</stp>
        <stp>[Live Pricing.xlsm]FX_Curve_Live!R88C4</stp>
        <tr r="D88" s="42"/>
      </tp>
      <tp t="e">
        <v>#N/A</v>
        <stp/>
        <stp>##V3_BDPV12</stp>
        <stp>EDZ9 Comdty</stp>
        <stp>PX_LAST</stp>
        <stp>[Live Pricing.xlsm]FX_Curve_Live!R11C4</stp>
        <tr r="D11" s="42"/>
      </tp>
      <tp t="e">
        <v>#N/A</v>
        <stp/>
        <stp>##V3_BDPV12</stp>
        <stp>ERM0 Comdty</stp>
        <stp>PX_LAST</stp>
        <stp>[Live Pricing.xlsm]FX_Curve_Live!R38C4</stp>
        <tr r="D38" s="42"/>
      </tp>
      <tp t="e">
        <v>#N/A</v>
        <stp/>
        <stp>##V3_BDHV12</stp>
        <stp>US0012m Index</stp>
        <stp>PX_LAST</stp>
        <stp>3/26/2019</stp>
        <stp>3/26/2019</stp>
        <stp>[Live Pricing.xlsm]Rate_History!R11C2</stp>
        <tr r="B11" s="49"/>
        <tr r="B11" s="49"/>
      </tp>
      <tp t="e">
        <v>#N/A</v>
        <stp/>
        <stp>##V3_BDHV12</stp>
        <stp>US0006m Index</stp>
        <stp>PX_LAST</stp>
        <stp>3/26/2019</stp>
        <stp>3/26/2019</stp>
        <stp>[Live Pricing.xlsm]Rate_History!R10C2</stp>
        <tr r="B10" s="49"/>
        <tr r="B10" s="49"/>
      </tp>
      <tp t="e">
        <v>#N/A</v>
        <stp/>
        <stp>##V3_BDPV12</stp>
        <stp>JYSW5 Index</stp>
        <stp>PX_LAST</stp>
        <stp>[Live Pricing.xlsm]Rate_Live!R59C6</stp>
        <tr r="F59" s="39"/>
      </tp>
      <tp t="e">
        <v>#N/A</v>
        <stp/>
        <stp>##V3_BDPV12</stp>
        <stp>HASWDI1Y Index</stp>
        <stp>PX_LAST</stp>
        <stp>[Live Pricing.xlsm]Rate_Live!R156C6</stp>
        <tr r="F156" s="39"/>
      </tp>
      <tp t="e">
        <v>#N/A</v>
        <stp/>
        <stp>##V3_BDHV12</stp>
        <stp>ERH0 Comdty</stp>
        <stp>PX_LAST</stp>
        <stp>3/26/2019</stp>
        <stp>3/26/2019</stp>
        <stp>[Live Pricing.xlsm]FX_Curve_History!R37C4</stp>
        <tr r="D37" s="50"/>
      </tp>
      <tp t="e">
        <v>#N/A</v>
        <stp/>
        <stp>##V3_BDHV12</stp>
        <stp>L H0 Comdty</stp>
        <stp>PX_LAST</stp>
        <stp>3/26/2019</stp>
        <stp>3/26/2019</stp>
        <stp>[Live Pricing.xlsm]FX_Curve_History!R87C4</stp>
        <tr r="D87" s="50"/>
      </tp>
      <tp t="e">
        <v>#N/A</v>
        <stp/>
        <stp>##V3_BDPV12</stp>
        <stp>YEU9 Comdty</stp>
        <stp>PX_LAST</stp>
        <stp>[Live Pricing.xlsm]FX_Curve_Live!R60C4</stp>
        <tr r="D60" s="42"/>
      </tp>
      <tp t="e">
        <v>#N/A</v>
        <stp/>
        <stp>##V3_BDPV12</stp>
        <stp>L U8 Comdty</stp>
        <stp>PX_LAST</stp>
        <stp>[Live Pricing.xlsm]FX_Curve_Live!R81C4</stp>
        <tr r="D81" s="42"/>
      </tp>
      <tp t="e">
        <v>#N/A</v>
        <stp/>
        <stp>##V3_BDPV12</stp>
        <stp>EDU9 Comdty</stp>
        <stp>PX_LAST</stp>
        <stp>[Live Pricing.xlsm]FX_Curve_Live!R10C4</stp>
        <tr r="D10" s="42"/>
      </tp>
      <tp t="e">
        <v>#N/A</v>
        <stp/>
        <stp>##V3_BDPV12</stp>
        <stp>ERU8 Comdty</stp>
        <stp>PX_LAST</stp>
        <stp>[Live Pricing.xlsm]FX_Curve_Live!R31C4</stp>
        <tr r="D31" s="42"/>
      </tp>
      <tp t="e">
        <v>#N/A</v>
        <stp/>
        <stp>##V3_BDPV12</stp>
        <stp>JYSW4 Index</stp>
        <stp>PX_LAST</stp>
        <stp>[Live Pricing.xlsm]Rate_Live!R58C6</stp>
        <tr r="F58" s="39"/>
      </tp>
      <tp t="e">
        <v>#N/A</v>
        <stp/>
        <stp>##V3_BDPV12</stp>
        <stp>HASWDI2Y Index</stp>
        <stp>PX_LAST</stp>
        <stp>[Live Pricing.xlsm]Rate_Live!R157C6</stp>
        <tr r="F157" s="39"/>
      </tp>
      <tp t="e">
        <v>#N/A</v>
        <stp/>
        <stp>##V3_BDPV12</stp>
        <stp>BPSW9 Index</stp>
        <stp>PX_LAST</stp>
        <stp>[Live Pricing.xlsm]Rate_Live!R88C6</stp>
        <tr r="F88" s="39"/>
      </tp>
      <tp t="e">
        <v>#N/A</v>
        <stp/>
        <stp>##V3_BDHV12</stp>
        <stp>YEM0 Comdty</stp>
        <stp>PX_LAST</stp>
        <stp>3/26/2019</stp>
        <stp>3/26/2019</stp>
        <stp>[Live Pricing.xlsm]FX_Curve_History!R63C4</stp>
        <tr r="D63" s="50"/>
      </tp>
      <tp t="e">
        <v>#N/A</v>
        <stp/>
        <stp>##V3_BDHV12</stp>
        <stp>EDM0 Comdty</stp>
        <stp>PX_LAST</stp>
        <stp>3/26/2019</stp>
        <stp>3/26/2019</stp>
        <stp>[Live Pricing.xlsm]FX_Curve_History!R13C4</stp>
        <tr r="D13" s="50"/>
      </tp>
      <tp t="e">
        <v>#N/A</v>
        <stp/>
        <stp>##V3_BDPV12</stp>
        <stp>US00o/n Index</stp>
        <stp>PX_LAST</stp>
        <stp>[Live Pricing.xlsm]Rate_Live!R6C2</stp>
        <tr r="B6" s="39"/>
      </tp>
      <tp t="e">
        <v>#N/A</v>
        <stp/>
        <stp>##V3_BDPV12</stp>
        <stp>USSW14 Index</stp>
        <stp>PX_LAST</stp>
        <stp>[Live Pricing.xlsm]FX_Curve_Live!R18C6</stp>
        <tr r="F18" s="42"/>
      </tp>
      <tp t="e">
        <v>#N/A</v>
        <stp/>
        <stp>##V3_BDPV12</stp>
        <stp>L H9 Comdty</stp>
        <stp>PX_LAST</stp>
        <stp>[Live Pricing.xlsm]FX_Curve_Live!R83C4</stp>
        <tr r="D83" s="42"/>
      </tp>
      <tp t="e">
        <v>#N/A</v>
        <stp/>
        <stp>##V3_BDPV12</stp>
        <stp>L Z8 Comdty</stp>
        <stp>PX_LAST</stp>
        <stp>[Live Pricing.xlsm]FX_Curve_Live!R82C4</stp>
        <tr r="D82" s="42"/>
      </tp>
      <tp t="e">
        <v>#N/A</v>
        <stp/>
        <stp>##V3_BDPV12</stp>
        <stp>ERH9 Comdty</stp>
        <stp>PX_LAST</stp>
        <stp>[Live Pricing.xlsm]FX_Curve_Live!R33C4</stp>
        <tr r="D33" s="42"/>
      </tp>
      <tp t="e">
        <v>#N/A</v>
        <stp/>
        <stp>##V3_BDPV12</stp>
        <stp>ERZ8 Comdty</stp>
        <stp>PX_LAST</stp>
        <stp>[Live Pricing.xlsm]FX_Curve_Live!R32C4</stp>
        <tr r="D32" s="42"/>
      </tp>
      <tp t="e">
        <v>#N/A</v>
        <stp/>
        <stp>##V3_BDPV12</stp>
        <stp>CDBS9 Index</stp>
        <stp>PX_LAST</stp>
        <stp>[Live Pricing.xlsm]FX_Curve_History!R138C13</stp>
        <tr r="M138" s="50"/>
      </tp>
      <tp t="e">
        <v>#N/A</v>
        <stp/>
        <stp>##V3_BDPV12</stp>
        <stp>CLSWIBC Index</stp>
        <stp>PX_LAST</stp>
        <stp>[Live Pricing.xlsm]Rate_Live!R184C2</stp>
        <tr r="B184" s="39"/>
      </tp>
      <tp t="e">
        <v>#N/A</v>
        <stp/>
        <stp>##V3_BDPV12</stp>
        <stp>HASWDI9Y Index</stp>
        <stp>PX_LAST</stp>
        <stp>[Live Pricing.xlsm]Rate_Live!R164C6</stp>
        <tr r="F164" s="39"/>
      </tp>
      <tp t="e">
        <v>#N/A</v>
        <stp/>
        <stp>##V3_BDPV12</stp>
        <stp>BP00O/N Index</stp>
        <stp>PX_LAST</stp>
        <stp>[Live Pricing.xlsm]FX_Curve_Live!R81C2</stp>
        <tr r="B81" s="42"/>
      </tp>
      <tp t="e">
        <v>#N/A</v>
        <stp/>
        <stp>##V3_BDHV12</stp>
        <stp>SFSW9 CMPN Curncy</stp>
        <stp>Close</stp>
        <stp>03/26/2019 11:15:00</stp>
        <stp>03/26/2019 11:16:00</stp>
        <stp>[Live Pricing.xlsm]Rate_History!R113C18</stp>
        <stp>BarType</stp>
        <stp>T</stp>
        <stp>Dir=V</stp>
        <tr r="R113" s="49"/>
      </tp>
      <tp t="e">
        <v>#N/A</v>
        <stp/>
        <stp>##V3_BDPV12</stp>
        <stp>USSW15 Index</stp>
        <stp>PX_LAST</stp>
        <stp>[Live Pricing.xlsm]FX_Curve_Live!R19C6</stp>
        <tr r="F19" s="42"/>
      </tp>
      <tp t="e">
        <v>#N/A</v>
        <stp/>
        <stp>##V3_BDPV12</stp>
        <stp>CDBS8 Index</stp>
        <stp>PX_LAST</stp>
        <stp>[Live Pricing.xlsm]FX_Curve_History!R137C13</stp>
        <tr r="M137" s="50"/>
      </tp>
      <tp t="e">
        <v>#N/A</v>
        <stp/>
        <stp>##V3_BDHV12</stp>
        <stp>SFSW8 CMPN Curncy</stp>
        <stp>Close</stp>
        <stp>03/26/2019 11:15:00</stp>
        <stp>03/26/2019 11:16:00</stp>
        <stp>[Live Pricing.xlsm]Rate_History!R112C18</stp>
        <stp>BarType</stp>
        <stp>T</stp>
        <stp>Dir=V</stp>
        <tr r="R112" s="49"/>
      </tp>
      <tp t="e">
        <v>#N/A</v>
        <stp/>
        <stp>##V3_BDPV12</stp>
        <stp>USDSAR Curncy</stp>
        <stp>PX_LAST</stp>
        <stp>[Live Pricing.xlsm]FX_Live!R13C5</stp>
        <tr r="E13" s="44"/>
      </tp>
      <tp t="e">
        <v>#N/A</v>
        <stp/>
        <stp>##V3_BDHV12</stp>
        <stp>EUSA8 Index</stp>
        <stp>PX_LAST</stp>
        <stp>3/26/2019</stp>
        <stp>3/26/2019</stp>
        <stp>[Live Pricing.xlsm]FX_Curve_History!R37C6</stp>
        <tr r="F37" s="50"/>
      </tp>
      <tp t="e">
        <v>#N/A</v>
        <stp/>
        <stp>##V3_BDHV12</stp>
        <stp>ESM0 Comdty</stp>
        <stp>PX_LAST</stp>
        <stp>3/26/2019</stp>
        <stp>3/26/2019</stp>
        <stp>[Live Pricing.xlsm]FX_Curve_History!R113C4</stp>
        <tr r="D113" s="50"/>
      </tp>
      <tp t="e">
        <v>#N/A</v>
        <stp/>
        <stp>##V3_BDHV12</stp>
        <stp>BPSW8 Index</stp>
        <stp>PX_LAST</stp>
        <stp>3/26/2019</stp>
        <stp>3/26/2019</stp>
        <stp>[Live Pricing.xlsm]FX_Curve_History!R87C6</stp>
        <tr r="F87" s="50"/>
      </tp>
      <tp t="e">
        <v>#N/A</v>
        <stp/>
        <stp>##V3_BDHV12</stp>
        <stp>JYSW3 Index</stp>
        <stp>PX_LAST</stp>
        <stp>3/26/2019</stp>
        <stp>3/26/2019</stp>
        <stp>[Live Pricing.xlsm]FX_Curve_History!R57C6</stp>
        <tr r="F57" s="50"/>
      </tp>
      <tp t="e">
        <v>#N/A</v>
        <stp/>
        <stp>##V3_BDHV12</stp>
        <stp>EUNE420 ICPL Curncy</stp>
        <stp>PX_LAST</stp>
        <stp>3/26/2019</stp>
        <stp>3/26/2019</stp>
        <stp>[Live Pricing.xlsm]Vol_Surface!R71C13</stp>
        <tr r="M71" s="53"/>
      </tp>
      <tp t="e">
        <v>#N/A</v>
        <stp/>
        <stp>##V3_BDHV12</stp>
        <stp>EUNE520 ICPL Curncy</stp>
        <stp>PX_LAST</stp>
        <stp>3/26/2019</stp>
        <stp>3/26/2019</stp>
        <stp>[Live Pricing.xlsm]Vol_Surface!R72C13</stp>
        <tr r="M72" s="53"/>
      </tp>
      <tp t="e">
        <v>#N/A</v>
        <stp/>
        <stp>##V3_BDHV12</stp>
        <stp>EUNE330 ICPL Curncy</stp>
        <stp>PX_LAST</stp>
        <stp>3/26/2019</stp>
        <stp>3/26/2019</stp>
        <stp>[Live Pricing.xlsm]Vol_Surface!R70C15</stp>
        <tr r="O70" s="53"/>
      </tp>
      <tp t="e">
        <v>#N/A</v>
        <stp/>
        <stp>##V3_BDHV12</stp>
        <stp>EUNE230 ICPL Curncy</stp>
        <stp>PX_LAST</stp>
        <stp>3/26/2019</stp>
        <stp>3/26/2019</stp>
        <stp>[Live Pricing.xlsm]Vol_Surface!R69C15</stp>
        <tr r="O69" s="53"/>
      </tp>
      <tp t="e">
        <v>#N/A</v>
        <stp/>
        <stp>##V3_BDHV12</stp>
        <stp>EUNE410 ICPL Curncy</stp>
        <stp>PX_LAST</stp>
        <stp>3/26/2019</stp>
        <stp>3/26/2019</stp>
        <stp>[Live Pricing.xlsm]Vol_Surface!R71C11</stp>
        <tr r="K71" s="53"/>
      </tp>
      <tp t="e">
        <v>#N/A</v>
        <stp/>
        <stp>##V3_BDHV12</stp>
        <stp>EUNE130 ICPL Curncy</stp>
        <stp>PX_LAST</stp>
        <stp>3/26/2019</stp>
        <stp>3/26/2019</stp>
        <stp>[Live Pricing.xlsm]Vol_Surface!R68C15</stp>
        <tr r="O68" s="53"/>
      </tp>
      <tp t="e">
        <v>#N/A</v>
        <stp/>
        <stp>##V3_BDHV12</stp>
        <stp>EUNE510 ICPL Curncy</stp>
        <stp>PX_LAST</stp>
        <stp>3/26/2019</stp>
        <stp>3/26/2019</stp>
        <stp>[Live Pricing.xlsm]Vol_Surface!R72C11</stp>
        <tr r="K72" s="53"/>
      </tp>
      <tp t="e">
        <v>#N/A</v>
        <stp/>
        <stp>##V3_BDHV12</stp>
        <stp>EUNE120 ICPL Curncy</stp>
        <stp>PX_LAST</stp>
        <stp>3/26/2019</stp>
        <stp>3/26/2019</stp>
        <stp>[Live Pricing.xlsm]Vol_Surface!R68C13</stp>
        <tr r="M68" s="53"/>
      </tp>
      <tp t="e">
        <v>#N/A</v>
        <stp/>
        <stp>##V3_BDHV12</stp>
        <stp>EUNE310 ICPL Curncy</stp>
        <stp>PX_LAST</stp>
        <stp>3/26/2019</stp>
        <stp>3/26/2019</stp>
        <stp>[Live Pricing.xlsm]Vol_Surface!R70C11</stp>
        <tr r="K70" s="53"/>
      </tp>
      <tp t="e">
        <v>#N/A</v>
        <stp/>
        <stp>##V3_BDHV12</stp>
        <stp>EUNE210 ICPL Curncy</stp>
        <stp>PX_LAST</stp>
        <stp>3/26/2019</stp>
        <stp>3/26/2019</stp>
        <stp>[Live Pricing.xlsm]Vol_Surface!R69C11</stp>
        <tr r="K69" s="53"/>
      </tp>
      <tp t="e">
        <v>#N/A</v>
        <stp/>
        <stp>##V3_BDHV12</stp>
        <stp>EUNE430 ICPL Curncy</stp>
        <stp>PX_LAST</stp>
        <stp>3/26/2019</stp>
        <stp>3/26/2019</stp>
        <stp>[Live Pricing.xlsm]Vol_Surface!R71C15</stp>
        <tr r="O71" s="53"/>
      </tp>
      <tp t="e">
        <v>#N/A</v>
        <stp/>
        <stp>##V3_BDHV12</stp>
        <stp>EUNE110 ICPL Curncy</stp>
        <stp>PX_LAST</stp>
        <stp>3/26/2019</stp>
        <stp>3/26/2019</stp>
        <stp>[Live Pricing.xlsm]Vol_Surface!R68C11</stp>
        <tr r="K68" s="53"/>
      </tp>
      <tp t="e">
        <v>#N/A</v>
        <stp/>
        <stp>##V3_BDHV12</stp>
        <stp>EUNE530 ICPL Curncy</stp>
        <stp>PX_LAST</stp>
        <stp>3/26/2019</stp>
        <stp>3/26/2019</stp>
        <stp>[Live Pricing.xlsm]Vol_Surface!R72C15</stp>
        <tr r="O72" s="53"/>
      </tp>
      <tp t="e">
        <v>#N/A</v>
        <stp/>
        <stp>##V3_BDHV12</stp>
        <stp>EUNE320 ICPL Curncy</stp>
        <stp>PX_LAST</stp>
        <stp>3/26/2019</stp>
        <stp>3/26/2019</stp>
        <stp>[Live Pricing.xlsm]Vol_Surface!R70C13</stp>
        <tr r="M70" s="53"/>
      </tp>
      <tp t="e">
        <v>#N/A</v>
        <stp/>
        <stp>##V3_BDHV12</stp>
        <stp>EUNE220 ICPL Curncy</stp>
        <stp>PX_LAST</stp>
        <stp>3/26/2019</stp>
        <stp>3/26/2019</stp>
        <stp>[Live Pricing.xlsm]Vol_Surface!R69C13</stp>
        <tr r="M69" s="53"/>
      </tp>
      <tp t="e">
        <v>#N/A</v>
        <stp/>
        <stp>##V3_BDHV12</stp>
        <stp>EUNEC30 ICPL Curncy</stp>
        <stp>PX_LAST</stp>
        <stp>3/26/2019</stp>
        <stp>3/26/2019</stp>
        <stp>[Live Pricing.xlsm]Vol_Surface!R65C15</stp>
        <tr r="O65" s="53"/>
      </tp>
      <tp t="e">
        <v>#N/A</v>
        <stp/>
        <stp>##V3_BDHV12</stp>
        <stp>EUNEF10 ICPL Curncy</stp>
        <stp>PX_LAST</stp>
        <stp>3/26/2019</stp>
        <stp>3/26/2019</stp>
        <stp>[Live Pricing.xlsm]Vol_Surface!R66C11</stp>
        <tr r="K66" s="53"/>
      </tp>
      <tp t="e">
        <v>#N/A</v>
        <stp/>
        <stp>##V3_BDHV12</stp>
        <stp>EUNEA30 ICPL Curncy</stp>
        <stp>PX_LAST</stp>
        <stp>3/26/2019</stp>
        <stp>3/26/2019</stp>
        <stp>[Live Pricing.xlsm]Vol_Surface!R64C15</stp>
        <tr r="O64" s="53"/>
      </tp>
      <tp t="e">
        <v>#N/A</v>
        <stp/>
        <stp>##V3_BDHV12</stp>
        <stp>EUNEF20 ICPL Curncy</stp>
        <stp>PX_LAST</stp>
        <stp>3/26/2019</stp>
        <stp>3/26/2019</stp>
        <stp>[Live Pricing.xlsm]Vol_Surface!R66C13</stp>
        <tr r="M66" s="53"/>
      </tp>
      <tp t="e">
        <v>#N/A</v>
        <stp/>
        <stp>##V3_BDHV12</stp>
        <stp>EUNEC10 ICPL Curncy</stp>
        <stp>PX_LAST</stp>
        <stp>3/26/2019</stp>
        <stp>3/26/2019</stp>
        <stp>[Live Pricing.xlsm]Vol_Surface!R65C11</stp>
        <tr r="K65" s="53"/>
      </tp>
      <tp t="e">
        <v>#N/A</v>
        <stp/>
        <stp>##V3_BDHV12</stp>
        <stp>EUNEA20 ICPL Curncy</stp>
        <stp>PX_LAST</stp>
        <stp>3/26/2019</stp>
        <stp>3/26/2019</stp>
        <stp>[Live Pricing.xlsm]Vol_Surface!R64C13</stp>
        <tr r="M64" s="53"/>
      </tp>
      <tp t="e">
        <v>#N/A</v>
        <stp/>
        <stp>##V3_BDHV12</stp>
        <stp>EUNEF30 ICPL Curncy</stp>
        <stp>PX_LAST</stp>
        <stp>3/26/2019</stp>
        <stp>3/26/2019</stp>
        <stp>[Live Pricing.xlsm]Vol_Surface!R66C15</stp>
        <tr r="O66" s="53"/>
      </tp>
      <tp t="e">
        <v>#N/A</v>
        <stp/>
        <stp>##V3_BDHV12</stp>
        <stp>EUNEA10 ICPL Curncy</stp>
        <stp>PX_LAST</stp>
        <stp>3/26/2019</stp>
        <stp>3/26/2019</stp>
        <stp>[Live Pricing.xlsm]Vol_Surface!R64C11</stp>
        <tr r="K64" s="53"/>
      </tp>
      <tp t="e">
        <v>#N/A</v>
        <stp/>
        <stp>##V3_BDHV12</stp>
        <stp>EUNEC20 ICPL Curncy</stp>
        <stp>PX_LAST</stp>
        <stp>3/26/2019</stp>
        <stp>3/26/2019</stp>
        <stp>[Live Pricing.xlsm]Vol_Surface!R65C13</stp>
        <tr r="M65" s="53"/>
      </tp>
      <tp t="e">
        <v>#N/A</v>
        <stp/>
        <stp>##V3_BDHV12</stp>
        <stp>EUNEI30 ICPL Curncy</stp>
        <stp>PX_LAST</stp>
        <stp>3/26/2019</stp>
        <stp>3/26/2019</stp>
        <stp>[Live Pricing.xlsm]Vol_Surface!R67C15</stp>
        <tr r="O67" s="53"/>
      </tp>
      <tp t="e">
        <v>#N/A</v>
        <stp/>
        <stp>##V3_BDHV12</stp>
        <stp>EUNEI20 ICPL Curncy</stp>
        <stp>PX_LAST</stp>
        <stp>3/26/2019</stp>
        <stp>3/26/2019</stp>
        <stp>[Live Pricing.xlsm]Vol_Surface!R67C13</stp>
        <tr r="M67" s="53"/>
      </tp>
      <tp t="e">
        <v>#N/A</v>
        <stp/>
        <stp>##V3_BDHV12</stp>
        <stp>EUNEI10 ICPL Curncy</stp>
        <stp>PX_LAST</stp>
        <stp>3/26/2019</stp>
        <stp>3/26/2019</stp>
        <stp>[Live Pricing.xlsm]Vol_Surface!R67C11</stp>
        <tr r="K67" s="53"/>
      </tp>
      <tp t="e">
        <v>#N/A</v>
        <stp/>
        <stp>##V3_BDHV12</stp>
        <stp>CDSW8 CMPN Curncy</stp>
        <stp>LAST_PRICE</stp>
        <stp>3/26/2019</stp>
        <stp>3/26/2019</stp>
        <stp>[Live Pricing.xlsm]Rate_History!R137C20</stp>
        <tr r="T137" s="49"/>
      </tp>
      <tp t="e">
        <v>#N/A</v>
        <stp/>
        <stp>##V3_BDHV12</stp>
        <stp>CDSW2 CMPN Curncy</stp>
        <stp>LAST_PRICE</stp>
        <stp>3/26/2019</stp>
        <stp>3/26/2019</stp>
        <stp>[Live Pricing.xlsm]Rate_History!R131C20</stp>
        <tr r="T131" s="49"/>
      </tp>
      <tp t="e">
        <v>#N/A</v>
        <stp/>
        <stp>##V3_BDHV12</stp>
        <stp>CDSW6 CMPN Curncy</stp>
        <stp>LAST_PRICE</stp>
        <stp>3/26/2019</stp>
        <stp>3/26/2019</stp>
        <stp>[Live Pricing.xlsm]Rate_History!R135C20</stp>
        <tr r="T135" s="49"/>
      </tp>
      <tp t="e">
        <v>#N/A</v>
        <stp/>
        <stp>##V3_BDHV12</stp>
        <stp>CDSW3 CMPN Curncy</stp>
        <stp>LAST_PRICE</stp>
        <stp>3/26/2019</stp>
        <stp>3/26/2019</stp>
        <stp>[Live Pricing.xlsm]Rate_History!R132C20</stp>
        <tr r="T132" s="49"/>
      </tp>
      <tp t="e">
        <v>#N/A</v>
        <stp/>
        <stp>##V3_BDHV12</stp>
        <stp>CDSW5 CMPN Curncy</stp>
        <stp>LAST_PRICE</stp>
        <stp>3/26/2019</stp>
        <stp>3/26/2019</stp>
        <stp>[Live Pricing.xlsm]Rate_History!R134C20</stp>
        <tr r="T134" s="49"/>
      </tp>
      <tp t="e">
        <v>#N/A</v>
        <stp/>
        <stp>##V3_BDHV12</stp>
        <stp>CDSW7 CMPN Curncy</stp>
        <stp>LAST_PRICE</stp>
        <stp>3/26/2019</stp>
        <stp>3/26/2019</stp>
        <stp>[Live Pricing.xlsm]Rate_History!R136C20</stp>
        <tr r="T136" s="49"/>
      </tp>
      <tp t="e">
        <v>#N/A</v>
        <stp/>
        <stp>##V3_BDHV12</stp>
        <stp>CDSW9 CMPN Curncy</stp>
        <stp>LAST_PRICE</stp>
        <stp>3/26/2019</stp>
        <stp>3/26/2019</stp>
        <stp>[Live Pricing.xlsm]Rate_History!R138C20</stp>
        <tr r="T138" s="49"/>
      </tp>
      <tp t="e">
        <v>#N/A</v>
        <stp/>
        <stp>##V3_BDHV12</stp>
        <stp>CDSW4 CMPN Curncy</stp>
        <stp>LAST_PRICE</stp>
        <stp>3/26/2019</stp>
        <stp>3/26/2019</stp>
        <stp>[Live Pricing.xlsm]Rate_History!R133C20</stp>
        <tr r="T133" s="49"/>
      </tp>
      <tp t="e">
        <v>#N/A</v>
        <stp/>
        <stp>##V3_BDHV12</stp>
        <stp>USSW13 Index</stp>
        <stp>PX_LAST</stp>
        <stp>3/26/2019</stp>
        <stp>3/26/2019</stp>
        <stp>[Live Pricing.xlsm]FX_Curve_History!R17C6</stp>
        <tr r="F17" s="50"/>
      </tp>
      <tp t="e">
        <v>#N/A</v>
        <stp/>
        <stp>##V3_BDHV12</stp>
        <stp>JYSW13 Index</stp>
        <stp>PX_LAST</stp>
        <stp>3/26/2019</stp>
        <stp>3/26/2019</stp>
        <stp>[Live Pricing.xlsm]FX_Curve_History!R67C6</stp>
        <tr r="F67" s="50"/>
      </tp>
      <tp t="e">
        <v>#N/A</v>
        <stp/>
        <stp>##V3_BDPV12</stp>
        <stp>CDSW12 Index</stp>
        <stp>PX_LAST</stp>
        <stp>[Live Pricing.xlsm]Rate_Live!R140C6</stp>
        <tr r="F140" s="39"/>
      </tp>
      <tp t="e">
        <v>#N/A</v>
        <stp/>
        <stp>##V3_BDPV12</stp>
        <stp>CDSW20 Index</stp>
        <stp>PX_LAST</stp>
        <stp>[Live Pricing.xlsm]Rate_Live!R142C6</stp>
        <tr r="F142" s="39"/>
      </tp>
      <tp t="e">
        <v>#N/A</v>
        <stp/>
        <stp>##V3_BDPV12</stp>
        <stp>SFSW20 Index</stp>
        <stp>PX_LAST</stp>
        <stp>[Live Pricing.xlsm]Rate_Live!R120C6</stp>
        <tr r="F120" s="39"/>
      </tp>
      <tp t="e">
        <v>#N/A</v>
        <stp/>
        <stp>##V3_BDHV12</stp>
        <stp>BPSW20 Index</stp>
        <stp>PX_LAST</stp>
        <stp>3/26/2019</stp>
        <stp>3/26/2019</stp>
        <stp>[Live Pricing.xlsm]FX_Curve_History!R97C6</stp>
        <tr r="F97" s="50"/>
      </tp>
      <tp t="e">
        <v>#N/A</v>
        <stp/>
        <stp>##V3_BDPV12</stp>
        <stp>BAU0 Comdty</stp>
        <stp>PX_LAST</stp>
        <stp>[Live Pricing.xlsm]Rate_Live!R136C4</stp>
        <tr r="D136" s="39"/>
      </tp>
      <tp t="e">
        <v>#N/A</v>
        <stp/>
        <stp>##V3_BDHV12</stp>
        <stp>SF00S/N Index</stp>
        <stp>PX_LAST</stp>
        <stp>3/26/2019</stp>
        <stp>3/26/2019</stp>
        <stp>[Live Pricing.xlsm]FX_Curve_History!R106C2</stp>
        <tr r="B106" s="50"/>
      </tp>
      <tp t="e">
        <v>#N/A</v>
        <stp/>
        <stp>##V3_BDPV12</stp>
        <stp>ESU0 Comdty</stp>
        <stp>PX_LAST</stp>
        <stp>[Live Pricing.xlsm]Rate_Live!R111C4</stp>
        <tr r="D111" s="39"/>
      </tp>
      <tp t="e">
        <v>#N/A</v>
        <stp/>
        <stp>##V3_BDHV12</stp>
        <stp>US00o/n Index</stp>
        <stp>PX_LAST</stp>
        <stp>3/26/2019</stp>
        <stp>3/26/2019</stp>
        <stp>[Live Pricing.xlsm]FX_Curve_History!R6C2</stp>
        <tr r="B6" s="50"/>
      </tp>
      <tp t="e">
        <v>#N/A</v>
        <stp/>
        <stp>##V3_BDPV12</stp>
        <stp>SFSW6 Index</stp>
        <stp>PX_LAST</stp>
        <stp>[Live Pricing.xlsm]Rate_Live!R110C6</stp>
        <tr r="F110" s="39"/>
      </tp>
      <tp t="e">
        <v>#N/A</v>
        <stp/>
        <stp>##V3_BDPV12</stp>
        <stp>SFSW7 Index</stp>
        <stp>PX_LAST</stp>
        <stp>[Live Pricing.xlsm]Rate_Live!R111C6</stp>
        <tr r="F111" s="39"/>
      </tp>
      <tp t="e">
        <v>#N/A</v>
        <stp/>
        <stp>##V3_BDPV12</stp>
        <stp>CLSWIB2 Index</stp>
        <stp>PX_LAST</stp>
        <stp>[Live Pricing.xlsm]FX_Curve_Live!R181C6</stp>
        <tr r="F181" s="42"/>
      </tp>
      <tp t="e">
        <v>#N/A</v>
        <stp/>
        <stp>##V3_BDPV12</stp>
        <stp>CLSWIB6 Index</stp>
        <stp>PX_LAST</stp>
        <stp>[Live Pricing.xlsm]FX_Curve_Live!R185C6</stp>
        <tr r="F185" s="42"/>
      </tp>
      <tp t="e">
        <v>#N/A</v>
        <stp/>
        <stp>##V3_BDHV12</stp>
        <stp>EUSA7 Index</stp>
        <stp>PX_LAST</stp>
        <stp>3/26/2019</stp>
        <stp>3/26/2019</stp>
        <stp>[Live Pricing.xlsm]FX_Curve_History!R36C6</stp>
        <tr r="F36" s="50"/>
      </tp>
      <tp t="e">
        <v>#N/A</v>
        <stp/>
        <stp>##V3_BDHV12</stp>
        <stp>EUNZ201 ICPL Curncy</stp>
        <stp>PX_LAST</stp>
        <stp>3/26/2019</stp>
        <stp>3/26/2019</stp>
        <stp>[Live Pricing.xlsm]Vol_Surface!R24C10</stp>
        <tr r="J24" s="53"/>
      </tp>
      <tp t="e">
        <v>#N/A</v>
        <stp/>
        <stp>##V3_BDHV12</stp>
        <stp>EUNZ301 ICPL Curncy</stp>
        <stp>PX_LAST</stp>
        <stp>3/26/2019</stp>
        <stp>3/26/2019</stp>
        <stp>[Live Pricing.xlsm]Vol_Surface!R24C11</stp>
        <tr r="K24" s="53"/>
      </tp>
      <tp t="e">
        <v>#N/A</v>
        <stp/>
        <stp>##V3_BDHV12</stp>
        <stp>EUNZ501 ICPL Curncy</stp>
        <stp>PX_LAST</stp>
        <stp>3/26/2019</stp>
        <stp>3/26/2019</stp>
        <stp>[Live Pricing.xlsm]Vol_Surface!R24C12</stp>
        <tr r="L24" s="53"/>
      </tp>
      <tp t="e">
        <v>#N/A</v>
        <stp/>
        <stp>##V3_BDHV12</stp>
        <stp>ESH0 Comdty</stp>
        <stp>PX_LAST</stp>
        <stp>3/26/2019</stp>
        <stp>3/26/2019</stp>
        <stp>[Live Pricing.xlsm]FX_Curve_History!R112C4</stp>
        <tr r="D112" s="50"/>
      </tp>
      <tp t="e">
        <v>#N/A</v>
        <stp/>
        <stp>##V3_BDHV12</stp>
        <stp>US0001m Index</stp>
        <stp>PX_LAST</stp>
        <stp>3/26/2019</stp>
        <stp>3/26/2019</stp>
        <stp>[Live Pricing.xlsm]FX_Curve_History!R7C2</stp>
        <tr r="B7" s="50"/>
      </tp>
      <tp t="e">
        <v>#N/A</v>
        <stp/>
        <stp>##V3_BDHV12</stp>
        <stp>HASWDI10Y CMPN Curncy</stp>
        <stp>Close</stp>
        <stp>03/26/2019 11:15:00</stp>
        <stp>03/26/2019 11:16:00</stp>
        <stp>[Live Pricing.xlsm]Rate_History!R168C18</stp>
        <stp>BarType</stp>
        <stp>T</stp>
        <stp>Dir=V</stp>
        <tr r="R168" s="49"/>
      </tp>
      <tp t="e">
        <v>#N/A</v>
        <stp/>
        <stp>##V3_BDHV12</stp>
        <stp>HASWDI10Y CMPN Curncy</stp>
        <stp>Close</stp>
        <stp>03/26/2019 11:15:00</stp>
        <stp>03/26/2019 11:16:00</stp>
        <stp>[Live Pricing.xlsm]Rate_History!R169C18</stp>
        <stp>BarType</stp>
        <stp>T</stp>
        <stp>Dir=V</stp>
        <tr r="R169" s="49"/>
      </tp>
      <tp t="e">
        <v>#N/A</v>
        <stp/>
        <stp>##V3_BDHV12</stp>
        <stp>HASWDI10Y CMPN Curncy</stp>
        <stp>Close</stp>
        <stp>03/26/2019 11:15:00</stp>
        <stp>03/26/2019 11:16:00</stp>
        <stp>[Live Pricing.xlsm]Rate_History!R166C18</stp>
        <stp>BarType</stp>
        <stp>T</stp>
        <stp>Dir=V</stp>
        <tr r="R166" s="49"/>
      </tp>
      <tp t="e">
        <v>#N/A</v>
        <stp/>
        <stp>##V3_BDHV12</stp>
        <stp>HASWDI10Y CMPN Curncy</stp>
        <stp>Close</stp>
        <stp>03/26/2019 11:15:00</stp>
        <stp>03/26/2019 11:16:00</stp>
        <stp>[Live Pricing.xlsm]Rate_History!R167C18</stp>
        <stp>BarType</stp>
        <stp>T</stp>
        <stp>Dir=V</stp>
        <tr r="R167" s="49"/>
      </tp>
      <tp t="e">
        <v>#N/A</v>
        <stp/>
        <stp>##V3_BDHV12</stp>
        <stp>HASWDI10Y CMPN Curncy</stp>
        <stp>Close</stp>
        <stp>03/26/2019 11:15:00</stp>
        <stp>03/26/2019 11:16:00</stp>
        <stp>[Live Pricing.xlsm]Rate_History!R165C18</stp>
        <stp>BarType</stp>
        <stp>T</stp>
        <stp>Dir=V</stp>
        <tr r="R165" s="49"/>
      </tp>
      <tp t="e">
        <v>#N/A</v>
        <stp/>
        <stp>##V3_BDHV12</stp>
        <stp>HASWDI10Y CMPN Curncy</stp>
        <stp>Close</stp>
        <stp>03/26/2019 11:15:00</stp>
        <stp>03/26/2019 11:16:00</stp>
        <stp>[Live Pricing.xlsm]Rate_History!R172C18</stp>
        <stp>BarType</stp>
        <stp>T</stp>
        <stp>Dir=V</stp>
        <tr r="R172" s="49"/>
      </tp>
      <tp t="e">
        <v>#N/A</v>
        <stp/>
        <stp>##V3_BDHV12</stp>
        <stp>HASWDI10Y CMPN Curncy</stp>
        <stp>Close</stp>
        <stp>03/26/2019 11:15:00</stp>
        <stp>03/26/2019 11:16:00</stp>
        <stp>[Live Pricing.xlsm]Rate_History!R170C18</stp>
        <stp>BarType</stp>
        <stp>T</stp>
        <stp>Dir=V</stp>
        <tr r="R170" s="49"/>
      </tp>
      <tp t="e">
        <v>#N/A</v>
        <stp/>
        <stp>##V3_BDHV12</stp>
        <stp>HASWDI10Y CMPN Curncy</stp>
        <stp>Close</stp>
        <stp>03/26/2019 11:15:00</stp>
        <stp>03/26/2019 11:16:00</stp>
        <stp>[Live Pricing.xlsm]Rate_History!R171C18</stp>
        <stp>BarType</stp>
        <stp>T</stp>
        <stp>Dir=V</stp>
        <tr r="R171" s="49"/>
      </tp>
      <tp t="e">
        <v>#N/A</v>
        <stp/>
        <stp>##V3_BDHV12</stp>
        <stp>BPSW7 Index</stp>
        <stp>PX_LAST</stp>
        <stp>3/26/2019</stp>
        <stp>3/26/2019</stp>
        <stp>[Live Pricing.xlsm]FX_Curve_History!R86C6</stp>
        <tr r="F86" s="50"/>
      </tp>
      <tp t="e">
        <v>#N/A</v>
        <stp/>
        <stp>##V3_BDHV12</stp>
        <stp>JYSW2 Index</stp>
        <stp>PX_LAST</stp>
        <stp>3/26/2019</stp>
        <stp>3/26/2019</stp>
        <stp>[Live Pricing.xlsm]FX_Curve_History!R56C6</stp>
        <tr r="F56" s="50"/>
      </tp>
      <tp t="e">
        <v>#N/A</v>
        <stp/>
        <stp>##V3_BDHV12</stp>
        <stp>USONH10 ICPL curncy</stp>
        <stp>PX_LAST</stp>
        <stp>3/26/2019</stp>
        <stp>3/26/2019</stp>
        <stp>[Live Pricing.xlsm]Vol_Surface!R10C10</stp>
        <tr r="J10" s="53"/>
      </tp>
      <tp t="e">
        <v>#N/A</v>
        <stp/>
        <stp>##V3_BDHV12</stp>
        <stp>USONH20 ICPL curncy</stp>
        <stp>PX_LAST</stp>
        <stp>3/26/2019</stp>
        <stp>3/26/2019</stp>
        <stp>[Live Pricing.xlsm]Vol_Surface!R13C10</stp>
        <tr r="J13" s="53"/>
      </tp>
      <tp t="e">
        <v>#N/A</v>
        <stp/>
        <stp>##V3_BDHV12</stp>
        <stp>USONI10 ICPL curncy</stp>
        <stp>PX_LAST</stp>
        <stp>3/26/2019</stp>
        <stp>3/26/2019</stp>
        <stp>[Live Pricing.xlsm]Vol_Surface!R10C11</stp>
        <tr r="K10" s="53"/>
      </tp>
      <tp t="e">
        <v>#N/A</v>
        <stp/>
        <stp>##V3_BDHV12</stp>
        <stp>USONI20 ICPL curncy</stp>
        <stp>PX_LAST</stp>
        <stp>3/26/2019</stp>
        <stp>3/26/2019</stp>
        <stp>[Live Pricing.xlsm]Vol_Surface!R13C11</stp>
        <tr r="K13" s="53"/>
      </tp>
      <tp t="e">
        <v>#N/A</v>
        <stp/>
        <stp>##V3_BDHV12</stp>
        <stp>USONJ10 ICPL curncy</stp>
        <stp>PX_LAST</stp>
        <stp>3/26/2019</stp>
        <stp>3/26/2019</stp>
        <stp>[Live Pricing.xlsm]Vol_Surface!R10C12</stp>
        <tr r="L10" s="53"/>
      </tp>
      <tp t="e">
        <v>#N/A</v>
        <stp/>
        <stp>##V3_BDHV12</stp>
        <stp>USONJ20 ICPL curncy</stp>
        <stp>PX_LAST</stp>
        <stp>3/26/2019</stp>
        <stp>3/26/2019</stp>
        <stp>[Live Pricing.xlsm]Vol_Surface!R13C12</stp>
        <tr r="L13" s="53"/>
      </tp>
      <tp t="e">
        <v>#N/A</v>
        <stp/>
        <stp>##V3_BDHV12</stp>
        <stp>USONK10 ICPL curncy</stp>
        <stp>PX_LAST</stp>
        <stp>3/26/2019</stp>
        <stp>3/26/2019</stp>
        <stp>[Live Pricing.xlsm]Vol_Surface!R10C13</stp>
        <tr r="M10" s="53"/>
      </tp>
      <tp t="e">
        <v>#N/A</v>
        <stp/>
        <stp>##V3_BDHV12</stp>
        <stp>USONK20 ICPL curncy</stp>
        <stp>PX_LAST</stp>
        <stp>3/26/2019</stp>
        <stp>3/26/2019</stp>
        <stp>[Live Pricing.xlsm]Vol_Surface!R13C13</stp>
        <tr r="M13" s="53"/>
      </tp>
      <tp t="e">
        <v>#N/A</v>
        <stp/>
        <stp>##V3_BDPV12</stp>
        <stp>CDOR01 Index</stp>
        <stp>PX_LAST</stp>
        <stp>[Live Pricing.xlsm]Rate_Live!R132C2</stp>
        <tr r="B132" s="39"/>
      </tp>
      <tp t="e">
        <v>#N/A</v>
        <stp/>
        <stp>##V3_BDPV12</stp>
        <stp>CDOR06 Index</stp>
        <stp>PX_LAST</stp>
        <stp>[Live Pricing.xlsm]Rate_Live!R135C2</stp>
        <tr r="B135" s="39"/>
      </tp>
      <tp t="e">
        <v>#N/A</v>
        <stp/>
        <stp>##V3_BDHV12</stp>
        <stp>USSW12 Index</stp>
        <stp>PX_LAST</stp>
        <stp>3/26/2019</stp>
        <stp>3/26/2019</stp>
        <stp>[Live Pricing.xlsm]FX_Curve_History!R16C6</stp>
        <tr r="F16" s="50"/>
      </tp>
      <tp t="e">
        <v>#N/A</v>
        <stp/>
        <stp>##V3_BDHV12</stp>
        <stp>JYSW12 Index</stp>
        <stp>PX_LAST</stp>
        <stp>3/26/2019</stp>
        <stp>3/26/2019</stp>
        <stp>[Live Pricing.xlsm]FX_Curve_History!R66C6</stp>
        <tr r="F66" s="50"/>
      </tp>
      <tp t="e">
        <v>#N/A</v>
        <stp/>
        <stp>##V3_BDHV12</stp>
        <stp>BPSW17 Index</stp>
        <stp>PX_LAST</stp>
        <stp>3/26/2019</stp>
        <stp>3/26/2019</stp>
        <stp>[Live Pricing.xlsm]FX_Curve_History!R96C6</stp>
        <tr r="F96" s="50"/>
      </tp>
      <tp t="e">
        <v>#N/A</v>
        <stp/>
        <stp>##V3_BDPV12</stp>
        <stp>BAZ0 Comdty</stp>
        <stp>PX_LAST</stp>
        <stp>[Live Pricing.xlsm]Rate_Live!R137C4</stp>
        <tr r="D137" s="39"/>
      </tp>
      <tp t="e">
        <v>#N/A</v>
        <stp/>
        <stp>##V3_BDPV12</stp>
        <stp>ESM0 Comdty</stp>
        <stp>PX_LAST</stp>
        <stp>[Live Pricing.xlsm]Rate_Live!R110C4</stp>
        <tr r="D110" s="39"/>
      </tp>
      <tp t="e">
        <v>#N/A</v>
        <stp/>
        <stp>##V3_BDHV12</stp>
        <stp>EUSA6 Index</stp>
        <stp>PX_LAST</stp>
        <stp>3/26/2019</stp>
        <stp>3/26/2019</stp>
        <stp>[Live Pricing.xlsm]FX_Curve_History!R35C6</stp>
        <tr r="F35" s="50"/>
      </tp>
      <tp t="e">
        <v>#N/A</v>
        <stp/>
        <stp>##V3_BDHV12</stp>
        <stp>EUNZ202 ICPL Curncy</stp>
        <stp>PX_LAST</stp>
        <stp>3/26/2019</stp>
        <stp>3/26/2019</stp>
        <stp>[Live Pricing.xlsm]Vol_Surface!R25C10</stp>
        <tr r="J25" s="53"/>
      </tp>
      <tp t="e">
        <v>#N/A</v>
        <stp/>
        <stp>##V3_BDHV12</stp>
        <stp>EUNZ302 ICPL Curncy</stp>
        <stp>PX_LAST</stp>
        <stp>3/26/2019</stp>
        <stp>3/26/2019</stp>
        <stp>[Live Pricing.xlsm]Vol_Surface!R25C11</stp>
        <tr r="K25" s="53"/>
      </tp>
      <tp t="e">
        <v>#N/A</v>
        <stp/>
        <stp>##V3_BDHV12</stp>
        <stp>EUNZ502 ICPL Curncy</stp>
        <stp>PX_LAST</stp>
        <stp>3/26/2019</stp>
        <stp>3/26/2019</stp>
        <stp>[Live Pricing.xlsm]Vol_Surface!R25C12</stp>
        <tr r="L25" s="53"/>
      </tp>
      <tp t="e">
        <v>#N/A</v>
        <stp/>
        <stp>##V3_BDHV12</stp>
        <stp>ESH9 Comdty</stp>
        <stp>PX_LAST</stp>
        <stp>3/26/2019</stp>
        <stp>3/26/2019</stp>
        <stp>[Live Pricing.xlsm]FX_Curve_History!R108C4</stp>
        <tr r="D108" s="50"/>
      </tp>
      <tp t="e">
        <v>#N/A</v>
        <stp/>
        <stp>##V3_BDHV12</stp>
        <stp>EDM9 Comdty</stp>
        <stp>PX_LAST</stp>
        <stp>3/26/2019</stp>
        <stp>3/26/2019</stp>
        <stp>[Live Pricing.xlsm]Rate_History!R6C4</stp>
        <tr r="D6" s="49"/>
      </tp>
      <tp t="e">
        <v>#N/A</v>
        <stp/>
        <stp>##V3_BDHV12</stp>
        <stp>BPSW6 Index</stp>
        <stp>PX_LAST</stp>
        <stp>3/26/2019</stp>
        <stp>3/26/2019</stp>
        <stp>[Live Pricing.xlsm]FX_Curve_History!R85C6</stp>
        <tr r="F85" s="50"/>
      </tp>
      <tp t="e">
        <v>#N/A</v>
        <stp/>
        <stp>##V3_BDHV12</stp>
        <stp>SFSW4 CMPN Curncy</stp>
        <stp>LAST_PRICE</stp>
        <stp>3/26/2019</stp>
        <stp>3/26/2019</stp>
        <stp>[Live Pricing.xlsm]Rate_History!R108C20</stp>
        <tr r="T108" s="49"/>
      </tp>
      <tp t="e">
        <v>#N/A</v>
        <stp/>
        <stp>##V3_BDHV12</stp>
        <stp>SFSW5 CMPN Curncy</stp>
        <stp>LAST_PRICE</stp>
        <stp>3/26/2019</stp>
        <stp>3/26/2019</stp>
        <stp>[Live Pricing.xlsm]Rate_History!R109C20</stp>
        <tr r="T109" s="49"/>
      </tp>
      <tp t="e">
        <v>#N/A</v>
        <stp/>
        <stp>##V3_BDHV12</stp>
        <stp>SFSW2 CMPN Curncy</stp>
        <stp>LAST_PRICE</stp>
        <stp>3/26/2019</stp>
        <stp>3/26/2019</stp>
        <stp>[Live Pricing.xlsm]Rate_History!R106C20</stp>
        <tr r="T106" s="49"/>
      </tp>
      <tp t="e">
        <v>#N/A</v>
        <stp/>
        <stp>##V3_BDHV12</stp>
        <stp>SFSW3 CMPN Curncy</stp>
        <stp>LAST_PRICE</stp>
        <stp>3/26/2019</stp>
        <stp>3/26/2019</stp>
        <stp>[Live Pricing.xlsm]Rate_History!R107C20</stp>
        <tr r="T107" s="49"/>
      </tp>
      <tp t="e">
        <v>#N/A</v>
        <stp/>
        <stp>##V3_BDHV12</stp>
        <stp>SFSW8 CMPN Curncy</stp>
        <stp>LAST_PRICE</stp>
        <stp>3/26/2019</stp>
        <stp>3/26/2019</stp>
        <stp>[Live Pricing.xlsm]Rate_History!R112C20</stp>
        <tr r="T112" s="49"/>
      </tp>
      <tp t="e">
        <v>#N/A</v>
        <stp/>
        <stp>##V3_BDHV12</stp>
        <stp>SFSW9 CMPN Curncy</stp>
        <stp>LAST_PRICE</stp>
        <stp>3/26/2019</stp>
        <stp>3/26/2019</stp>
        <stp>[Live Pricing.xlsm]Rate_History!R113C20</stp>
        <tr r="T113" s="49"/>
      </tp>
      <tp t="e">
        <v>#N/A</v>
        <stp/>
        <stp>##V3_BDHV12</stp>
        <stp>SFSW6 CMPN Curncy</stp>
        <stp>LAST_PRICE</stp>
        <stp>3/26/2019</stp>
        <stp>3/26/2019</stp>
        <stp>[Live Pricing.xlsm]Rate_History!R110C20</stp>
        <tr r="T110" s="49"/>
      </tp>
      <tp t="e">
        <v>#N/A</v>
        <stp/>
        <stp>##V3_BDHV12</stp>
        <stp>SFSW7 CMPN Curncy</stp>
        <stp>LAST_PRICE</stp>
        <stp>3/26/2019</stp>
        <stp>3/26/2019</stp>
        <stp>[Live Pricing.xlsm]Rate_History!R111C20</stp>
        <tr r="T111" s="49"/>
      </tp>
      <tp t="e">
        <v>#N/A</v>
        <stp/>
        <stp>##V3_BDHV12</stp>
        <stp>USSW11 Index</stp>
        <stp>PX_LAST</stp>
        <stp>3/26/2019</stp>
        <stp>3/26/2019</stp>
        <stp>[Live Pricing.xlsm]FX_Curve_History!R15C6</stp>
        <tr r="F15" s="50"/>
      </tp>
      <tp t="e">
        <v>#N/A</v>
        <stp/>
        <stp>##V3_BDHV12</stp>
        <stp>USSW40 Index</stp>
        <stp>PX_LAST</stp>
        <stp>3/26/2019</stp>
        <stp>3/26/2019</stp>
        <stp>[Live Pricing.xlsm]FX_Curve_History!R25C6</stp>
        <tr r="F25" s="50"/>
      </tp>
      <tp t="e">
        <v>#N/A</v>
        <stp/>
        <stp>##V3_BDHV12</stp>
        <stp>JYSW40 Index</stp>
        <stp>PX_LAST</stp>
        <stp>3/26/2019</stp>
        <stp>3/26/2019</stp>
        <stp>[Live Pricing.xlsm]FX_Curve_History!R75C6</stp>
        <tr r="F75" s="50"/>
      </tp>
      <tp t="e">
        <v>#N/A</v>
        <stp/>
        <stp>##V3_BDHV12</stp>
        <stp>JYSW11 Index</stp>
        <stp>PX_LAST</stp>
        <stp>3/26/2019</stp>
        <stp>3/26/2019</stp>
        <stp>[Live Pricing.xlsm]FX_Curve_History!R65C6</stp>
        <tr r="F65" s="50"/>
      </tp>
      <tp t="e">
        <v>#N/A</v>
        <stp/>
        <stp>##V3_BDPV12</stp>
        <stp>SFSW30 Index</stp>
        <stp>PX_LAST</stp>
        <stp>[Live Pricing.xlsm]Rate_Live!R122C6</stp>
        <tr r="F122" s="39"/>
      </tp>
      <tp t="e">
        <v>#N/A</v>
        <stp/>
        <stp>##V3_BDHV12</stp>
        <stp>BPSW16 Index</stp>
        <stp>PX_LAST</stp>
        <stp>3/26/2019</stp>
        <stp>3/26/2019</stp>
        <stp>[Live Pricing.xlsm]FX_Curve_History!R95C6</stp>
        <tr r="F95" s="50"/>
      </tp>
      <tp t="e">
        <v>#N/A</v>
        <stp/>
        <stp>##V3_BDPV12</stp>
        <stp>BAH0 Comdty</stp>
        <stp>PX_LAST</stp>
        <stp>[Live Pricing.xlsm]Rate_Live!R134C4</stp>
        <tr r="D134" s="39"/>
      </tp>
      <tp t="e">
        <v>#N/A</v>
        <stp/>
        <stp>##V3_BDPV12</stp>
        <stp>ESH0 Comdty</stp>
        <stp>PX_LAST</stp>
        <stp>[Live Pricing.xlsm]Rate_Live!R113C4</stp>
        <tr r="D113" s="39"/>
      </tp>
      <tp t="e">
        <v>#N/A</v>
        <stp/>
        <stp>##V3_BDPV12</stp>
        <stp>SFSW2 Index</stp>
        <stp>PX_LAST</stp>
        <stp>[Live Pricing.xlsm]Rate_Live!R106C6</stp>
        <tr r="F106" s="39"/>
      </tp>
      <tp t="e">
        <v>#N/A</v>
        <stp/>
        <stp>##V3_BDPV12</stp>
        <stp>SFSW3 Index</stp>
        <stp>PX_LAST</stp>
        <stp>[Live Pricing.xlsm]Rate_Live!R107C6</stp>
        <tr r="F107" s="39"/>
      </tp>
      <tp t="e">
        <v>#N/A</v>
        <stp/>
        <stp>##V3_BDPV12</stp>
        <stp>CLSWIB3 Index</stp>
        <stp>PX_LAST</stp>
        <stp>[Live Pricing.xlsm]FX_Curve_Live!R182C6</stp>
        <tr r="F182" s="42"/>
      </tp>
      <tp t="e">
        <v>#N/A</v>
        <stp/>
        <stp>##V3_BDPV12</stp>
        <stp>CLSWIB5 Index</stp>
        <stp>PX_LAST</stp>
        <stp>[Live Pricing.xlsm]FX_Curve_Live!R184C6</stp>
        <tr r="F184" s="42"/>
      </tp>
      <tp t="e">
        <v>#N/A</v>
        <stp/>
        <stp>##V3_BDPV12</stp>
        <stp>CLSWIB7 Index</stp>
        <stp>PX_LAST</stp>
        <stp>[Live Pricing.xlsm]FX_Curve_Live!R186C6</stp>
        <tr r="F186" s="42"/>
      </tp>
      <tp t="e">
        <v>#N/A</v>
        <stp/>
        <stp>##V3_BDPV12</stp>
        <stp>CLSWIB9 Index</stp>
        <stp>PX_LAST</stp>
        <stp>[Live Pricing.xlsm]FX_Curve_Live!R188C6</stp>
        <tr r="F188" s="42"/>
      </tp>
      <tp t="e">
        <v>#N/A</v>
        <stp/>
        <stp>##V3_BDHV12</stp>
        <stp>EUSA5 Index</stp>
        <stp>PX_LAST</stp>
        <stp>3/26/2019</stp>
        <stp>3/26/2019</stp>
        <stp>[Live Pricing.xlsm]FX_Curve_History!R34C6</stp>
        <tr r="F34" s="50"/>
      </tp>
      <tp t="e">
        <v>#N/A</v>
        <stp/>
        <stp>##V3_BDHV12</stp>
        <stp>EUNZ203 ICPL Curncy</stp>
        <stp>PX_LAST</stp>
        <stp>3/26/2019</stp>
        <stp>3/26/2019</stp>
        <stp>[Live Pricing.xlsm]Vol_Surface!R26C10</stp>
        <tr r="J26" s="53"/>
      </tp>
      <tp t="e">
        <v>#N/A</v>
        <stp/>
        <stp>##V3_BDHV12</stp>
        <stp>EUNZ303 ICPL Curncy</stp>
        <stp>PX_LAST</stp>
        <stp>3/26/2019</stp>
        <stp>3/26/2019</stp>
        <stp>[Live Pricing.xlsm]Vol_Surface!R26C11</stp>
        <tr r="K26" s="53"/>
      </tp>
      <tp t="e">
        <v>#N/A</v>
        <stp/>
        <stp>##V3_BDHV12</stp>
        <stp>EUNZ503 ICPL Curncy</stp>
        <stp>PX_LAST</stp>
        <stp>3/26/2019</stp>
        <stp>3/26/2019</stp>
        <stp>[Live Pricing.xlsm]Vol_Surface!R26C12</stp>
        <tr r="L26" s="53"/>
      </tp>
      <tp t="e">
        <v>#N/A</v>
        <stp/>
        <stp>##V3_BDHV12</stp>
        <stp>ESM9 Comdty</stp>
        <stp>PX_LAST</stp>
        <stp>3/26/2019</stp>
        <stp>3/26/2019</stp>
        <stp>[Live Pricing.xlsm]FX_Curve_History!R109C4</stp>
        <tr r="D109" s="50"/>
      </tp>
      <tp t="e">
        <v>#N/A</v>
        <stp/>
        <stp>##V3_BDHV12</stp>
        <stp>EDU9 Comdty</stp>
        <stp>PX_LAST</stp>
        <stp>3/26/2019</stp>
        <stp>3/26/2019</stp>
        <stp>[Live Pricing.xlsm]Rate_History!R7C4</stp>
        <tr r="D7" s="49"/>
      </tp>
      <tp t="e">
        <v>#N/A</v>
        <stp/>
        <stp>##V3_BDHV12</stp>
        <stp>BPSW5 Index</stp>
        <stp>PX_LAST</stp>
        <stp>3/26/2019</stp>
        <stp>3/26/2019</stp>
        <stp>[Live Pricing.xlsm]FX_Curve_History!R84C6</stp>
        <tr r="F84" s="50"/>
      </tp>
      <tp t="e">
        <v>#N/A</v>
        <stp/>
        <stp>##V3_BDHV12</stp>
        <stp>USONH12 ICPL curncy</stp>
        <stp>PX_LAST</stp>
        <stp>3/26/2019</stp>
        <stp>3/26/2019</stp>
        <stp>[Live Pricing.xlsm]Vol_Surface!R11C10</stp>
        <tr r="J11" s="53"/>
      </tp>
      <tp t="e">
        <v>#N/A</v>
        <stp/>
        <stp>##V3_BDHV12</stp>
        <stp>USONI12 ICPL curncy</stp>
        <stp>PX_LAST</stp>
        <stp>3/26/2019</stp>
        <stp>3/26/2019</stp>
        <stp>[Live Pricing.xlsm]Vol_Surface!R11C11</stp>
        <tr r="K11" s="53"/>
      </tp>
      <tp t="e">
        <v>#N/A</v>
        <stp/>
        <stp>##V3_BDHV12</stp>
        <stp>USONJ12 ICPL curncy</stp>
        <stp>PX_LAST</stp>
        <stp>3/26/2019</stp>
        <stp>3/26/2019</stp>
        <stp>[Live Pricing.xlsm]Vol_Surface!R11C12</stp>
        <tr r="L11" s="53"/>
      </tp>
      <tp t="e">
        <v>#N/A</v>
        <stp/>
        <stp>##V3_BDHV12</stp>
        <stp>USONK12 ICPL curncy</stp>
        <stp>PX_LAST</stp>
        <stp>3/26/2019</stp>
        <stp>3/26/2019</stp>
        <stp>[Live Pricing.xlsm]Vol_Surface!R11C13</stp>
        <tr r="M11" s="53"/>
      </tp>
      <tp t="e">
        <v>#N/A</v>
        <stp/>
        <stp>##V3_BDPV12</stp>
        <stp>CDOR02 Index</stp>
        <stp>PX_LAST</stp>
        <stp>[Live Pricing.xlsm]Rate_Live!R133C2</stp>
        <tr r="B133" s="39"/>
      </tp>
      <tp t="e">
        <v>#N/A</v>
        <stp/>
        <stp>##V3_BDHV12</stp>
        <stp>USSW10 Index</stp>
        <stp>PX_LAST</stp>
        <stp>3/26/2019</stp>
        <stp>3/26/2019</stp>
        <stp>[Live Pricing.xlsm]FX_Curve_History!R14C6</stp>
        <tr r="F14" s="50"/>
      </tp>
      <tp t="e">
        <v>#N/A</v>
        <stp/>
        <stp>##V3_BDHV12</stp>
        <stp>USSW30 Index</stp>
        <stp>PX_LAST</stp>
        <stp>3/26/2019</stp>
        <stp>3/26/2019</stp>
        <stp>[Live Pricing.xlsm]FX_Curve_History!R24C6</stp>
        <tr r="F24" s="50"/>
      </tp>
      <tp t="e">
        <v>#N/A</v>
        <stp/>
        <stp>##V3_BDHV12</stp>
        <stp>JYSW30 Index</stp>
        <stp>PX_LAST</stp>
        <stp>3/26/2019</stp>
        <stp>3/26/2019</stp>
        <stp>[Live Pricing.xlsm]FX_Curve_History!R74C6</stp>
        <tr r="F74" s="50"/>
      </tp>
      <tp t="e">
        <v>#N/A</v>
        <stp/>
        <stp>##V3_BDHV12</stp>
        <stp>JYSW10 Index</stp>
        <stp>PX_LAST</stp>
        <stp>3/26/2019</stp>
        <stp>3/26/2019</stp>
        <stp>[Live Pricing.xlsm]FX_Curve_History!R64C6</stp>
        <tr r="F64" s="50"/>
      </tp>
      <tp t="e">
        <v>#N/A</v>
        <stp/>
        <stp>##V3_BDPV12</stp>
        <stp>SFSW40 Index</stp>
        <stp>PX_LAST</stp>
        <stp>[Live Pricing.xlsm]Rate_Live!R123C6</stp>
        <tr r="F123" s="39"/>
      </tp>
      <tp t="e">
        <v>#N/A</v>
        <stp/>
        <stp>##V3_BDHV12</stp>
        <stp>BPSW15 Index</stp>
        <stp>PX_LAST</stp>
        <stp>3/26/2019</stp>
        <stp>3/26/2019</stp>
        <stp>[Live Pricing.xlsm]FX_Curve_History!R94C6</stp>
        <tr r="F94" s="50"/>
      </tp>
      <tp t="e">
        <v>#N/A</v>
        <stp/>
        <stp>##V3_BDPV12</stp>
        <stp>BAM0 Comdty</stp>
        <stp>PX_LAST</stp>
        <stp>[Live Pricing.xlsm]Rate_Live!R135C4</stp>
        <tr r="D135" s="39"/>
      </tp>
      <tp t="e">
        <v>#N/A</v>
        <stp/>
        <stp>##V3_BDPV12</stp>
        <stp>ESZ0 Comdty</stp>
        <stp>PX_LAST</stp>
        <stp>[Live Pricing.xlsm]Rate_Live!R112C4</stp>
        <tr r="D112" s="39"/>
      </tp>
      <tp t="e">
        <v>#N/A</v>
        <stp/>
        <stp>##V3_BDHV12</stp>
        <stp>EUSA4 Index</stp>
        <stp>PX_LAST</stp>
        <stp>3/26/2019</stp>
        <stp>3/26/2019</stp>
        <stp>[Live Pricing.xlsm]FX_Curve_History!R33C6</stp>
        <tr r="F33" s="50"/>
      </tp>
      <tp t="e">
        <v>#N/A</v>
        <stp/>
        <stp>##V3_BDHV12</stp>
        <stp>BAH0 Comdty</stp>
        <stp>PX_LAST</stp>
        <stp>3/26/2019</stp>
        <stp>3/26/2019</stp>
        <stp>[Live Pricing.xlsm]FX_Curve_History!R137C4</stp>
        <tr r="D137" s="50"/>
      </tp>
      <tp t="e">
        <v>#N/A</v>
        <stp/>
        <stp>##V3_BDHV12</stp>
        <stp>EUNZ204 ICPL Curncy</stp>
        <stp>PX_LAST</stp>
        <stp>3/26/2019</stp>
        <stp>3/26/2019</stp>
        <stp>[Live Pricing.xlsm]Vol_Surface!R27C10</stp>
        <tr r="J27" s="53"/>
      </tp>
      <tp t="e">
        <v>#N/A</v>
        <stp/>
        <stp>##V3_BDHV12</stp>
        <stp>EUNZ304 ICPL Curncy</stp>
        <stp>PX_LAST</stp>
        <stp>3/26/2019</stp>
        <stp>3/26/2019</stp>
        <stp>[Live Pricing.xlsm]Vol_Surface!R27C11</stp>
        <tr r="K27" s="53"/>
      </tp>
      <tp t="e">
        <v>#N/A</v>
        <stp/>
        <stp>##V3_BDHV12</stp>
        <stp>EUNZ504 ICPL Curncy</stp>
        <stp>PX_LAST</stp>
        <stp>3/26/2019</stp>
        <stp>3/26/2019</stp>
        <stp>[Live Pricing.xlsm]Vol_Surface!R27C12</stp>
        <tr r="L27" s="53"/>
      </tp>
      <tp t="e">
        <v>#N/A</v>
        <stp/>
        <stp>##V3_BDHV12</stp>
        <stp>BPSW4 Index</stp>
        <stp>PX_LAST</stp>
        <stp>3/26/2019</stp>
        <stp>3/26/2019</stp>
        <stp>[Live Pricing.xlsm]FX_Curve_History!R83C6</stp>
        <tr r="F83" s="50"/>
      </tp>
      <tp t="e">
        <v>#N/A</v>
        <stp/>
        <stp>##V3_BDHV12</stp>
        <stp>JYSW9 Index</stp>
        <stp>PX_LAST</stp>
        <stp>3/26/2019</stp>
        <stp>3/26/2019</stp>
        <stp>[Live Pricing.xlsm]FX_Curve_History!R63C6</stp>
        <tr r="F63" s="50"/>
      </tp>
      <tp t="e">
        <v>#N/A</v>
        <stp/>
        <stp>##V3_BDHV12</stp>
        <stp>USONH15 ICPL curncy</stp>
        <stp>PX_LAST</stp>
        <stp>3/26/2019</stp>
        <stp>3/26/2019</stp>
        <stp>[Live Pricing.xlsm]Vol_Surface!R12C10</stp>
        <tr r="J12" s="53"/>
      </tp>
      <tp t="e">
        <v>#N/A</v>
        <stp/>
        <stp>##V3_BDHV12</stp>
        <stp>USONI15 ICPL curncy</stp>
        <stp>PX_LAST</stp>
        <stp>3/26/2019</stp>
        <stp>3/26/2019</stp>
        <stp>[Live Pricing.xlsm]Vol_Surface!R12C11</stp>
        <tr r="K12" s="53"/>
      </tp>
      <tp t="e">
        <v>#N/A</v>
        <stp/>
        <stp>##V3_BDHV12</stp>
        <stp>USONJ15 ICPL curncy</stp>
        <stp>PX_LAST</stp>
        <stp>3/26/2019</stp>
        <stp>3/26/2019</stp>
        <stp>[Live Pricing.xlsm]Vol_Surface!R12C12</stp>
        <tr r="L12" s="53"/>
      </tp>
      <tp t="e">
        <v>#N/A</v>
        <stp/>
        <stp>##V3_BDHV12</stp>
        <stp>USONK15 ICPL curncy</stp>
        <stp>PX_LAST</stp>
        <stp>3/26/2019</stp>
        <stp>3/26/2019</stp>
        <stp>[Live Pricing.xlsm]Vol_Surface!R12C13</stp>
        <tr r="M12" s="53"/>
      </tp>
      <tp t="e">
        <v>#N/A</v>
        <stp/>
        <stp>##V3_BDHV12</stp>
        <stp>USSW9 Index</stp>
        <stp>PX_LAST</stp>
        <stp>3/26/2019</stp>
        <stp>3/26/2019</stp>
        <stp>[Live Pricing.xlsm]FX_Curve_History!R13C6</stp>
        <tr r="F13" s="50"/>
      </tp>
      <tp t="e">
        <v>#N/A</v>
        <stp/>
        <stp>##V3_BDHV12</stp>
        <stp>USSW25 Index</stp>
        <stp>PX_LAST</stp>
        <stp>3/26/2019</stp>
        <stp>3/26/2019</stp>
        <stp>[Live Pricing.xlsm]FX_Curve_History!R23C6</stp>
        <tr r="F23" s="50"/>
      </tp>
      <tp t="e">
        <v>#N/A</v>
        <stp/>
        <stp>##V3_BDHV12</stp>
        <stp>JYSW25 Index</stp>
        <stp>PX_LAST</stp>
        <stp>3/26/2019</stp>
        <stp>3/26/2019</stp>
        <stp>[Live Pricing.xlsm]FX_Curve_History!R73C6</stp>
        <tr r="F73" s="50"/>
      </tp>
      <tp t="e">
        <v>#N/A</v>
        <stp/>
        <stp>##V3_BDPV12</stp>
        <stp>CDSW25 Index</stp>
        <stp>PX_LAST</stp>
        <stp>[Live Pricing.xlsm]Rate_Live!R143C6</stp>
        <tr r="F143" s="39"/>
      </tp>
      <tp t="e">
        <v>#N/A</v>
        <stp/>
        <stp>##V3_BDPV12</stp>
        <stp>SFSW10 Index</stp>
        <stp>PX_LAST</stp>
        <stp>[Live Pricing.xlsm]Rate_Live!R114C6</stp>
        <tr r="F114" s="39"/>
      </tp>
      <tp t="e">
        <v>#N/A</v>
        <stp/>
        <stp>##V3_BDPV12</stp>
        <stp>SFSW11 Index</stp>
        <stp>PX_LAST</stp>
        <stp>[Live Pricing.xlsm]Rate_Live!R115C6</stp>
        <tr r="F115" s="39"/>
      </tp>
      <tp t="e">
        <v>#N/A</v>
        <stp/>
        <stp>##V3_BDPV12</stp>
        <stp>SFSW12 Index</stp>
        <stp>PX_LAST</stp>
        <stp>[Live Pricing.xlsm]Rate_Live!R116C6</stp>
        <tr r="F116" s="39"/>
      </tp>
      <tp t="e">
        <v>#N/A</v>
        <stp/>
        <stp>##V3_BDPV12</stp>
        <stp>SFSW13 Index</stp>
        <stp>PX_LAST</stp>
        <stp>[Live Pricing.xlsm]Rate_Live!R117C6</stp>
        <tr r="F117" s="39"/>
      </tp>
      <tp t="e">
        <v>#N/A</v>
        <stp/>
        <stp>##V3_BDPV12</stp>
        <stp>SFSW25 Index</stp>
        <stp>PX_LAST</stp>
        <stp>[Live Pricing.xlsm]Rate_Live!R121C6</stp>
        <tr r="F121" s="39"/>
      </tp>
      <tp t="e">
        <v>#N/A</v>
        <stp/>
        <stp>##V3_BDHV12</stp>
        <stp>BPSW14 Index</stp>
        <stp>PX_LAST</stp>
        <stp>3/26/2019</stp>
        <stp>3/26/2019</stp>
        <stp>[Live Pricing.xlsm]FX_Curve_History!R93C6</stp>
        <tr r="F93" s="50"/>
      </tp>
      <tp t="e">
        <v>#N/A</v>
        <stp/>
        <stp>##V3_BDPV12</stp>
        <stp>BAU9 Comdty</stp>
        <stp>PX_LAST</stp>
        <stp>[Live Pricing.xlsm]Rate_Live!R132C4</stp>
        <tr r="D132" s="39"/>
      </tp>
      <tp t="e">
        <v>#N/A</v>
        <stp/>
        <stp>##V3_BDPV12</stp>
        <stp>CLSWIB1 Index</stp>
        <stp>PX_LAST</stp>
        <stp>[Live Pricing.xlsm]FX_Curve_Live!R186C2</stp>
        <tr r="B186" s="42"/>
      </tp>
      <tp t="e">
        <v>#N/A</v>
        <stp/>
        <stp>##V3_BDPV12</stp>
        <stp>CLSWIB4 Index</stp>
        <stp>PX_LAST</stp>
        <stp>[Live Pricing.xlsm]FX_Curve_Live!R183C6</stp>
        <tr r="F183" s="42"/>
      </tp>
      <tp t="e">
        <v>#N/A</v>
        <stp/>
        <stp>##V3_BDHV12</stp>
        <stp>EUSA3 Index</stp>
        <stp>PX_LAST</stp>
        <stp>3/26/2019</stp>
        <stp>3/26/2019</stp>
        <stp>[Live Pricing.xlsm]FX_Curve_History!R32C6</stp>
        <tr r="F32" s="50"/>
      </tp>
      <tp t="e">
        <v>#N/A</v>
        <stp/>
        <stp>##V3_BDHV12</stp>
        <stp>EUNZ205 ICPL Curncy</stp>
        <stp>PX_LAST</stp>
        <stp>3/26/2019</stp>
        <stp>3/26/2019</stp>
        <stp>[Live Pricing.xlsm]Vol_Surface!R28C10</stp>
        <tr r="J28" s="53"/>
      </tp>
      <tp t="e">
        <v>#N/A</v>
        <stp/>
        <stp>##V3_BDHV12</stp>
        <stp>EUNZ305 ICPL Curncy</stp>
        <stp>PX_LAST</stp>
        <stp>3/26/2019</stp>
        <stp>3/26/2019</stp>
        <stp>[Live Pricing.xlsm]Vol_Surface!R28C11</stp>
        <tr r="K28" s="53"/>
      </tp>
      <tp t="e">
        <v>#N/A</v>
        <stp/>
        <stp>##V3_BDHV12</stp>
        <stp>EUNZ505 ICPL Curncy</stp>
        <stp>PX_LAST</stp>
        <stp>3/26/2019</stp>
        <stp>3/26/2019</stp>
        <stp>[Live Pricing.xlsm]Vol_Surface!R28C12</stp>
        <tr r="L28" s="53"/>
      </tp>
      <tp t="e">
        <v>#N/A</v>
        <stp/>
        <stp>##V3_BDHV12</stp>
        <stp>JYSW8 Index</stp>
        <stp>PX_LAST</stp>
        <stp>3/26/2019</stp>
        <stp>3/26/2019</stp>
        <stp>[Live Pricing.xlsm]FX_Curve_History!R62C6</stp>
        <tr r="F62" s="50"/>
      </tp>
      <tp t="e">
        <v>#N/A</v>
        <stp/>
        <stp>##V3_BDHV12</stp>
        <stp>BPSW3 Index</stp>
        <stp>PX_LAST</stp>
        <stp>3/26/2019</stp>
        <stp>3/26/2019</stp>
        <stp>[Live Pricing.xlsm]FX_Curve_History!R82C6</stp>
        <tr r="F82" s="50"/>
      </tp>
      <tp t="e">
        <v>#N/A</v>
        <stp/>
        <stp>##V3_BDHV12</stp>
        <stp>USSW8 Index</stp>
        <stp>PX_LAST</stp>
        <stp>3/26/2019</stp>
        <stp>3/26/2019</stp>
        <stp>[Live Pricing.xlsm]FX_Curve_History!R12C6</stp>
        <tr r="F12" s="50"/>
      </tp>
      <tp t="e">
        <v>#N/A</v>
        <stp/>
        <stp>##V3_BDHV12</stp>
        <stp>EUNE515 ICPL Curncy</stp>
        <stp>PX_LAST</stp>
        <stp>3/26/2019</stp>
        <stp>3/26/2019</stp>
        <stp>[Live Pricing.xlsm]Vol_Surface!R72C12</stp>
        <tr r="L72" s="53"/>
      </tp>
      <tp t="e">
        <v>#N/A</v>
        <stp/>
        <stp>##V3_BDHV12</stp>
        <stp>EUNE325 ICPL Curncy</stp>
        <stp>PX_LAST</stp>
        <stp>3/26/2019</stp>
        <stp>3/26/2019</stp>
        <stp>[Live Pricing.xlsm]Vol_Surface!R70C14</stp>
        <tr r="N70" s="53"/>
      </tp>
      <tp t="e">
        <v>#N/A</v>
        <stp/>
        <stp>##V3_BDHV12</stp>
        <stp>EUNE225 ICPL Curncy</stp>
        <stp>PX_LAST</stp>
        <stp>3/26/2019</stp>
        <stp>3/26/2019</stp>
        <stp>[Live Pricing.xlsm]Vol_Surface!R69C14</stp>
        <tr r="N69" s="53"/>
      </tp>
      <tp t="e">
        <v>#N/A</v>
        <stp/>
        <stp>##V3_BDHV12</stp>
        <stp>EUNE415 ICPL Curncy</stp>
        <stp>PX_LAST</stp>
        <stp>3/26/2019</stp>
        <stp>3/26/2019</stp>
        <stp>[Live Pricing.xlsm]Vol_Surface!R71C12</stp>
        <tr r="L71" s="53"/>
      </tp>
      <tp t="e">
        <v>#N/A</v>
        <stp/>
        <stp>##V3_BDHV12</stp>
        <stp>EUNE125 ICPL Curncy</stp>
        <stp>PX_LAST</stp>
        <stp>3/26/2019</stp>
        <stp>3/26/2019</stp>
        <stp>[Live Pricing.xlsm]Vol_Surface!R68C14</stp>
        <tr r="N68" s="53"/>
      </tp>
      <tp t="e">
        <v>#N/A</v>
        <stp/>
        <stp>##V3_BDHV12</stp>
        <stp>EUNE115 ICPL Curncy</stp>
        <stp>PX_LAST</stp>
        <stp>3/26/2019</stp>
        <stp>3/26/2019</stp>
        <stp>[Live Pricing.xlsm]Vol_Surface!R68C12</stp>
        <tr r="L68" s="53"/>
      </tp>
      <tp t="e">
        <v>#N/A</v>
        <stp/>
        <stp>##V3_BDHV12</stp>
        <stp>EUNE315 ICPL Curncy</stp>
        <stp>PX_LAST</stp>
        <stp>3/26/2019</stp>
        <stp>3/26/2019</stp>
        <stp>[Live Pricing.xlsm]Vol_Surface!R70C12</stp>
        <tr r="L70" s="53"/>
      </tp>
      <tp t="e">
        <v>#N/A</v>
        <stp/>
        <stp>##V3_BDHV12</stp>
        <stp>EUNE525 ICPL Curncy</stp>
        <stp>PX_LAST</stp>
        <stp>3/26/2019</stp>
        <stp>3/26/2019</stp>
        <stp>[Live Pricing.xlsm]Vol_Surface!R72C14</stp>
        <tr r="N72" s="53"/>
      </tp>
      <tp t="e">
        <v>#N/A</v>
        <stp/>
        <stp>##V3_BDHV12</stp>
        <stp>EUNE215 ICPL Curncy</stp>
        <stp>PX_LAST</stp>
        <stp>3/26/2019</stp>
        <stp>3/26/2019</stp>
        <stp>[Live Pricing.xlsm]Vol_Surface!R69C12</stp>
        <tr r="L69" s="53"/>
      </tp>
      <tp t="e">
        <v>#N/A</v>
        <stp/>
        <stp>##V3_BDHV12</stp>
        <stp>EUNE425 ICPL Curncy</stp>
        <stp>PX_LAST</stp>
        <stp>3/26/2019</stp>
        <stp>3/26/2019</stp>
        <stp>[Live Pricing.xlsm]Vol_Surface!R71C14</stp>
        <tr r="N71" s="53"/>
      </tp>
      <tp t="e">
        <v>#N/A</v>
        <stp/>
        <stp>##V3_BDHV12</stp>
        <stp>EUNEC25 ICPL Curncy</stp>
        <stp>PX_LAST</stp>
        <stp>3/26/2019</stp>
        <stp>3/26/2019</stp>
        <stp>[Live Pricing.xlsm]Vol_Surface!R65C14</stp>
        <tr r="N65" s="53"/>
      </tp>
      <tp t="e">
        <v>#N/A</v>
        <stp/>
        <stp>##V3_BDHV12</stp>
        <stp>EUNEF15 ICPL Curncy</stp>
        <stp>PX_LAST</stp>
        <stp>3/26/2019</stp>
        <stp>3/26/2019</stp>
        <stp>[Live Pricing.xlsm]Vol_Surface!R66C12</stp>
        <tr r="L66" s="53"/>
      </tp>
      <tp t="e">
        <v>#N/A</v>
        <stp/>
        <stp>##V3_BDHV12</stp>
        <stp>EUNEA25 ICPL Curncy</stp>
        <stp>PX_LAST</stp>
        <stp>3/26/2019</stp>
        <stp>3/26/2019</stp>
        <stp>[Live Pricing.xlsm]Vol_Surface!R64C14</stp>
        <tr r="N64" s="53"/>
      </tp>
      <tp t="e">
        <v>#N/A</v>
        <stp/>
        <stp>##V3_BDHV12</stp>
        <stp>EUNEF25 ICPL Curncy</stp>
        <stp>PX_LAST</stp>
        <stp>3/26/2019</stp>
        <stp>3/26/2019</stp>
        <stp>[Live Pricing.xlsm]Vol_Surface!R66C14</stp>
        <tr r="N66" s="53"/>
      </tp>
      <tp t="e">
        <v>#N/A</v>
        <stp/>
        <stp>##V3_BDHV12</stp>
        <stp>EUNEA15 ICPL Curncy</stp>
        <stp>PX_LAST</stp>
        <stp>3/26/2019</stp>
        <stp>3/26/2019</stp>
        <stp>[Live Pricing.xlsm]Vol_Surface!R64C12</stp>
        <tr r="L64" s="53"/>
      </tp>
      <tp t="e">
        <v>#N/A</v>
        <stp/>
        <stp>##V3_BDHV12</stp>
        <stp>EUNEC15 ICPL Curncy</stp>
        <stp>PX_LAST</stp>
        <stp>3/26/2019</stp>
        <stp>3/26/2019</stp>
        <stp>[Live Pricing.xlsm]Vol_Surface!R65C12</stp>
        <tr r="L65" s="53"/>
      </tp>
      <tp t="e">
        <v>#N/A</v>
        <stp/>
        <stp>##V3_BDHV12</stp>
        <stp>EUNEI25 ICPL Curncy</stp>
        <stp>PX_LAST</stp>
        <stp>3/26/2019</stp>
        <stp>3/26/2019</stp>
        <stp>[Live Pricing.xlsm]Vol_Surface!R67C14</stp>
        <tr r="N67" s="53"/>
      </tp>
      <tp t="e">
        <v>#N/A</v>
        <stp/>
        <stp>##V3_BDHV12</stp>
        <stp>EUNEI15 ICPL Curncy</stp>
        <stp>PX_LAST</stp>
        <stp>3/26/2019</stp>
        <stp>3/26/2019</stp>
        <stp>[Live Pricing.xlsm]Vol_Surface!R67C12</stp>
        <tr r="L67" s="53"/>
      </tp>
      <tp t="e">
        <v>#N/A</v>
        <stp/>
        <stp>##V3_BDPV12</stp>
        <stp>CDOR03 Index</stp>
        <stp>PX_LAST</stp>
        <stp>[Live Pricing.xlsm]Rate_Live!R134C2</stp>
        <tr r="B134" s="39"/>
      </tp>
      <tp t="e">
        <v>#N/A</v>
        <stp/>
        <stp>##V3_BDHV12</stp>
        <stp>JY00S/N Index</stp>
        <stp>PX_LAST</stp>
        <stp>3/26/2019</stp>
        <stp>3/26/2019</stp>
        <stp>[Live Pricing.xlsm]FX_Curve_History!R56C2</stp>
        <tr r="B56" s="50"/>
      </tp>
      <tp t="e">
        <v>#N/A</v>
        <stp/>
        <stp>##V3_BDHV12</stp>
        <stp>USSW20 Index</stp>
        <stp>PX_LAST</stp>
        <stp>3/26/2019</stp>
        <stp>3/26/2019</stp>
        <stp>[Live Pricing.xlsm]FX_Curve_History!R22C6</stp>
        <tr r="F22" s="50"/>
      </tp>
      <tp t="e">
        <v>#N/A</v>
        <stp/>
        <stp>##V3_BDHV12</stp>
        <stp>JYSW20 Index</stp>
        <stp>PX_LAST</stp>
        <stp>3/26/2019</stp>
        <stp>3/26/2019</stp>
        <stp>[Live Pricing.xlsm]FX_Curve_History!R72C6</stp>
        <tr r="F72" s="50"/>
      </tp>
      <tp t="e">
        <v>#N/A</v>
        <stp/>
        <stp>##V3_BDHV12</stp>
        <stp>BPSW13 Index</stp>
        <stp>PX_LAST</stp>
        <stp>3/26/2019</stp>
        <stp>3/26/2019</stp>
        <stp>[Live Pricing.xlsm]FX_Curve_History!R92C6</stp>
        <tr r="F92" s="50"/>
      </tp>
      <tp t="e">
        <v>#N/A</v>
        <stp/>
        <stp>##V3_BDPV12</stp>
        <stp>BAZ9 Comdty</stp>
        <stp>PX_LAST</stp>
        <stp>[Live Pricing.xlsm]Rate_Live!R133C4</stp>
        <tr r="D133" s="39"/>
      </tp>
      <tp t="e">
        <v>#N/A</v>
        <stp/>
        <stp>##V3_BDHV12</stp>
        <stp>EUSA2 Index</stp>
        <stp>PX_LAST</stp>
        <stp>3/26/2019</stp>
        <stp>3/26/2019</stp>
        <stp>[Live Pricing.xlsm]FX_Curve_History!R31C6</stp>
        <tr r="F31" s="50"/>
      </tp>
      <tp t="e">
        <v>#N/A</v>
        <stp/>
        <stp>##V3_BDHV12</stp>
        <stp>CDSW10 Index</stp>
        <stp>PX_LAST</stp>
        <stp>3/26/2019</stp>
        <stp>3/26/2019</stp>
        <stp>[Live Pricing.xlsm]FX_Curve_History!R139C6</stp>
        <tr r="F139" s="50"/>
      </tp>
      <tp t="e">
        <v>#N/A</v>
        <stp/>
        <stp>##V3_BDHV12</stp>
        <stp>BPSW2 Index</stp>
        <stp>PX_LAST</stp>
        <stp>3/26/2019</stp>
        <stp>3/26/2019</stp>
        <stp>[Live Pricing.xlsm]FX_Curve_History!R81C6</stp>
        <tr r="F81" s="50"/>
      </tp>
      <tp t="e">
        <v>#N/A</v>
        <stp/>
        <stp>##V3_BDHV12</stp>
        <stp>JYSW7 Index</stp>
        <stp>PX_LAST</stp>
        <stp>3/26/2019</stp>
        <stp>3/26/2019</stp>
        <stp>[Live Pricing.xlsm]FX_Curve_History!R61C6</stp>
        <tr r="F61" s="50"/>
      </tp>
      <tp t="e">
        <v>#N/A</v>
        <stp/>
        <stp>##V3_BDHV12</stp>
        <stp>USSW7 Index</stp>
        <stp>PX_LAST</stp>
        <stp>3/26/2019</stp>
        <stp>3/26/2019</stp>
        <stp>[Live Pricing.xlsm]FX_Curve_History!R11C6</stp>
        <tr r="F11" s="50"/>
      </tp>
      <tp t="e">
        <v>#N/A</v>
        <stp/>
        <stp>##V3_BDPV12</stp>
        <stp>CDOR12 Index</stp>
        <stp>PX_LAST</stp>
        <stp>[Live Pricing.xlsm]Rate_Live!R136C2</stp>
        <tr r="B136" s="39"/>
      </tp>
      <tp t="e">
        <v>#N/A</v>
        <stp/>
        <stp>##V3_BDHV12</stp>
        <stp>USSW17 Index</stp>
        <stp>PX_LAST</stp>
        <stp>3/26/2019</stp>
        <stp>3/26/2019</stp>
        <stp>[Live Pricing.xlsm]FX_Curve_History!R21C6</stp>
        <tr r="F21" s="50"/>
        <tr r="F21" s="50"/>
      </tp>
      <tp t="e">
        <v>#N/A</v>
        <stp/>
        <stp>##V3_BDHV12</stp>
        <stp>JYSW17 Index</stp>
        <stp>PX_LAST</stp>
        <stp>3/26/2019</stp>
        <stp>3/26/2019</stp>
        <stp>[Live Pricing.xlsm]FX_Curve_History!R71C6</stp>
        <tr r="F71" s="50"/>
      </tp>
      <tp t="e">
        <v>#N/A</v>
        <stp/>
        <stp>##V3_BDPV12</stp>
        <stp>CDSW15 Index</stp>
        <stp>PX_LAST</stp>
        <stp>[Live Pricing.xlsm]Rate_Live!R141C6</stp>
        <tr r="F141" s="39"/>
      </tp>
      <tp t="e">
        <v>#N/A</v>
        <stp/>
        <stp>##V3_BDPV12</stp>
        <stp>CDSW30 Index</stp>
        <stp>PX_LAST</stp>
        <stp>[Live Pricing.xlsm]Rate_Live!R144C6</stp>
        <tr r="F144" s="39"/>
      </tp>
      <tp t="e">
        <v>#N/A</v>
        <stp/>
        <stp>##V3_BDHV12</stp>
        <stp>BPSW12 Index</stp>
        <stp>PX_LAST</stp>
        <stp>3/26/2019</stp>
        <stp>3/26/2019</stp>
        <stp>[Live Pricing.xlsm]FX_Curve_History!R91C6</stp>
        <tr r="F91" s="50"/>
      </tp>
      <tp t="e">
        <v>#N/A</v>
        <stp/>
        <stp>##V3_BDPV12</stp>
        <stp>ESU9 Comdty</stp>
        <stp>PX_LAST</stp>
        <stp>[Live Pricing.xlsm]Rate_Live!R107C4</stp>
        <tr r="D107" s="39"/>
      </tp>
      <tp t="e">
        <v>#N/A</v>
        <stp/>
        <stp>##V3_BDHV12</stp>
        <stp>EUNZ207 ICPL Curncy</stp>
        <stp>PX_LAST</stp>
        <stp>3/26/2019</stp>
        <stp>3/26/2019</stp>
        <stp>[Live Pricing.xlsm]Vol_Surface!R29C10</stp>
        <tr r="J29" s="53"/>
      </tp>
      <tp t="e">
        <v>#N/A</v>
        <stp/>
        <stp>##V3_BDHV12</stp>
        <stp>EUNZ307 ICPL Curncy</stp>
        <stp>PX_LAST</stp>
        <stp>3/26/2019</stp>
        <stp>3/26/2019</stp>
        <stp>[Live Pricing.xlsm]Vol_Surface!R29C11</stp>
        <tr r="K29" s="53"/>
      </tp>
      <tp t="e">
        <v>#N/A</v>
        <stp/>
        <stp>##V3_BDHV12</stp>
        <stp>EUNZ507 ICPL Curncy</stp>
        <stp>PX_LAST</stp>
        <stp>3/26/2019</stp>
        <stp>3/26/2019</stp>
        <stp>[Live Pricing.xlsm]Vol_Surface!R29C12</stp>
        <tr r="L29" s="53"/>
      </tp>
      <tp t="e">
        <v>#N/A</v>
        <stp/>
        <stp>##V3_BDHV12</stp>
        <stp>JYSW6 Index</stp>
        <stp>PX_LAST</stp>
        <stp>3/26/2019</stp>
        <stp>3/26/2019</stp>
        <stp>[Live Pricing.xlsm]FX_Curve_History!R60C6</stp>
        <tr r="F60" s="50"/>
      </tp>
      <tp t="e">
        <v>#N/A</v>
        <stp/>
        <stp>##V3_BDHV12</stp>
        <stp>USSW6 Index</stp>
        <stp>PX_LAST</stp>
        <stp>3/26/2019</stp>
        <stp>3/26/2019</stp>
        <stp>[Live Pricing.xlsm]FX_Curve_History!R10C6</stp>
        <tr r="F10" s="50"/>
      </tp>
      <tp t="e">
        <v>#N/A</v>
        <stp/>
        <stp>##V3_BDHV12</stp>
        <stp>USSW16 Index</stp>
        <stp>PX_LAST</stp>
        <stp>3/26/2019</stp>
        <stp>3/26/2019</stp>
        <stp>[Live Pricing.xlsm]FX_Curve_History!R20C6</stp>
        <tr r="F20" s="50"/>
        <tr r="F20" s="50"/>
      </tp>
      <tp t="e">
        <v>#N/A</v>
        <stp/>
        <stp>##V3_BDHV12</stp>
        <stp>JYSW16 Index</stp>
        <stp>PX_LAST</stp>
        <stp>3/26/2019</stp>
        <stp>3/26/2019</stp>
        <stp>[Live Pricing.xlsm]FX_Curve_History!R70C6</stp>
        <tr r="F70" s="50"/>
      </tp>
      <tp t="e">
        <v>#N/A</v>
        <stp/>
        <stp>##V3_BDPV12</stp>
        <stp>CDSW40 Index</stp>
        <stp>PX_LAST</stp>
        <stp>[Live Pricing.xlsm]Rate_Live!R145C6</stp>
        <tr r="F145" s="39"/>
      </tp>
      <tp t="e">
        <v>#N/A</v>
        <stp/>
        <stp>##V3_BDHV12</stp>
        <stp>BPSW11 Index</stp>
        <stp>PX_LAST</stp>
        <stp>3/26/2019</stp>
        <stp>3/26/2019</stp>
        <stp>[Live Pricing.xlsm]FX_Curve_History!R90C6</stp>
        <tr r="F90" s="50"/>
      </tp>
      <tp t="e">
        <v>#N/A</v>
        <stp/>
        <stp>##V3_BDPV12</stp>
        <stp>BAM9 Comdty</stp>
        <stp>PX_LAST</stp>
        <stp>[Live Pricing.xlsm]Rate_Live!R131C4</stp>
        <tr r="D131" s="39"/>
        <tr r="D131" s="39"/>
      </tp>
      <tp t="e">
        <v>#N/A</v>
        <stp/>
        <stp>##V3_BDPV12</stp>
        <stp>ESM9 Comdty</stp>
        <stp>PX_LAST</stp>
        <stp>[Live Pricing.xlsm]Rate_Live!R106C4</stp>
        <tr r="D106" s="39"/>
        <tr r="D106" s="39"/>
      </tp>
      <tp t="e">
        <v>#N/A</v>
        <stp/>
        <stp>##V3_BDHV12</stp>
        <stp>HASWDI1Y CMPN Curncy</stp>
        <stp>Close</stp>
        <stp>03/26/2019 11:15:00</stp>
        <stp>03/26/2019 11:16:00</stp>
        <stp>[Live Pricing.xlsm]Rate_History!R156C18</stp>
        <stp>BarType</stp>
        <stp>T</stp>
        <stp>Dir=V</stp>
        <tr r="R156" s="49"/>
      </tp>
      <tp t="e">
        <v>#N/A</v>
        <stp/>
        <stp>##V3_BDHV12</stp>
        <stp>HASWDI2Y CMPN Curncy</stp>
        <stp>Close</stp>
        <stp>03/26/2019 11:15:00</stp>
        <stp>03/26/2019 11:16:00</stp>
        <stp>[Live Pricing.xlsm]Rate_History!R157C18</stp>
        <stp>BarType</stp>
        <stp>T</stp>
        <stp>Dir=V</stp>
        <tr r="R157" s="49"/>
      </tp>
      <tp t="e">
        <v>#N/A</v>
        <stp/>
        <stp>##V3_BDHV12</stp>
        <stp>HASWDI3Y CMPN Curncy</stp>
        <stp>Close</stp>
        <stp>03/26/2019 11:15:00</stp>
        <stp>03/26/2019 11:16:00</stp>
        <stp>[Live Pricing.xlsm]Rate_History!R158C18</stp>
        <stp>BarType</stp>
        <stp>T</stp>
        <stp>Dir=V</stp>
        <tr r="R158" s="49"/>
      </tp>
      <tp t="e">
        <v>#N/A</v>
        <stp/>
        <stp>##V3_BDHV12</stp>
        <stp>HASWDI4Y CMPN Curncy</stp>
        <stp>Close</stp>
        <stp>03/26/2019 11:15:00</stp>
        <stp>03/26/2019 11:16:00</stp>
        <stp>[Live Pricing.xlsm]Rate_History!R159C18</stp>
        <stp>BarType</stp>
        <stp>T</stp>
        <stp>Dir=V</stp>
        <tr r="R159" s="49"/>
      </tp>
      <tp t="e">
        <v>#N/A</v>
        <stp/>
        <stp>##V3_BDHV12</stp>
        <stp>HASWDI6Y CMPN Curncy</stp>
        <stp>Close</stp>
        <stp>03/26/2019 11:15:00</stp>
        <stp>03/26/2019 11:16:00</stp>
        <stp>[Live Pricing.xlsm]Rate_History!R161C18</stp>
        <stp>BarType</stp>
        <stp>T</stp>
        <stp>Dir=V</stp>
        <tr r="R161" s="49"/>
      </tp>
      <tp t="e">
        <v>#N/A</v>
        <stp/>
        <stp>##V3_BDHV12</stp>
        <stp>HASWDI5Y CMPN Curncy</stp>
        <stp>Close</stp>
        <stp>03/26/2019 11:15:00</stp>
        <stp>03/26/2019 11:16:00</stp>
        <stp>[Live Pricing.xlsm]Rate_History!R160C18</stp>
        <stp>BarType</stp>
        <stp>T</stp>
        <stp>Dir=V</stp>
        <tr r="R160" s="49"/>
      </tp>
      <tp t="e">
        <v>#N/A</v>
        <stp/>
        <stp>##V3_BDHV12</stp>
        <stp>HASWDI7Y CMPN Curncy</stp>
        <stp>Close</stp>
        <stp>03/26/2019 11:15:00</stp>
        <stp>03/26/2019 11:16:00</stp>
        <stp>[Live Pricing.xlsm]Rate_History!R162C18</stp>
        <stp>BarType</stp>
        <stp>T</stp>
        <stp>Dir=V</stp>
        <tr r="R162" s="49"/>
      </tp>
      <tp t="e">
        <v>#N/A</v>
        <stp/>
        <stp>##V3_BDHV12</stp>
        <stp>HASWDI8Y CMPN Curncy</stp>
        <stp>Close</stp>
        <stp>03/26/2019 11:15:00</stp>
        <stp>03/26/2019 11:16:00</stp>
        <stp>[Live Pricing.xlsm]Rate_History!R163C18</stp>
        <stp>BarType</stp>
        <stp>T</stp>
        <stp>Dir=V</stp>
        <tr r="R163" s="49"/>
      </tp>
      <tp t="e">
        <v>#N/A</v>
        <stp/>
        <stp>##V3_BDHV12</stp>
        <stp>HASWDI9Y CMPN Curncy</stp>
        <stp>Close</stp>
        <stp>03/26/2019 11:15:00</stp>
        <stp>03/26/2019 11:16:00</stp>
        <stp>[Live Pricing.xlsm]Rate_History!R164C18</stp>
        <stp>BarType</stp>
        <stp>T</stp>
        <stp>Dir=V</stp>
        <tr r="R164" s="49"/>
      </tp>
      <tp t="e">
        <v>#N/A</v>
        <stp/>
        <stp>##V3_BDHV12</stp>
        <stp>CLSWIBC Index</stp>
        <stp>PX_LAST</stp>
        <stp>3/26/2019</stp>
        <stp>3/26/2019</stp>
        <stp>[Live Pricing.xlsm]Rate_History!R184C2</stp>
        <tr r="B184" s="49"/>
        <tr r="B184" s="49"/>
      </tp>
      <tp t="e">
        <v>#N/A</v>
        <stp/>
        <stp>##V3_BDHV12</stp>
        <stp>EUNZ3010 ICPL Curncy</stp>
        <stp>PX_LAST</stp>
        <stp>3/26/2019</stp>
        <stp>3/26/2019</stp>
        <stp>[Live Pricing.xlsm]Vol_Surface!R30C11</stp>
        <tr r="K30" s="53"/>
      </tp>
      <tp t="e">
        <v>#N/A</v>
        <stp/>
        <stp>##V3_BDHV12</stp>
        <stp>EUNZ3020 ICPL Curncy</stp>
        <stp>PX_LAST</stp>
        <stp>3/26/2019</stp>
        <stp>3/26/2019</stp>
        <stp>[Live Pricing.xlsm]Vol_Surface!R33C11</stp>
        <tr r="K33" s="53"/>
      </tp>
      <tp t="e">
        <v>#N/A</v>
        <stp/>
        <stp>##V3_BDHV12</stp>
        <stp>EUNZ2010 ICPL Curncy</stp>
        <stp>PX_LAST</stp>
        <stp>3/26/2019</stp>
        <stp>3/26/2019</stp>
        <stp>[Live Pricing.xlsm]Vol_Surface!R30C10</stp>
        <tr r="J30" s="53"/>
      </tp>
      <tp t="e">
        <v>#N/A</v>
        <stp/>
        <stp>##V3_BDHV12</stp>
        <stp>EUNZ2020 ICPL Curncy</stp>
        <stp>PX_LAST</stp>
        <stp>3/26/2019</stp>
        <stp>3/26/2019</stp>
        <stp>[Live Pricing.xlsm]Vol_Surface!R33C10</stp>
        <tr r="J33" s="53"/>
      </tp>
      <tp t="e">
        <v>#N/A</v>
        <stp/>
        <stp>##V3_BDHV12</stp>
        <stp>EUNZ5010 ICPL Curncy</stp>
        <stp>PX_LAST</stp>
        <stp>3/26/2019</stp>
        <stp>3/26/2019</stp>
        <stp>[Live Pricing.xlsm]Vol_Surface!R30C12</stp>
        <tr r="L30" s="53"/>
      </tp>
      <tp t="e">
        <v>#N/A</v>
        <stp/>
        <stp>##V3_BDHV12</stp>
        <stp>EUNZ5020 ICPL Curncy</stp>
        <stp>PX_LAST</stp>
        <stp>3/26/2019</stp>
        <stp>3/26/2019</stp>
        <stp>[Live Pricing.xlsm]Vol_Surface!R33C12</stp>
        <tr r="L33" s="53"/>
      </tp>
      <tp t="e">
        <v>#N/A</v>
        <stp/>
        <stp>##V3_BDHV12</stp>
        <stp>BLBS15 Index</stp>
        <stp>PX_LAST</stp>
        <stp>3/26/2019</stp>
        <stp>3/26/2019</stp>
        <stp>[Live Pricing.xlsm]FX_Curve_History!R169C13</stp>
        <tr r="M169" s="50"/>
      </tp>
      <tp t="e">
        <v>#N/A</v>
        <stp/>
        <stp>##V3_BDPV12</stp>
        <stp>ESH0 Comdty</stp>
        <stp>PX_LAST</stp>
        <stp>[Live Pricing.xlsm]Rate_Live!R109C4</stp>
        <tr r="D109" s="39"/>
      </tp>
      <tp t="e">
        <v>#N/A</v>
        <stp/>
        <stp>##V3_BDHV12</stp>
        <stp>BAZ8 Comdty</stp>
        <stp>PX_LAST</stp>
        <stp>3/26/2019</stp>
        <stp>3/26/2019</stp>
        <stp>[Live Pricing.xlsm]FX_Curve_History!R132C4</stp>
        <tr r="D132" s="50"/>
      </tp>
      <tp t="e">
        <v>#N/A</v>
        <stp/>
        <stp>##V3_BDHV12</stp>
        <stp>BAH9 Comdty</stp>
        <stp>PX_LAST</stp>
        <stp>3/26/2019</stp>
        <stp>3/26/2019</stp>
        <stp>[Live Pricing.xlsm]FX_Curve_History!R133C4</stp>
        <tr r="D133" s="50"/>
      </tp>
      <tp t="e">
        <v>#N/A</v>
        <stp/>
        <stp>##V3_BDHV12</stp>
        <stp>CDSW30 Index</stp>
        <stp>PX_LAST</stp>
        <stp>3/26/2019</stp>
        <stp>3/26/2019</stp>
        <stp>[Live Pricing.xlsm]FX_Curve_History!R144C6</stp>
        <tr r="F144" s="50"/>
      </tp>
      <tp t="e">
        <v>#N/A</v>
        <stp/>
        <stp>##V3_BDHV12</stp>
        <stp>CDOR12 Index</stp>
        <stp>PX_LAST</stp>
        <stp>3/26/2019</stp>
        <stp>3/26/2019</stp>
        <stp>[Live Pricing.xlsm]FX_Curve_History!R136C2</stp>
        <tr r="B136" s="50"/>
      </tp>
      <tp t="e">
        <v>#N/A</v>
        <stp/>
        <stp>##V3_BDHV12</stp>
        <stp>CLSWIBI Index</stp>
        <stp>PX_LAST</stp>
        <stp>3/26/2019</stp>
        <stp>3/26/2019</stp>
        <stp>[Live Pricing.xlsm]Rate_History!R185C2</stp>
        <tr r="B185" s="49"/>
        <tr r="B185" s="49"/>
      </tp>
      <tp t="e">
        <v>#N/A</v>
        <stp/>
        <stp>##V3_BDHV12</stp>
        <stp>BLBS14 Index</stp>
        <stp>PX_LAST</stp>
        <stp>3/26/2019</stp>
        <stp>3/26/2019</stp>
        <stp>[Live Pricing.xlsm]FX_Curve_History!R168C13</stp>
        <tr r="M168" s="50"/>
      </tp>
      <tp t="e">
        <v>#N/A</v>
        <stp/>
        <stp>##V3_BDPV12</stp>
        <stp>ESZ9 Comdty</stp>
        <stp>PX_LAST</stp>
        <stp>[Live Pricing.xlsm]Rate_Live!R108C4</stp>
        <tr r="D108" s="39"/>
      </tp>
      <tp t="e">
        <v>#N/A</v>
        <stp/>
        <stp>##V3_BDHV12</stp>
        <stp>BAU8 Comdty</stp>
        <stp>PX_LAST</stp>
        <stp>3/26/2019</stp>
        <stp>3/26/2019</stp>
        <stp>[Live Pricing.xlsm]FX_Curve_History!R131C4</stp>
        <tr r="D131" s="50"/>
      </tp>
      <tp t="e">
        <v>#N/A</v>
        <stp/>
        <stp>##V3_BDHV12</stp>
        <stp>CLSWIB1 Index</stp>
        <stp>PX_LAST</stp>
        <stp>3/26/2019</stp>
        <stp>3/26/2019</stp>
        <stp>[Live Pricing.xlsm]Rate_History!R186C2</stp>
        <tr r="B186" s="49"/>
      </tp>
      <tp t="e">
        <v>#N/A</v>
        <stp/>
        <stp>##V3_BDHV12</stp>
        <stp>ESU9 Comdty</stp>
        <stp>PX_LAST</stp>
        <stp>3/26/2019</stp>
        <stp>3/26/2019</stp>
        <stp>[Live Pricing.xlsm]FX_Curve_History!R110C4</stp>
        <tr r="D110" s="50"/>
      </tp>
      <tp t="e">
        <v>#N/A</v>
        <stp/>
        <stp>##V3_BDHV12</stp>
        <stp>CDOR03 Index</stp>
        <stp>PX_LAST</stp>
        <stp>3/26/2019</stp>
        <stp>3/26/2019</stp>
        <stp>[Live Pricing.xlsm]FX_Curve_History!R134C2</stp>
        <tr r="B134" s="50"/>
      </tp>
      <tp t="e">
        <v>#N/A</v>
        <stp/>
        <stp>##V3_BDHV12</stp>
        <stp>EUNZ3012 ICPL Curncy</stp>
        <stp>PX_LAST</stp>
        <stp>3/26/2019</stp>
        <stp>3/26/2019</stp>
        <stp>[Live Pricing.xlsm]Vol_Surface!R31C11</stp>
        <tr r="K31" s="53"/>
      </tp>
      <tp t="e">
        <v>#N/A</v>
        <stp/>
        <stp>##V3_BDHV12</stp>
        <stp>EUNZ2012 ICPL Curncy</stp>
        <stp>PX_LAST</stp>
        <stp>3/26/2019</stp>
        <stp>3/26/2019</stp>
        <stp>[Live Pricing.xlsm]Vol_Surface!R31C10</stp>
        <tr r="J31" s="53"/>
      </tp>
      <tp t="e">
        <v>#N/A</v>
        <stp/>
        <stp>##V3_BDHV12</stp>
        <stp>EUNZ5012 ICPL Curncy</stp>
        <stp>PX_LAST</stp>
        <stp>3/26/2019</stp>
        <stp>3/26/2019</stp>
        <stp>[Live Pricing.xlsm]Vol_Surface!R31C12</stp>
        <tr r="L31" s="53"/>
      </tp>
      <tp t="e">
        <v>#N/A</v>
        <stp/>
        <stp>##V3_BDHV12</stp>
        <stp>BLBS17 Index</stp>
        <stp>PX_LAST</stp>
        <stp>3/26/2019</stp>
        <stp>3/26/2019</stp>
        <stp>[Live Pricing.xlsm]FX_Curve_History!R171C13</stp>
        <tr r="M171" s="50"/>
      </tp>
      <tp t="e">
        <v>#N/A</v>
        <stp/>
        <stp>##V3_BDPV12</stp>
        <stp>SFSW4 Index</stp>
        <stp>PX_LAST</stp>
        <stp>[Live Pricing.xlsm]Rate_Live!R108C6</stp>
        <tr r="F108" s="39"/>
      </tp>
      <tp t="e">
        <v>#N/A</v>
        <stp/>
        <stp>##V3_BDPV12</stp>
        <stp>SFSW5 Index</stp>
        <stp>PX_LAST</stp>
        <stp>[Live Pricing.xlsm]Rate_Live!R109C6</stp>
        <tr r="F109" s="39"/>
      </tp>
      <tp t="e">
        <v>#N/A</v>
        <stp/>
        <stp>##V3_BDHV12</stp>
        <stp>BAM0 Comdty</stp>
        <stp>PX_LAST</stp>
        <stp>3/26/2019</stp>
        <stp>3/26/2019</stp>
        <stp>[Live Pricing.xlsm]FX_Curve_History!R138C4</stp>
        <tr r="D138" s="50"/>
      </tp>
      <tp t="e">
        <v>#N/A</v>
        <stp/>
        <stp>##V3_BDHV12</stp>
        <stp>CDOR06 Index</stp>
        <stp>PX_LAST</stp>
        <stp>3/26/2019</stp>
        <stp>3/26/2019</stp>
        <stp>[Live Pricing.xlsm]FX_Curve_History!R135C2</stp>
        <tr r="B135" s="50"/>
      </tp>
      <tp t="e">
        <v>#N/A</v>
        <stp/>
        <stp>##V3_BDHV12</stp>
        <stp>ESZ9 Comdty</stp>
        <stp>PX_LAST</stp>
        <stp>3/26/2019</stp>
        <stp>3/26/2019</stp>
        <stp>[Live Pricing.xlsm]FX_Curve_History!R111C4</stp>
        <tr r="D111" s="50"/>
      </tp>
      <tp t="e">
        <v>#N/A</v>
        <stp/>
        <stp>##V3_BDHV12</stp>
        <stp>BPSW40 Index</stp>
        <stp>PX_LAST</stp>
        <stp>3/26/2019</stp>
        <stp>3/26/2019</stp>
        <stp>[Live Pricing.xlsm]FX_Curve_History!R100C6</stp>
        <tr r="F100" s="50"/>
      </tp>
      <tp t="e">
        <v>#N/A</v>
        <stp/>
        <stp>##V3_BDPV12</stp>
        <stp>CDSW10 Index</stp>
        <stp>PX_LAST</stp>
        <stp>[Live Pricing.xlsm]Rate_Live!R139C6</stp>
        <tr r="F139" s="39"/>
      </tp>
      <tp t="e">
        <v>#N/A</v>
        <stp/>
        <stp>##V3_BDHV12</stp>
        <stp>BLBS16 Index</stp>
        <stp>PX_LAST</stp>
        <stp>3/26/2019</stp>
        <stp>3/26/2019</stp>
        <stp>[Live Pricing.xlsm]FX_Curve_History!R170C13</stp>
        <tr r="M170" s="50"/>
      </tp>
      <tp t="e">
        <v>#N/A</v>
        <stp/>
        <stp>##V3_BDHV12</stp>
        <stp>BAZ9 Comdty</stp>
        <stp>PX_LAST</stp>
        <stp>3/26/2019</stp>
        <stp>3/26/2019</stp>
        <stp>[Live Pricing.xlsm]FX_Curve_History!R136C4</stp>
        <tr r="D136" s="50"/>
      </tp>
      <tp t="e">
        <v>#N/A</v>
        <stp/>
        <stp>##V3_BDHV12</stp>
        <stp>CDOR01 Index</stp>
        <stp>PX_LAST</stp>
        <stp>3/26/2019</stp>
        <stp>3/26/2019</stp>
        <stp>[Live Pricing.xlsm]FX_Curve_History!R132C2</stp>
        <tr r="B132" s="50"/>
      </tp>
      <tp t="e">
        <v>#N/A</v>
        <stp/>
        <stp>##V3_BDHV12</stp>
        <stp>ESZ8 Comdty</stp>
        <stp>PX_LAST</stp>
        <stp>3/26/2019</stp>
        <stp>3/26/2019</stp>
        <stp>[Live Pricing.xlsm]FX_Curve_History!R107C4</stp>
        <tr r="D107" s="50"/>
      </tp>
      <tp t="e">
        <v>#N/A</v>
        <stp/>
        <stp>##V3_BDHV12</stp>
        <stp>EDZ9 Comdty</stp>
        <stp>PX_LAST</stp>
        <stp>3/26/2019</stp>
        <stp>3/26/2019</stp>
        <stp>[Live Pricing.xlsm]Rate_History!R8C4</stp>
        <tr r="D8" s="49"/>
      </tp>
      <tp t="e">
        <v>#N/A</v>
        <stp/>
        <stp>##V3_BDPV12</stp>
        <stp>SFSW14 Index</stp>
        <stp>PX_LAST</stp>
        <stp>[Live Pricing.xlsm]Rate_Live!R118C6</stp>
        <tr r="F118" s="39"/>
      </tp>
      <tp t="e">
        <v>#N/A</v>
        <stp/>
        <stp>##V3_BDPV12</stp>
        <stp>SFSW15 Index</stp>
        <stp>PX_LAST</stp>
        <stp>[Live Pricing.xlsm]Rate_Live!R119C6</stp>
        <tr r="F119" s="39"/>
      </tp>
      <tp t="e">
        <v>#N/A</v>
        <stp/>
        <stp>##V3_BDHV12</stp>
        <stp>BLBS11 Index</stp>
        <stp>PX_LAST</stp>
        <stp>3/26/2019</stp>
        <stp>3/26/2019</stp>
        <stp>[Live Pricing.xlsm]FX_Curve_History!R165C13</stp>
        <tr r="M165" s="50"/>
      </tp>
      <tp t="e">
        <v>#N/A</v>
        <stp/>
        <stp>##V3_BDPV12</stp>
        <stp>SFSW8 Index</stp>
        <stp>PX_LAST</stp>
        <stp>[Live Pricing.xlsm]Rate_Live!R112C6</stp>
        <tr r="F112" s="39"/>
      </tp>
      <tp t="e">
        <v>#N/A</v>
        <stp/>
        <stp>##V3_BDPV12</stp>
        <stp>SFSW9 Index</stp>
        <stp>PX_LAST</stp>
        <stp>[Live Pricing.xlsm]Rate_Live!R113C6</stp>
        <tr r="F113" s="39"/>
      </tp>
      <tp t="e">
        <v>#N/A</v>
        <stp/>
        <stp>##V3_BDPV12</stp>
        <stp>CLSWIB8 Index</stp>
        <stp>PX_LAST</stp>
        <stp>[Live Pricing.xlsm]FX_Curve_Live!R187C6</stp>
        <tr r="F187" s="42"/>
      </tp>
      <tp t="e">
        <v>#N/A</v>
        <stp/>
        <stp>##V3_BDHV12</stp>
        <stp>ESU8 Comdty</stp>
        <stp>PX_LAST</stp>
        <stp>3/26/2019</stp>
        <stp>3/26/2019</stp>
        <stp>[Live Pricing.xlsm]FX_Curve_History!R106C4</stp>
        <tr r="D106" s="50"/>
      </tp>
      <tp t="e">
        <v>#N/A</v>
        <stp/>
        <stp>##V3_BDHV12</stp>
        <stp>CDOR02 Index</stp>
        <stp>PX_LAST</stp>
        <stp>3/26/2019</stp>
        <stp>3/26/2019</stp>
        <stp>[Live Pricing.xlsm]FX_Curve_History!R133C2</stp>
        <tr r="B133" s="50"/>
      </tp>
      <tp t="e">
        <v>#N/A</v>
        <stp/>
        <stp>##V3_BDHV12</stp>
        <stp>EDH0 Comdty</stp>
        <stp>PX_LAST</stp>
        <stp>3/26/2019</stp>
        <stp>3/26/2019</stp>
        <stp>[Live Pricing.xlsm]Rate_History!R9C4</stp>
        <tr r="D9" s="49"/>
      </tp>
      <tp t="e">
        <v>#N/A</v>
        <stp/>
        <stp>##V3_BDHV12</stp>
        <stp>EUNZ3015 ICPL Curncy</stp>
        <stp>PX_LAST</stp>
        <stp>3/26/2019</stp>
        <stp>3/26/2019</stp>
        <stp>[Live Pricing.xlsm]Vol_Surface!R32C11</stp>
        <tr r="K32" s="53"/>
      </tp>
      <tp t="e">
        <v>#N/A</v>
        <stp/>
        <stp>##V3_BDHV12</stp>
        <stp>EUNZ2015 ICPL Curncy</stp>
        <stp>PX_LAST</stp>
        <stp>3/26/2019</stp>
        <stp>3/26/2019</stp>
        <stp>[Live Pricing.xlsm]Vol_Surface!R32C10</stp>
        <tr r="J32" s="53"/>
      </tp>
      <tp t="e">
        <v>#N/A</v>
        <stp/>
        <stp>##V3_BDHV12</stp>
        <stp>EUNZ5015 ICPL Curncy</stp>
        <stp>PX_LAST</stp>
        <stp>3/26/2019</stp>
        <stp>3/26/2019</stp>
        <stp>[Live Pricing.xlsm]Vol_Surface!R32C12</stp>
        <tr r="L32" s="53"/>
      </tp>
      <tp t="e">
        <v>#N/A</v>
        <stp/>
        <stp>##V3_BDHV12</stp>
        <stp>BLBS10 Index</stp>
        <stp>PX_LAST</stp>
        <stp>3/26/2019</stp>
        <stp>3/26/2019</stp>
        <stp>[Live Pricing.xlsm]FX_Curve_History!R164C13</stp>
        <tr r="M164" s="50"/>
      </tp>
      <tp t="e">
        <v>#N/A</v>
        <stp/>
        <stp>##V3_BDHV12</stp>
        <stp>BLBS20 Index</stp>
        <stp>PX_LAST</stp>
        <stp>3/26/2019</stp>
        <stp>3/26/2019</stp>
        <stp>[Live Pricing.xlsm]FX_Curve_History!R172C13</stp>
        <tr r="M172" s="50"/>
      </tp>
      <tp t="e">
        <v>#N/A</v>
        <stp/>
        <stp>##V3_BDHV12</stp>
        <stp>CDSW15 Index</stp>
        <stp>PX_LAST</stp>
        <stp>3/26/2019</stp>
        <stp>3/26/2019</stp>
        <stp>[Live Pricing.xlsm]FX_Curve_History!R141C6</stp>
        <tr r="F141" s="50"/>
      </tp>
      <tp t="e">
        <v>#N/A</v>
        <stp/>
        <stp>##V3_BDHV12</stp>
        <stp>BAM9 Comdty</stp>
        <stp>PX_LAST</stp>
        <stp>3/26/2019</stp>
        <stp>3/26/2019</stp>
        <stp>[Live Pricing.xlsm]FX_Curve_History!R134C4</stp>
        <tr r="D134" s="50"/>
      </tp>
      <tp t="e">
        <v>#N/A</v>
        <stp/>
        <stp>##V3_BDHV12</stp>
        <stp>CDSW20 Index</stp>
        <stp>PX_LAST</stp>
        <stp>3/26/2019</stp>
        <stp>3/26/2019</stp>
        <stp>[Live Pricing.xlsm]FX_Curve_History!R142C6</stp>
        <tr r="F142" s="50"/>
      </tp>
      <tp t="e">
        <v>#N/A</v>
        <stp/>
        <stp>##V3_BDHV12</stp>
        <stp>US0002m Index</stp>
        <stp>PX_LAST</stp>
        <stp>3/26/2019</stp>
        <stp>3/26/2019</stp>
        <stp>[Live Pricing.xlsm]FX_Curve_History!R8C2</stp>
        <tr r="B8" s="50"/>
      </tp>
      <tp t="e">
        <v>#N/A</v>
        <stp/>
        <stp>##V3_BDHV12</stp>
        <stp>JYSW5 Index</stp>
        <stp>PX_LAST</stp>
        <stp>3/26/2019</stp>
        <stp>3/26/2019</stp>
        <stp>[Live Pricing.xlsm]FX_Curve_History!R59C6</stp>
        <tr r="F59" s="50"/>
      </tp>
      <tp t="e">
        <v>#N/A</v>
        <stp/>
        <stp>##V3_BDHV12</stp>
        <stp>USSW15 Index</stp>
        <stp>PX_LAST</stp>
        <stp>3/26/2019</stp>
        <stp>3/26/2019</stp>
        <stp>[Live Pricing.xlsm]FX_Curve_History!R19C6</stp>
        <tr r="F19" s="50"/>
      </tp>
      <tp t="e">
        <v>#N/A</v>
        <stp/>
        <stp>##V3_BDHV12</stp>
        <stp>CLSWIBA Index</stp>
        <stp>PX_LAST</stp>
        <stp>3/26/2019</stp>
        <stp>3/26/2019</stp>
        <stp>[Live Pricing.xlsm]Rate_History!R182C2</stp>
        <tr r="B182" s="49"/>
        <tr r="B182" s="49"/>
      </tp>
      <tp t="e">
        <v>#N/A</v>
        <stp/>
        <stp>##V3_BDHV12</stp>
        <stp>JYSW15 Index</stp>
        <stp>PX_LAST</stp>
        <stp>3/26/2019</stp>
        <stp>3/26/2019</stp>
        <stp>[Live Pricing.xlsm]FX_Curve_History!R69C6</stp>
        <tr r="F69" s="50"/>
      </tp>
      <tp t="e">
        <v>#N/A</v>
        <stp/>
        <stp>##V3_BDHV12</stp>
        <stp>BPSW30 Index</stp>
        <stp>PX_LAST</stp>
        <stp>3/26/2019</stp>
        <stp>3/26/2019</stp>
        <stp>[Live Pricing.xlsm]FX_Curve_History!R99C6</stp>
        <tr r="F99" s="50"/>
      </tp>
      <tp t="e">
        <v>#N/A</v>
        <stp/>
        <stp>##V3_BDHV12</stp>
        <stp>BPSW10 Index</stp>
        <stp>PX_LAST</stp>
        <stp>3/26/2019</stp>
        <stp>3/26/2019</stp>
        <stp>[Live Pricing.xlsm]FX_Curve_History!R89C6</stp>
        <tr r="F89" s="50"/>
      </tp>
      <tp t="e">
        <v>#N/A</v>
        <stp/>
        <stp>##V3_BDHV12</stp>
        <stp>BLBS13 Index</stp>
        <stp>PX_LAST</stp>
        <stp>3/26/2019</stp>
        <stp>3/26/2019</stp>
        <stp>[Live Pricing.xlsm]FX_Curve_History!R167C13</stp>
        <tr r="M167" s="50"/>
      </tp>
      <tp t="e">
        <v>#N/A</v>
        <stp/>
        <stp>##V3_BDPV12</stp>
        <stp>BAH0 Comdty</stp>
        <stp>PX_LAST</stp>
        <stp>[Live Pricing.xlsm]Rate_Live!R138C4</stp>
        <tr r="D138" s="39"/>
      </tp>
      <tp t="e">
        <v>#N/A</v>
        <stp/>
        <stp>##V3_BDPV12</stp>
        <stp>HASWDI1M Index</stp>
        <stp>PX_LAST</stp>
        <stp>[Live Pricing.xlsm]FX_Curve_History!R157C23</stp>
        <tr r="W157" s="50"/>
      </tp>
      <tp t="e">
        <v>#N/A</v>
        <stp/>
        <stp>##V3_BDPV12</stp>
        <stp>HASWDI3M Index</stp>
        <stp>PX_LAST</stp>
        <stp>[Live Pricing.xlsm]FX_Curve_History!R159C23</stp>
        <tr r="W159" s="50"/>
      </tp>
      <tp t="e">
        <v>#N/A</v>
        <stp/>
        <stp>##V3_BDPV12</stp>
        <stp>HASWDI6M Index</stp>
        <stp>PX_LAST</stp>
        <stp>[Live Pricing.xlsm]FX_Curve_History!R160C23</stp>
        <tr r="W160" s="50"/>
      </tp>
      <tp t="e">
        <v>#N/A</v>
        <stp/>
        <stp>##V3_BDPV12</stp>
        <stp>HASWDI9M Index</stp>
        <stp>PX_LAST</stp>
        <stp>[Live Pricing.xlsm]FX_Curve_History!R161C23</stp>
        <tr r="W161" s="50"/>
      </tp>
      <tp t="e">
        <v>#N/A</v>
        <stp/>
        <stp>##V3_BDHV12</stp>
        <stp>CDSW25 Index</stp>
        <stp>PX_LAST</stp>
        <stp>3/26/2019</stp>
        <stp>3/26/2019</stp>
        <stp>[Live Pricing.xlsm]FX_Curve_History!R143C6</stp>
        <tr r="F143" s="50"/>
      </tp>
      <tp t="e">
        <v>#N/A</v>
        <stp/>
        <stp>##V3_BDHV12</stp>
        <stp>BAU9 Comdty</stp>
        <stp>PX_LAST</stp>
        <stp>3/26/2019</stp>
        <stp>3/26/2019</stp>
        <stp>[Live Pricing.xlsm]FX_Curve_History!R135C4</stp>
        <tr r="D135" s="50"/>
      </tp>
      <tp t="e">
        <v>#N/A</v>
        <stp/>
        <stp>##V3_BDHV12</stp>
        <stp>EUSA9 Index</stp>
        <stp>PX_LAST</stp>
        <stp>3/26/2019</stp>
        <stp>3/26/2019</stp>
        <stp>[Live Pricing.xlsm]FX_Curve_History!R38C6</stp>
        <tr r="F38" s="50"/>
      </tp>
      <tp t="e">
        <v>#N/A</v>
        <stp/>
        <stp>##V3_BDHV12</stp>
        <stp>CDSW40 Index</stp>
        <stp>PX_LAST</stp>
        <stp>3/26/2019</stp>
        <stp>3/26/2019</stp>
        <stp>[Live Pricing.xlsm]FX_Curve_History!R145C6</stp>
        <tr r="F145" s="50"/>
      </tp>
      <tp t="e">
        <v>#N/A</v>
        <stp/>
        <stp>##V3_BDHV12</stp>
        <stp>CDSW12 Index</stp>
        <stp>PX_LAST</stp>
        <stp>3/26/2019</stp>
        <stp>3/26/2019</stp>
        <stp>[Live Pricing.xlsm]FX_Curve_History!R140C6</stp>
        <tr r="F140" s="50"/>
      </tp>
      <tp t="e">
        <v>#N/A</v>
        <stp/>
        <stp>##V3_BDHV12</stp>
        <stp>US0003m Index</stp>
        <stp>PX_LAST</stp>
        <stp>3/26/2019</stp>
        <stp>3/26/2019</stp>
        <stp>[Live Pricing.xlsm]FX_Curve_History!R9C2</stp>
        <tr r="B9" s="50"/>
      </tp>
      <tp t="e">
        <v>#N/A</v>
        <stp/>
        <stp>##V3_BDHV12</stp>
        <stp>JYSW4 Index</stp>
        <stp>PX_LAST</stp>
        <stp>3/26/2019</stp>
        <stp>3/26/2019</stp>
        <stp>[Live Pricing.xlsm]FX_Curve_History!R58C6</stp>
        <tr r="F58" s="50"/>
      </tp>
      <tp t="e">
        <v>#N/A</v>
        <stp/>
        <stp>##V3_BDHV12</stp>
        <stp>BPSW9 Index</stp>
        <stp>PX_LAST</stp>
        <stp>3/26/2019</stp>
        <stp>3/26/2019</stp>
        <stp>[Live Pricing.xlsm]FX_Curve_History!R88C6</stp>
        <tr r="F88" s="50"/>
      </tp>
      <tp t="e">
        <v>#N/A</v>
        <stp/>
        <stp>##V3_BDHV12</stp>
        <stp>USSW14 Index</stp>
        <stp>PX_LAST</stp>
        <stp>3/26/2019</stp>
        <stp>3/26/2019</stp>
        <stp>[Live Pricing.xlsm]FX_Curve_History!R18C6</stp>
        <tr r="F18" s="50"/>
      </tp>
      <tp t="e">
        <v>#N/A</v>
        <stp/>
        <stp>##V3_BDHV12</stp>
        <stp>JYSW14 Index</stp>
        <stp>PX_LAST</stp>
        <stp>3/26/2019</stp>
        <stp>3/26/2019</stp>
        <stp>[Live Pricing.xlsm]FX_Curve_History!R68C6</stp>
        <tr r="F68" s="50"/>
      </tp>
      <tp t="e">
        <v>#N/A</v>
        <stp/>
        <stp>##V3_BDHV12</stp>
        <stp>BPSW25 Index</stp>
        <stp>PX_LAST</stp>
        <stp>3/26/2019</stp>
        <stp>3/26/2019</stp>
        <stp>[Live Pricing.xlsm]FX_Curve_History!R98C6</stp>
        <tr r="F98" s="50"/>
      </tp>
      <tp t="e">
        <v>#N/A</v>
        <stp/>
        <stp>##V3_BDHV12</stp>
        <stp>BLBS12 Index</stp>
        <stp>PX_LAST</stp>
        <stp>3/26/2019</stp>
        <stp>3/26/2019</stp>
        <stp>[Live Pricing.xlsm]FX_Curve_History!R166C13</stp>
        <tr r="M166" s="50"/>
      </tp>
      <tp t="e">
        <v>#N/A</v>
        <stp/>
        <stp>##V3_BDPV12</stp>
        <stp>CDSW4 Index</stp>
        <stp>PX_LAST</stp>
        <stp>[Live Pricing.xlsm]Rate_Live!R133C6</stp>
        <tr r="F133" s="39"/>
      </tp>
      <tp t="e">
        <v>#N/A</v>
        <stp/>
        <stp>##V3_BDHV12</stp>
        <stp>EUSA10 CMPN Curncy</stp>
        <stp>Close</stp>
        <stp>03/26/2019 11:15:00</stp>
        <stp>03/26/2019 11:16:00</stp>
        <stp>[Live Pricing.xlsm]Rate_History!R39C18</stp>
        <stp>BarType</stp>
        <stp>T</stp>
        <stp>Dir=V</stp>
        <stp>cols=2;rows=1</stp>
        <tr r="R39" s="49"/>
      </tp>
      <tp t="e">
        <v>#N/A</v>
        <stp/>
        <stp>##V3_BDHV12</stp>
        <stp>EUSA12 Index</stp>
        <stp>PX_LAST</stp>
        <stp>3/26/2019</stp>
        <stp>3/26/2019</stp>
        <stp>[Live Pricing.xlsm]FX_Curve_History!R41C6</stp>
        <tr r="F41" s="50"/>
      </tp>
      <tp t="e">
        <v>#N/A</v>
        <stp/>
        <stp>##V3_BDHV12</stp>
        <stp>EUNZO5 ICPL Curncy</stp>
        <stp>PX_LAST</stp>
        <stp>3/26/2019</stp>
        <stp>3/26/2019</stp>
        <stp>[Live Pricing.xlsm]Vol_Surface!R28C5</stp>
        <tr r="E28" s="53"/>
      </tp>
      <tp t="e">
        <v>#N/A</v>
        <stp/>
        <stp>##V3_BDHV12</stp>
        <stp>EUNZA3 ICPL Curncy</stp>
        <stp>PX_LAST</stp>
        <stp>3/26/2019</stp>
        <stp>3/26/2019</stp>
        <stp>[Live Pricing.xlsm]Vol_Surface!R26C6</stp>
        <tr r="F26" s="53"/>
      </tp>
      <tp t="e">
        <v>#N/A</v>
        <stp/>
        <stp>##V3_BDPV12</stp>
        <stp>CLSWIB10 Index</stp>
        <stp>PX_LAST</stp>
        <stp>[Live Pricing.xlsm]FX_Curve_Live!R189C6</stp>
        <tr r="F189" s="42"/>
      </tp>
      <tp t="e">
        <v>#N/A</v>
        <stp/>
        <stp>##V3_BDHV12</stp>
        <stp>USSW30 CMPN Curncy</stp>
        <stp>Close</stp>
        <stp>03/26/2019 15:00:00</stp>
        <stp>03/26/2019 15:01:00</stp>
        <stp>[Live Pricing.xlsm]Rate_History!R24C18</stp>
        <stp>BarType</stp>
        <stp>T</stp>
        <stp>Dir=V</stp>
        <stp>cols=2;rows=1</stp>
        <tr r="R24" s="49"/>
      </tp>
      <tp t="e">
        <v>#N/A</v>
        <stp/>
        <stp>##V3_BDHV12</stp>
        <stp>USSW40 CMPN Curncy</stp>
        <stp>Close</stp>
        <stp>03/26/2019 15:00:00</stp>
        <stp>03/26/2019 15:01:00</stp>
        <stp>[Live Pricing.xlsm]Rate_History!R25C18</stp>
        <stp>BarType</stp>
        <stp>T</stp>
        <stp>Dir=V</stp>
        <stp>cols=2;rows=1</stp>
        <tr r="R25" s="49"/>
      </tp>
      <tp t="e">
        <v>#N/A</v>
        <stp/>
        <stp>##V3_BDHV12</stp>
        <stp>USSW20 CMPN Curncy</stp>
        <stp>Close</stp>
        <stp>03/26/2019 15:00:00</stp>
        <stp>03/26/2019 15:01:00</stp>
        <stp>[Live Pricing.xlsm]Rate_History!R22C18</stp>
        <stp>BarType</stp>
        <stp>T</stp>
        <stp>Dir=V</stp>
        <stp>cols=2;rows=1</stp>
        <tr r="R22" s="49"/>
      </tp>
      <tp t="e">
        <v>#N/A</v>
        <stp/>
        <stp>##V3_BDHV12</stp>
        <stp>USSW25 CMPN Curncy</stp>
        <stp>Close</stp>
        <stp>03/26/2019 15:00:00</stp>
        <stp>03/26/2019 15:01:00</stp>
        <stp>[Live Pricing.xlsm]Rate_History!R23C18</stp>
        <stp>BarType</stp>
        <stp>T</stp>
        <stp>Dir=V</stp>
        <stp>cols=2;rows=1</stp>
        <tr r="R23" s="49"/>
      </tp>
      <tp t="e">
        <v>#N/A</v>
        <stp/>
        <stp>##V3_BDHV12</stp>
        <stp>USSW16 CMPN Curncy</stp>
        <stp>Close</stp>
        <stp>03/26/2019 15:00:00</stp>
        <stp>03/26/2019 15:01:00</stp>
        <stp>[Live Pricing.xlsm]Rate_History!R20C18</stp>
        <stp>BarType</stp>
        <stp>T</stp>
        <stp>Dir=V</stp>
        <stp>cols=2;rows=1</stp>
        <tr r="R20" s="49"/>
      </tp>
      <tp t="e">
        <v>#N/A</v>
        <stp/>
        <stp>##V3_BDHV12</stp>
        <stp>USSW17 CMPN Curncy</stp>
        <stp>Close</stp>
        <stp>03/26/2019 15:00:00</stp>
        <stp>03/26/2019 15:01:00</stp>
        <stp>[Live Pricing.xlsm]Rate_History!R21C18</stp>
        <stp>BarType</stp>
        <stp>T</stp>
        <stp>Dir=V</stp>
        <stp>cols=2;rows=1</stp>
        <tr r="R21" s="49"/>
      </tp>
      <tp t="e">
        <v>#N/A</v>
        <stp/>
        <stp>##V3_BDHV12</stp>
        <stp>EUSA11 Index</stp>
        <stp>PX_LAST</stp>
        <stp>3/26/2019</stp>
        <stp>3/26/2019</stp>
        <stp>[Live Pricing.xlsm]FX_Curve_History!R40C6</stp>
        <tr r="F40" s="50"/>
      </tp>
      <tp t="e">
        <v>#N/A</v>
        <stp/>
        <stp>##V3_BDHV12</stp>
        <stp>EUSA40 Index</stp>
        <stp>PX_LAST</stp>
        <stp>3/26/2019</stp>
        <stp>3/26/2019</stp>
        <stp>[Live Pricing.xlsm]FX_Curve_History!R50C6</stp>
        <tr r="F50" s="50"/>
      </tp>
      <tp t="e">
        <v>#N/A</v>
        <stp/>
        <stp>##V3_BDHV12</stp>
        <stp>EUNEC7 ICPL Curncy</stp>
        <stp>PX_LAST</stp>
        <stp>3/26/2019</stp>
        <stp>3/26/2019</stp>
        <stp>[Live Pricing.xlsm]Vol_Surface!R65C8</stp>
        <tr r="H65" s="53"/>
      </tp>
      <tp t="e">
        <v>#N/A</v>
        <stp/>
        <stp>##V3_BDHV12</stp>
        <stp>EUNZO7 ICPL Curncy</stp>
        <stp>PX_LAST</stp>
        <stp>3/26/2019</stp>
        <stp>3/26/2019</stp>
        <stp>[Live Pricing.xlsm]Vol_Surface!R29C5</stp>
        <tr r="E29" s="53"/>
      </tp>
      <tp t="e">
        <v>#N/A</v>
        <stp/>
        <stp>##V3_BDHV12</stp>
        <stp>EUNEC6 ICPL Curncy</stp>
        <stp>PX_LAST</stp>
        <stp>3/26/2019</stp>
        <stp>3/26/2019</stp>
        <stp>[Live Pricing.xlsm]Vol_Surface!R65C7</stp>
        <tr r="G65" s="53"/>
      </tp>
      <tp t="e">
        <v>#N/A</v>
        <stp/>
        <stp>##V3_BDHV12</stp>
        <stp>EUNEC5 ICPL Curncy</stp>
        <stp>PX_LAST</stp>
        <stp>3/26/2019</stp>
        <stp>3/26/2019</stp>
        <stp>[Live Pricing.xlsm]Vol_Surface!R65C6</stp>
        <tr r="F65" s="53"/>
      </tp>
      <tp t="e">
        <v>#N/A</v>
        <stp/>
        <stp>##V3_BDHV12</stp>
        <stp>EUNEC4 ICPL Curncy</stp>
        <stp>PX_LAST</stp>
        <stp>3/26/2019</stp>
        <stp>3/26/2019</stp>
        <stp>[Live Pricing.xlsm]Vol_Surface!R65C5</stp>
        <tr r="E65" s="53"/>
      </tp>
      <tp t="e">
        <v>#N/A</v>
        <stp/>
        <stp>##V3_BDHV12</stp>
        <stp>EUNZA4 ICPL Curncy</stp>
        <stp>PX_LAST</stp>
        <stp>3/26/2019</stp>
        <stp>3/26/2019</stp>
        <stp>[Live Pricing.xlsm]Vol_Surface!R27C6</stp>
        <tr r="F27" s="53"/>
      </tp>
      <tp t="e">
        <v>#N/A</v>
        <stp/>
        <stp>##V3_BDHV12</stp>
        <stp>EUNEC3 ICPL Curncy</stp>
        <stp>PX_LAST</stp>
        <stp>3/26/2019</stp>
        <stp>3/26/2019</stp>
        <stp>[Live Pricing.xlsm]Vol_Surface!R65C4</stp>
        <tr r="D65" s="53"/>
      </tp>
      <tp t="e">
        <v>#N/A</v>
        <stp/>
        <stp>##V3_BDHV12</stp>
        <stp>EUNEC2 ICPL Curncy</stp>
        <stp>PX_LAST</stp>
        <stp>3/26/2019</stp>
        <stp>3/26/2019</stp>
        <stp>[Live Pricing.xlsm]Vol_Surface!R65C3</stp>
        <tr r="C65" s="53"/>
      </tp>
      <tp t="e">
        <v>#N/A</v>
        <stp/>
        <stp>##V3_BDHV12</stp>
        <stp>EUNEC1 ICPL Curncy</stp>
        <stp>PX_LAST</stp>
        <stp>3/26/2019</stp>
        <stp>3/26/2019</stp>
        <stp>[Live Pricing.xlsm]Vol_Surface!R65C2</stp>
        <tr r="B65" s="53"/>
      </tp>
      <tp t="e">
        <v>#N/A</v>
        <stp/>
        <stp>##V3_BDPV12</stp>
        <stp>HASWDI10Y Index</stp>
        <stp>PX_LAST</stp>
        <stp>[Live Pricing.xlsm]FX_Curve_History!R171C24</stp>
        <tr r="X171" s="50"/>
      </tp>
      <tp t="e">
        <v>#N/A</v>
        <stp/>
        <stp>##V3_BDPV12</stp>
        <stp>HASWDI10Y Index</stp>
        <stp>PX_LAST</stp>
        <stp>[Live Pricing.xlsm]FX_Curve_History!R170C24</stp>
        <tr r="X170" s="50"/>
      </tp>
      <tp t="e">
        <v>#N/A</v>
        <stp/>
        <stp>##V3_BDPV12</stp>
        <stp>HASWDI10Y Index</stp>
        <stp>PX_LAST</stp>
        <stp>[Live Pricing.xlsm]FX_Curve_History!R172C24</stp>
        <tr r="X172" s="50"/>
      </tp>
      <tp t="e">
        <v>#N/A</v>
        <stp/>
        <stp>##V3_BDPV12</stp>
        <stp>HASWDI10Y Index</stp>
        <stp>PX_LAST</stp>
        <stp>[Live Pricing.xlsm]FX_Curve_History!R169C24</stp>
        <tr r="X169" s="50"/>
      </tp>
      <tp t="e">
        <v>#N/A</v>
        <stp/>
        <stp>##V3_BDPV12</stp>
        <stp>HASWDI10Y Index</stp>
        <stp>PX_LAST</stp>
        <stp>[Live Pricing.xlsm]FX_Curve_History!R168C24</stp>
        <tr r="X168" s="50"/>
      </tp>
      <tp t="e">
        <v>#N/A</v>
        <stp/>
        <stp>##V3_BDPV12</stp>
        <stp>HASWDI10Y Index</stp>
        <stp>PX_LAST</stp>
        <stp>[Live Pricing.xlsm]FX_Curve_History!R165C24</stp>
        <tr r="X165" s="50"/>
      </tp>
      <tp t="e">
        <v>#N/A</v>
        <stp/>
        <stp>##V3_BDPV12</stp>
        <stp>HASWDI10Y Index</stp>
        <stp>PX_LAST</stp>
        <stp>[Live Pricing.xlsm]FX_Curve_History!R167C24</stp>
        <tr r="X167" s="50"/>
      </tp>
      <tp t="e">
        <v>#N/A</v>
        <stp/>
        <stp>##V3_BDPV12</stp>
        <stp>HASWDI10Y Index</stp>
        <stp>PX_LAST</stp>
        <stp>[Live Pricing.xlsm]FX_Curve_History!R166C24</stp>
        <tr r="X166" s="50"/>
      </tp>
      <tp t="e">
        <v>#N/A</v>
        <stp/>
        <stp>##V3_BDHV12</stp>
        <stp>EUNEC8 ICPL Curncy</stp>
        <stp>PX_LAST</stp>
        <stp>3/26/2019</stp>
        <stp>3/26/2019</stp>
        <stp>[Live Pricing.xlsm]Vol_Surface!R65C9</stp>
        <tr r="I65" s="53"/>
      </tp>
      <tp t="e">
        <v>#N/A</v>
        <stp/>
        <stp>##V3_BDPV12</stp>
        <stp>USDCAD Curncy</stp>
        <stp>PX_LAST</stp>
        <stp>[Live Pricing.xlsm]FX_Live!R11C5</stp>
        <tr r="E11" s="44"/>
      </tp>
      <tp t="e">
        <v>#N/A</v>
        <stp/>
        <stp>##V3_BDHV12</stp>
        <stp>BLBS3 Index</stp>
        <stp>PX_LAST</stp>
        <stp>3/26/2019</stp>
        <stp>3/26/2019</stp>
        <stp>[Live Pricing.xlsm]FX_Curve_History!R157C13</stp>
        <tr r="M157" s="50"/>
      </tp>
      <tp t="e">
        <v>#N/A</v>
        <stp/>
        <stp>##V3_BDHV12</stp>
        <stp>USSW12 CMPN Curncy</stp>
        <stp>Close</stp>
        <stp>03/26/2019 15:00:00</stp>
        <stp>03/26/2019 15:01:00</stp>
        <stp>[Live Pricing.xlsm]Rate_History!R16C18</stp>
        <stp>BarType</stp>
        <stp>T</stp>
        <stp>Dir=V</stp>
        <stp>cols=2;rows=1</stp>
        <tr r="R16" s="49"/>
      </tp>
      <tp t="e">
        <v>#N/A</v>
        <stp/>
        <stp>##V3_BDHV12</stp>
        <stp>USSW10 CMPN Curncy</stp>
        <stp>Close</stp>
        <stp>03/26/2019 15:00:00</stp>
        <stp>03/26/2019 15:01:00</stp>
        <stp>[Live Pricing.xlsm]Rate_History!R14C18</stp>
        <stp>BarType</stp>
        <stp>T</stp>
        <stp>Dir=V</stp>
        <stp>cols=2;rows=1</stp>
        <tr r="R14" s="49"/>
      </tp>
      <tp t="e">
        <v>#N/A</v>
        <stp/>
        <stp>##V3_BDHV12</stp>
        <stp>USSW11 CMPN Curncy</stp>
        <stp>Close</stp>
        <stp>03/26/2019 15:00:00</stp>
        <stp>03/26/2019 15:01:00</stp>
        <stp>[Live Pricing.xlsm]Rate_History!R15C18</stp>
        <stp>BarType</stp>
        <stp>T</stp>
        <stp>Dir=V</stp>
        <stp>cols=2;rows=1</stp>
        <tr r="R15" s="49"/>
      </tp>
      <tp t="e">
        <v>#N/A</v>
        <stp/>
        <stp>##V3_BDHV12</stp>
        <stp>USSW15 CMPN Curncy</stp>
        <stp>Close</stp>
        <stp>03/26/2019 15:00:00</stp>
        <stp>03/26/2019 15:01:00</stp>
        <stp>[Live Pricing.xlsm]Rate_History!R19C18</stp>
        <stp>BarType</stp>
        <stp>T</stp>
        <stp>Dir=V</stp>
        <stp>cols=2;rows=1</stp>
        <tr r="R19" s="49"/>
      </tp>
      <tp t="e">
        <v>#N/A</v>
        <stp/>
        <stp>##V3_BDHV12</stp>
        <stp>EUSA14 Index</stp>
        <stp>PX_LAST</stp>
        <stp>3/26/2019</stp>
        <stp>3/26/2019</stp>
        <stp>[Live Pricing.xlsm]FX_Curve_History!R43C6</stp>
        <tr r="F43" s="50"/>
      </tp>
      <tp t="e">
        <v>#N/A</v>
        <stp/>
        <stp>##V3_BDHV12</stp>
        <stp>EUNEA7 ICPL Curncy</stp>
        <stp>PX_LAST</stp>
        <stp>3/26/2019</stp>
        <stp>3/26/2019</stp>
        <stp>[Live Pricing.xlsm]Vol_Surface!R64C8</stp>
        <tr r="H64" s="53"/>
      </tp>
      <tp t="e">
        <v>#N/A</v>
        <stp/>
        <stp>##V3_BDHV12</stp>
        <stp>EUNEA6 ICPL Curncy</stp>
        <stp>PX_LAST</stp>
        <stp>3/26/2019</stp>
        <stp>3/26/2019</stp>
        <stp>[Live Pricing.xlsm]Vol_Surface!R64C7</stp>
        <tr r="G64" s="53"/>
      </tp>
      <tp t="e">
        <v>#N/A</v>
        <stp/>
        <stp>##V3_BDHV12</stp>
        <stp>EUNEA5 ICPL Curncy</stp>
        <stp>PX_LAST</stp>
        <stp>3/26/2019</stp>
        <stp>3/26/2019</stp>
        <stp>[Live Pricing.xlsm]Vol_Surface!R64C6</stp>
        <tr r="F64" s="53"/>
      </tp>
      <tp t="e">
        <v>#N/A</v>
        <stp/>
        <stp>##V3_BDHV12</stp>
        <stp>EUNEA4 ICPL Curncy</stp>
        <stp>PX_LAST</stp>
        <stp>3/26/2019</stp>
        <stp>3/26/2019</stp>
        <stp>[Live Pricing.xlsm]Vol_Surface!R64C5</stp>
        <tr r="E64" s="53"/>
      </tp>
      <tp t="e">
        <v>#N/A</v>
        <stp/>
        <stp>##V3_BDHV12</stp>
        <stp>EUNEA3 ICPL Curncy</stp>
        <stp>PX_LAST</stp>
        <stp>3/26/2019</stp>
        <stp>3/26/2019</stp>
        <stp>[Live Pricing.xlsm]Vol_Surface!R64C4</stp>
        <tr r="D64" s="53"/>
      </tp>
      <tp t="e">
        <v>#N/A</v>
        <stp/>
        <stp>##V3_BDHV12</stp>
        <stp>EUNEA2 ICPL Curncy</stp>
        <stp>PX_LAST</stp>
        <stp>3/26/2019</stp>
        <stp>3/26/2019</stp>
        <stp>[Live Pricing.xlsm]Vol_Surface!R64C3</stp>
        <tr r="C64" s="53"/>
      </tp>
      <tp t="e">
        <v>#N/A</v>
        <stp/>
        <stp>##V3_BDHV12</stp>
        <stp>EUNZA1 ICPL Curncy</stp>
        <stp>PX_LAST</stp>
        <stp>3/26/2019</stp>
        <stp>3/26/2019</stp>
        <stp>[Live Pricing.xlsm]Vol_Surface!R24C6</stp>
        <tr r="F24" s="53"/>
      </tp>
      <tp t="e">
        <v>#N/A</v>
        <stp/>
        <stp>##V3_BDHV12</stp>
        <stp>EUNEA1 ICPL Curncy</stp>
        <stp>PX_LAST</stp>
        <stp>3/26/2019</stp>
        <stp>3/26/2019</stp>
        <stp>[Live Pricing.xlsm]Vol_Surface!R64C2</stp>
        <tr r="B64" s="53"/>
      </tp>
      <tp t="e">
        <v>#N/A</v>
        <stp/>
        <stp>##V3_BDHV12</stp>
        <stp>EUNEA8 ICPL Curncy</stp>
        <stp>PX_LAST</stp>
        <stp>3/26/2019</stp>
        <stp>3/26/2019</stp>
        <stp>[Live Pricing.xlsm]Vol_Surface!R64C9</stp>
        <tr r="I64" s="53"/>
      </tp>
      <tp t="e">
        <v>#N/A</v>
        <stp/>
        <stp>##V3_BDPV12</stp>
        <stp>USDAUD Curncy</stp>
        <stp>PX_LAST</stp>
        <stp>[Live Pricing.xlsm]FX_Live!R12C5</stp>
        <tr r="E12" s="44"/>
      </tp>
      <tp t="e">
        <v>#N/A</v>
        <stp/>
        <stp>##V3_BDHV12</stp>
        <stp>BLBS2 Index</stp>
        <stp>PX_LAST</stp>
        <stp>3/26/2019</stp>
        <stp>3/26/2019</stp>
        <stp>[Live Pricing.xlsm]FX_Curve_History!R156C13</stp>
        <tr r="M156" s="50"/>
      </tp>
      <tp t="e">
        <v>#N/A</v>
        <stp/>
        <stp>##V3_BDHV12</stp>
        <stp>USSN0I8 CMPN Curncy</stp>
        <stp>PX_LAST</stp>
        <stp>3/26/2019</stp>
        <stp>3/26/2019</stp>
        <stp>[Live Pricing.xlsm]Vol_Surface!R47C9</stp>
        <tr r="I47" s="53"/>
      </tp>
      <tp t="e">
        <v>#N/A</v>
        <stp/>
        <stp>##V3_BDHV12</stp>
        <stp>USSN0I5 CMPN Curncy</stp>
        <stp>PX_LAST</stp>
        <stp>3/26/2019</stp>
        <stp>3/26/2019</stp>
        <stp>[Live Pricing.xlsm]Vol_Surface!R47C6</stp>
        <tr r="F47" s="53"/>
      </tp>
      <tp t="e">
        <v>#N/A</v>
        <stp/>
        <stp>##V3_BDHV12</stp>
        <stp>USSN0I4 CMPN Curncy</stp>
        <stp>PX_LAST</stp>
        <stp>3/26/2019</stp>
        <stp>3/26/2019</stp>
        <stp>[Live Pricing.xlsm]Vol_Surface!R47C5</stp>
        <tr r="E47" s="53"/>
      </tp>
      <tp t="e">
        <v>#N/A</v>
        <stp/>
        <stp>##V3_BDHV12</stp>
        <stp>USSN0I7 CMPN Curncy</stp>
        <stp>PX_LAST</stp>
        <stp>3/26/2019</stp>
        <stp>3/26/2019</stp>
        <stp>[Live Pricing.xlsm]Vol_Surface!R47C8</stp>
        <tr r="H47" s="53"/>
      </tp>
      <tp t="e">
        <v>#N/A</v>
        <stp/>
        <stp>##V3_BDHV12</stp>
        <stp>USSN0I6 CMPN Curncy</stp>
        <stp>PX_LAST</stp>
        <stp>3/26/2019</stp>
        <stp>3/26/2019</stp>
        <stp>[Live Pricing.xlsm]Vol_Surface!R47C7</stp>
        <tr r="G47" s="53"/>
      </tp>
      <tp t="e">
        <v>#N/A</v>
        <stp/>
        <stp>##V3_BDHV12</stp>
        <stp>USSN0I1 CMPN Curncy</stp>
        <stp>PX_LAST</stp>
        <stp>3/26/2019</stp>
        <stp>3/26/2019</stp>
        <stp>[Live Pricing.xlsm]Vol_Surface!R47C2</stp>
        <tr r="B47" s="53"/>
      </tp>
      <tp t="e">
        <v>#N/A</v>
        <stp/>
        <stp>##V3_BDHV12</stp>
        <stp>USSN0I3 CMPN Curncy</stp>
        <stp>PX_LAST</stp>
        <stp>3/26/2019</stp>
        <stp>3/26/2019</stp>
        <stp>[Live Pricing.xlsm]Vol_Surface!R47C4</stp>
        <tr r="D47" s="53"/>
      </tp>
      <tp t="e">
        <v>#N/A</v>
        <stp/>
        <stp>##V3_BDHV12</stp>
        <stp>USSN0I2 CMPN Curncy</stp>
        <stp>PX_LAST</stp>
        <stp>3/26/2019</stp>
        <stp>3/26/2019</stp>
        <stp>[Live Pricing.xlsm]Vol_Surface!R47C3</stp>
        <tr r="C47" s="53"/>
      </tp>
      <tp t="e">
        <v>#N/A</v>
        <stp/>
        <stp>##V3_BDHV12</stp>
        <stp>EUSA13 Index</stp>
        <stp>PX_LAST</stp>
        <stp>3/26/2019</stp>
        <stp>3/26/2019</stp>
        <stp>[Live Pricing.xlsm]FX_Curve_History!R42C6</stp>
        <tr r="F42" s="50"/>
      </tp>
      <tp t="e">
        <v>#N/A</v>
        <stp/>
        <stp>##V3_BDHV12</stp>
        <stp>EUNZA2 ICPL Curncy</stp>
        <stp>PX_LAST</stp>
        <stp>3/26/2019</stp>
        <stp>3/26/2019</stp>
        <stp>[Live Pricing.xlsm]Vol_Surface!R25C6</stp>
        <tr r="F25" s="53"/>
      </tp>
      <tp t="e">
        <v>#N/A</v>
        <stp/>
        <stp>##V3_BDHV12</stp>
        <stp>SF0002M Index</stp>
        <stp>PX_LAST</stp>
        <stp>3/26/2019</stp>
        <stp>3/26/2019</stp>
        <stp>[Live Pricing.xlsm]FX_Curve_History!R108C2</stp>
        <tr r="B108" s="50"/>
      </tp>
      <tp t="e">
        <v>#N/A</v>
        <stp/>
        <stp>##V3_BDHV12</stp>
        <stp>SF0003M Index</stp>
        <stp>PX_LAST</stp>
        <stp>3/26/2019</stp>
        <stp>3/26/2019</stp>
        <stp>[Live Pricing.xlsm]FX_Curve_History!R109C2</stp>
        <tr r="B109" s="50"/>
      </tp>
      <tp t="e">
        <v>#N/A</v>
        <stp/>
        <stp>##V3_BDPV12</stp>
        <stp>CDSW2 Index</stp>
        <stp>PX_LAST</stp>
        <stp>[Live Pricing.xlsm]Rate_Live!R131C6</stp>
        <tr r="F131" s="39"/>
      </tp>
      <tp t="e">
        <v>#N/A</v>
        <stp/>
        <stp>##V3_BDPV12</stp>
        <stp>CDSW6 Index</stp>
        <stp>PX_LAST</stp>
        <stp>[Live Pricing.xlsm]Rate_Live!R135C6</stp>
        <tr r="F135" s="39"/>
      </tp>
      <tp t="e">
        <v>#N/A</v>
        <stp/>
        <stp>##V3_BDHV12</stp>
        <stp>BLBS5 Index</stp>
        <stp>PX_LAST</stp>
        <stp>3/26/2019</stp>
        <stp>3/26/2019</stp>
        <stp>[Live Pricing.xlsm]FX_Curve_History!R159C13</stp>
        <tr r="M159" s="50"/>
      </tp>
      <tp t="e">
        <v>#N/A</v>
        <stp/>
        <stp>##V3_BDHV12</stp>
        <stp>USSN0I9 CMPN Curncy</stp>
        <stp>PX_LAST</stp>
        <stp>3/26/2019</stp>
        <stp>3/26/2019</stp>
        <stp>[Live Pricing.xlsm]Vol_Surface!R47C10</stp>
        <tr r="J47" s="53"/>
      </tp>
      <tp t="e">
        <v>#N/A</v>
        <stp/>
        <stp>##V3_BDHV12</stp>
        <stp>USSN0A9 CMPN Curncy</stp>
        <stp>PX_LAST</stp>
        <stp>3/26/2019</stp>
        <stp>3/26/2019</stp>
        <stp>[Live Pricing.xlsm]Vol_Surface!R44C10</stp>
        <tr r="J44" s="53"/>
      </tp>
      <tp t="e">
        <v>#N/A</v>
        <stp/>
        <stp>##V3_BDHV12</stp>
        <stp>USSN0C9 CMPN Curncy</stp>
        <stp>PX_LAST</stp>
        <stp>3/26/2019</stp>
        <stp>3/26/2019</stp>
        <stp>[Live Pricing.xlsm]Vol_Surface!R45C10</stp>
        <tr r="J45" s="53"/>
      </tp>
      <tp t="e">
        <v>#N/A</v>
        <stp/>
        <stp>##V3_BDHV12</stp>
        <stp>USSN0F9 CMPN Curncy</stp>
        <stp>PX_LAST</stp>
        <stp>3/26/2019</stp>
        <stp>3/26/2019</stp>
        <stp>[Live Pricing.xlsm]Vol_Surface!R46C10</stp>
        <tr r="J46" s="53"/>
      </tp>
      <tp t="e">
        <v>#N/A</v>
        <stp/>
        <stp>##V3_BDHV12</stp>
        <stp>USSN019 CMPN Curncy</stp>
        <stp>PX_LAST</stp>
        <stp>3/26/2019</stp>
        <stp>3/26/2019</stp>
        <stp>[Live Pricing.xlsm]Vol_Surface!R48C10</stp>
        <tr r="J48" s="53"/>
      </tp>
      <tp t="e">
        <v>#N/A</v>
        <stp/>
        <stp>##V3_BDHV12</stp>
        <stp>USSN029 CMPN Curncy</stp>
        <stp>PX_LAST</stp>
        <stp>3/26/2019</stp>
        <stp>3/26/2019</stp>
        <stp>[Live Pricing.xlsm]Vol_Surface!R49C10</stp>
        <tr r="J49" s="53"/>
      </tp>
      <tp t="e">
        <v>#N/A</v>
        <stp/>
        <stp>##V3_BDHV12</stp>
        <stp>USSN049 CMPN Curncy</stp>
        <stp>PX_LAST</stp>
        <stp>3/26/2019</stp>
        <stp>3/26/2019</stp>
        <stp>[Live Pricing.xlsm]Vol_Surface!R51C10</stp>
        <tr r="J51" s="53"/>
      </tp>
      <tp t="e">
        <v>#N/A</v>
        <stp/>
        <stp>##V3_BDHV12</stp>
        <stp>USSN059 CMPN Curncy</stp>
        <stp>PX_LAST</stp>
        <stp>3/26/2019</stp>
        <stp>3/26/2019</stp>
        <stp>[Live Pricing.xlsm]Vol_Surface!R52C10</stp>
        <tr r="J52" s="53"/>
      </tp>
      <tp t="e">
        <v>#N/A</v>
        <stp/>
        <stp>##V3_BDHV12</stp>
        <stp>USSN039 CMPN Curncy</stp>
        <stp>PX_LAST</stp>
        <stp>3/26/2019</stp>
        <stp>3/26/2019</stp>
        <stp>[Live Pricing.xlsm]Vol_Surface!R50C10</stp>
        <tr r="J50" s="53"/>
      </tp>
      <tp t="e">
        <v>#N/A</v>
        <stp/>
        <stp>##V3_BDHV12</stp>
        <stp>EUSA16 Index</stp>
        <stp>PX_LAST</stp>
        <stp>3/26/2019</stp>
        <stp>3/26/2019</stp>
        <stp>[Live Pricing.xlsm]FX_Curve_History!R45C6</stp>
        <tr r="F45" s="50"/>
      </tp>
      <tp t="e">
        <v>#N/A</v>
        <stp/>
        <stp>##V3_BDPV12</stp>
        <stp>SF0002M Index</stp>
        <stp>PX_LAST</stp>
        <stp>[Live Pricing.xlsm]FX_Curve_Live!R108C2</stp>
        <tr r="B108" s="42"/>
      </tp>
      <tp t="e">
        <v>#N/A</v>
        <stp/>
        <stp>##V3_BDPV12</stp>
        <stp>USDCOP Curncy</stp>
        <stp>PX_LAST</stp>
        <stp>[Live Pricing.xlsm]FX_Live!R16C5</stp>
        <tr r="E16" s="44"/>
      </tp>
      <tp t="e">
        <v>#N/A</v>
        <stp/>
        <stp>##V3_BDHV12</stp>
        <stp>BLBS4 Index</stp>
        <stp>PX_LAST</stp>
        <stp>3/26/2019</stp>
        <stp>3/26/2019</stp>
        <stp>[Live Pricing.xlsm]FX_Curve_History!R158C13</stp>
        <tr r="M158" s="50"/>
      </tp>
      <tp t="e">
        <v>#N/A</v>
        <stp/>
        <stp>##V3_BDHV12</stp>
        <stp>EUSA15 Index</stp>
        <stp>PX_LAST</stp>
        <stp>3/26/2019</stp>
        <stp>3/26/2019</stp>
        <stp>[Live Pricing.xlsm]FX_Curve_History!R44C6</stp>
        <tr r="F44" s="50"/>
      </tp>
      <tp t="e">
        <v>#N/A</v>
        <stp/>
        <stp>##V3_BDHV12</stp>
        <stp/>
        <stp>PX_LAST</stp>
        <stp>3/26/2019</stp>
        <stp>3/26/2019</stp>
        <stp>[Live Pricing.xlsm]FX_Curve_History!R162C22</stp>
        <tr r="V162" s="50"/>
      </tp>
      <tp t="e">
        <v>#N/A</v>
        <stp/>
        <stp>##V3_BDPV12</stp>
        <stp>SF0003M Index</stp>
        <stp>PX_LAST</stp>
        <stp>[Live Pricing.xlsm]FX_Curve_Live!R109C2</stp>
        <tr r="B109" s="42"/>
      </tp>
      <tp t="e">
        <v>#N/A</v>
        <stp/>
        <stp>##V3_BDPV12</stp>
        <stp>CDSW3 Index</stp>
        <stp>PX_LAST</stp>
        <stp>[Live Pricing.xlsm]Rate_Live!R132C6</stp>
        <tr r="F132" s="39"/>
      </tp>
      <tp t="e">
        <v>#N/A</v>
        <stp/>
        <stp>##V3_BDPV12</stp>
        <stp>CDSW5 Index</stp>
        <stp>PX_LAST</stp>
        <stp>[Live Pricing.xlsm]Rate_Live!R134C6</stp>
        <tr r="F134" s="39"/>
      </tp>
      <tp t="e">
        <v>#N/A</v>
        <stp/>
        <stp>##V3_BDPV12</stp>
        <stp>CDSW7 Index</stp>
        <stp>PX_LAST</stp>
        <stp>[Live Pricing.xlsm]Rate_Live!R136C6</stp>
        <tr r="F136" s="39"/>
      </tp>
      <tp t="e">
        <v>#N/A</v>
        <stp/>
        <stp>##V3_BDPV12</stp>
        <stp>CDSW9 Index</stp>
        <stp>PX_LAST</stp>
        <stp>[Live Pricing.xlsm]Rate_Live!R138C6</stp>
        <tr r="F138" s="39"/>
      </tp>
      <tp t="e">
        <v>#N/A</v>
        <stp/>
        <stp>##V3_BDHV12</stp>
        <stp>SFSW15 Index</stp>
        <stp>PX_LAST</stp>
        <stp>3/26/2019</stp>
        <stp>3/26/2019</stp>
        <stp>[Live Pricing.xlsm]FX_Curve_History!R119C6</stp>
        <tr r="F119" s="50"/>
      </tp>
      <tp t="e">
        <v>#N/A</v>
        <stp/>
        <stp>##V3_BDHV12</stp>
        <stp>BLBS7 Index</stp>
        <stp>PX_LAST</stp>
        <stp>3/26/2019</stp>
        <stp>3/26/2019</stp>
        <stp>[Live Pricing.xlsm]FX_Curve_History!R161C13</stp>
        <tr r="M161" s="50"/>
      </tp>
      <tp t="e">
        <v>#N/A</v>
        <stp/>
        <stp>##V3_BDHV12</stp>
        <stp>BP00O/N Index</stp>
        <stp>PX_LAST</stp>
        <stp>3/26/2019</stp>
        <stp>3/26/2019</stp>
        <stp>[Live Pricing.xlsm]FX_Curve_History!R81C2</stp>
        <tr r="B81" s="50"/>
      </tp>
      <tp t="e">
        <v>#N/A</v>
        <stp/>
        <stp>##V3_BDHV12</stp>
        <stp>EUSA40 CMPN Curncy</stp>
        <stp>Close</stp>
        <stp>03/26/2019 11:15:00</stp>
        <stp>03/26/2019 11:16:00</stp>
        <stp>[Live Pricing.xlsm]Rate_History!R50C18</stp>
        <stp>BarType</stp>
        <stp>T</stp>
        <stp>Dir=V</stp>
        <stp>cols=2;rows=1</stp>
        <tr r="R50" s="49"/>
      </tp>
      <tp t="e">
        <v>#N/A</v>
        <stp/>
        <stp>##V3_BDHV12</stp>
        <stp>EUSA20 Index</stp>
        <stp>PX_LAST</stp>
        <stp>3/26/2019</stp>
        <stp>3/26/2019</stp>
        <stp>[Live Pricing.xlsm]FX_Curve_History!R47C6</stp>
        <tr r="F47" s="50"/>
      </tp>
      <tp t="e">
        <v>#N/A</v>
        <stp/>
        <stp>##V3_BDPV12</stp>
        <stp>BPSW40 Index</stp>
        <stp>PX_LAST</stp>
        <stp>[Live Pricing.xlsm]Rate_Live!R100C6</stp>
        <tr r="F100" s="39"/>
      </tp>
      <tp t="e">
        <v>#N/A</v>
        <stp/>
        <stp>##V3_BDPV12</stp>
        <stp>USSW5 Index</stp>
        <stp>PX_LAST</stp>
        <stp>[Live Pricing.xlsm]Rate_Live!R9C6</stp>
        <tr r="F9" s="39"/>
      </tp>
      <tp t="e">
        <v>#N/A</v>
        <stp/>
        <stp>##V3_BDHV12</stp>
        <stp>BLBS1 Curncy</stp>
        <stp>PX_LAST</stp>
        <stp>3/26/2019</stp>
        <stp>3/26/2019</stp>
        <stp>[Live Pricing.xlsm]FX_Curve_History!R156C16</stp>
        <tr r="P156" s="50"/>
      </tp>
      <tp t="e">
        <v>#N/A</v>
        <stp/>
        <stp>##V3_BDPV12</stp>
        <stp>USDCHF Curncy</stp>
        <stp>PX_LAST</stp>
        <stp>[Live Pricing.xlsm]FX_Live!R14C5</stp>
        <tr r="E14" s="44"/>
      </tp>
      <tp t="e">
        <v>#N/A</v>
        <stp/>
        <stp>##V3_BDPV12</stp>
        <stp>USDBRL Curncy</stp>
        <stp>PX_LAST</stp>
        <stp>[Live Pricing.xlsm]FX_Live!R15C5</stp>
        <tr r="E15" s="44"/>
      </tp>
      <tp t="e">
        <v>#N/A</v>
        <stp/>
        <stp>##V3_BDHV12</stp>
        <stp>SFSW14 Index</stp>
        <stp>PX_LAST</stp>
        <stp>3/26/2019</stp>
        <stp>3/26/2019</stp>
        <stp>[Live Pricing.xlsm]FX_Curve_History!R118C6</stp>
        <tr r="F118" s="50"/>
      </tp>
      <tp t="e">
        <v>#N/A</v>
        <stp/>
        <stp>##V3_BDHV12</stp>
        <stp>BLBS6 Index</stp>
        <stp>PX_LAST</stp>
        <stp>3/26/2019</stp>
        <stp>3/26/2019</stp>
        <stp>[Live Pricing.xlsm]FX_Curve_History!R160C13</stp>
        <tr r="M160" s="50"/>
      </tp>
      <tp t="e">
        <v>#N/A</v>
        <stp/>
        <stp>##V3_BDHV12</stp>
        <stp>EUSA11 CMPN Curncy</stp>
        <stp>Close</stp>
        <stp>03/26/2019 11:15:00</stp>
        <stp>03/26/2019 11:16:00</stp>
        <stp>[Live Pricing.xlsm]Rate_History!R40C18</stp>
        <stp>BarType</stp>
        <stp>T</stp>
        <stp>Dir=V</stp>
        <stp>cols=2;rows=1</stp>
        <tr r="R40" s="49"/>
      </tp>
      <tp t="e">
        <v>#N/A</v>
        <stp/>
        <stp>##V3_BDHV12</stp>
        <stp>EUSA12 CMPN Curncy</stp>
        <stp>Close</stp>
        <stp>03/26/2019 11:15:00</stp>
        <stp>03/26/2019 11:16:00</stp>
        <stp>[Live Pricing.xlsm]Rate_History!R41C18</stp>
        <stp>BarType</stp>
        <stp>T</stp>
        <stp>Dir=V</stp>
        <stp>cols=2;rows=1</stp>
        <tr r="R41" s="49"/>
      </tp>
      <tp t="e">
        <v>#N/A</v>
        <stp/>
        <stp>##V3_BDHV12</stp>
        <stp>EUSA13 CMPN Curncy</stp>
        <stp>Close</stp>
        <stp>03/26/2019 11:15:00</stp>
        <stp>03/26/2019 11:16:00</stp>
        <stp>[Live Pricing.xlsm]Rate_History!R42C18</stp>
        <stp>BarType</stp>
        <stp>T</stp>
        <stp>Dir=V</stp>
        <stp>cols=2;rows=1</stp>
        <tr r="R42" s="49"/>
      </tp>
      <tp t="e">
        <v>#N/A</v>
        <stp/>
        <stp>##V3_BDHV12</stp>
        <stp>EUSA14 CMPN Curncy</stp>
        <stp>Close</stp>
        <stp>03/26/2019 11:15:00</stp>
        <stp>03/26/2019 11:16:00</stp>
        <stp>[Live Pricing.xlsm]Rate_History!R43C18</stp>
        <stp>BarType</stp>
        <stp>T</stp>
        <stp>Dir=V</stp>
        <stp>cols=2;rows=1</stp>
        <tr r="R43" s="49"/>
      </tp>
      <tp t="e">
        <v>#N/A</v>
        <stp/>
        <stp>##V3_BDHV12</stp>
        <stp>EUSA15 CMPN Curncy</stp>
        <stp>Close</stp>
        <stp>03/26/2019 11:15:00</stp>
        <stp>03/26/2019 11:16:00</stp>
        <stp>[Live Pricing.xlsm]Rate_History!R44C18</stp>
        <stp>BarType</stp>
        <stp>T</stp>
        <stp>Dir=V</stp>
        <stp>cols=2;rows=1</stp>
        <tr r="R44" s="49"/>
      </tp>
      <tp t="e">
        <v>#N/A</v>
        <stp/>
        <stp>##V3_BDHV12</stp>
        <stp>EUSA16 CMPN Curncy</stp>
        <stp>Close</stp>
        <stp>03/26/2019 11:15:00</stp>
        <stp>03/26/2019 11:16:00</stp>
        <stp>[Live Pricing.xlsm]Rate_History!R45C18</stp>
        <stp>BarType</stp>
        <stp>T</stp>
        <stp>Dir=V</stp>
        <stp>cols=2;rows=1</stp>
        <tr r="R45" s="49"/>
      </tp>
      <tp t="e">
        <v>#N/A</v>
        <stp/>
        <stp>##V3_BDHV12</stp>
        <stp>EUSA17 CMPN Curncy</stp>
        <stp>Close</stp>
        <stp>03/26/2019 11:15:00</stp>
        <stp>03/26/2019 11:16:00</stp>
        <stp>[Live Pricing.xlsm]Rate_History!R46C18</stp>
        <stp>BarType</stp>
        <stp>T</stp>
        <stp>Dir=V</stp>
        <stp>cols=2;rows=1</stp>
        <tr r="R46" s="49"/>
      </tp>
      <tp t="e">
        <v>#N/A</v>
        <stp/>
        <stp>##V3_BDHV12</stp>
        <stp>EUSA20 CMPN Curncy</stp>
        <stp>Close</stp>
        <stp>03/26/2019 11:15:00</stp>
        <stp>03/26/2019 11:16:00</stp>
        <stp>[Live Pricing.xlsm]Rate_History!R47C18</stp>
        <stp>BarType</stp>
        <stp>T</stp>
        <stp>Dir=V</stp>
        <stp>cols=2;rows=1</stp>
        <tr r="R47" s="49"/>
      </tp>
      <tp t="e">
        <v>#N/A</v>
        <stp/>
        <stp>##V3_BDHV12</stp>
        <stp>EUSA25 CMPN Curncy</stp>
        <stp>Close</stp>
        <stp>03/26/2019 11:15:00</stp>
        <stp>03/26/2019 11:16:00</stp>
        <stp>[Live Pricing.xlsm]Rate_History!R48C18</stp>
        <stp>BarType</stp>
        <stp>T</stp>
        <stp>Dir=V</stp>
        <stp>cols=2;rows=1</stp>
        <tr r="R48" s="49"/>
      </tp>
      <tp t="e">
        <v>#N/A</v>
        <stp/>
        <stp>##V3_BDHV12</stp>
        <stp>EUSA30 CMPN Curncy</stp>
        <stp>Close</stp>
        <stp>03/26/2019 11:15:00</stp>
        <stp>03/26/2019 11:16:00</stp>
        <stp>[Live Pricing.xlsm]Rate_History!R49C18</stp>
        <stp>BarType</stp>
        <stp>T</stp>
        <stp>Dir=V</stp>
        <stp>cols=2;rows=1</stp>
        <tr r="R49" s="49"/>
      </tp>
      <tp t="e">
        <v>#N/A</v>
        <stp/>
        <stp>##V3_BDHV12</stp>
        <stp>EUSA17 Index</stp>
        <stp>PX_LAST</stp>
        <stp>3/26/2019</stp>
        <stp>3/26/2019</stp>
        <stp>[Live Pricing.xlsm]FX_Curve_History!R46C6</stp>
        <tr r="F46" s="50"/>
      </tp>
      <tp t="e">
        <v>#N/A</v>
        <stp/>
        <stp>##V3_BDHV12</stp>
        <stp>EUNEF7 ICPL Curncy</stp>
        <stp>PX_LAST</stp>
        <stp>3/26/2019</stp>
        <stp>3/26/2019</stp>
        <stp>[Live Pricing.xlsm]Vol_Surface!R66C8</stp>
        <tr r="H66" s="53"/>
      </tp>
      <tp t="e">
        <v>#N/A</v>
        <stp/>
        <stp>##V3_BDHV12</stp>
        <stp>EUNEF6 ICPL Curncy</stp>
        <stp>PX_LAST</stp>
        <stp>3/26/2019</stp>
        <stp>3/26/2019</stp>
        <stp>[Live Pricing.xlsm]Vol_Surface!R66C7</stp>
        <tr r="G66" s="53"/>
      </tp>
      <tp t="e">
        <v>#N/A</v>
        <stp/>
        <stp>##V3_BDHV12</stp>
        <stp>EUNEF5 ICPL Curncy</stp>
        <stp>PX_LAST</stp>
        <stp>3/26/2019</stp>
        <stp>3/26/2019</stp>
        <stp>[Live Pricing.xlsm]Vol_Surface!R66C6</stp>
        <tr r="F66" s="53"/>
      </tp>
      <tp t="e">
        <v>#N/A</v>
        <stp/>
        <stp>##V3_BDHV12</stp>
        <stp>EUNEF4 ICPL Curncy</stp>
        <stp>PX_LAST</stp>
        <stp>3/26/2019</stp>
        <stp>3/26/2019</stp>
        <stp>[Live Pricing.xlsm]Vol_Surface!R66C5</stp>
        <tr r="E66" s="53"/>
      </tp>
      <tp t="e">
        <v>#N/A</v>
        <stp/>
        <stp>##V3_BDHV12</stp>
        <stp>EUNEF3 ICPL Curncy</stp>
        <stp>PX_LAST</stp>
        <stp>3/26/2019</stp>
        <stp>3/26/2019</stp>
        <stp>[Live Pricing.xlsm]Vol_Surface!R66C4</stp>
        <tr r="D66" s="53"/>
      </tp>
      <tp t="e">
        <v>#N/A</v>
        <stp/>
        <stp>##V3_BDPV12</stp>
        <stp>USSW4 Index</stp>
        <stp>PX_LAST</stp>
        <stp>[Live Pricing.xlsm]Rate_Live!R8C6</stp>
        <tr r="F8" s="39"/>
      </tp>
      <tp t="e">
        <v>#N/A</v>
        <stp/>
        <stp>##V3_BDHV12</stp>
        <stp>EUNEF2 ICPL Curncy</stp>
        <stp>PX_LAST</stp>
        <stp>3/26/2019</stp>
        <stp>3/26/2019</stp>
        <stp>[Live Pricing.xlsm]Vol_Surface!R66C3</stp>
        <tr r="C66" s="53"/>
      </tp>
      <tp t="e">
        <v>#N/A</v>
        <stp/>
        <stp>##V3_BDHV12</stp>
        <stp>EUNEF1 ICPL Curncy</stp>
        <stp>PX_LAST</stp>
        <stp>3/26/2019</stp>
        <stp>3/26/2019</stp>
        <stp>[Live Pricing.xlsm]Vol_Surface!R66C2</stp>
        <tr r="B66" s="53"/>
      </tp>
      <tp t="e">
        <v>#N/A</v>
        <stp/>
        <stp>##V3_BDHV12</stp>
        <stp>EUNEF8 ICPL Curncy</stp>
        <stp>PX_LAST</stp>
        <stp>3/26/2019</stp>
        <stp>3/26/2019</stp>
        <stp>[Live Pricing.xlsm]Vol_Surface!R66C9</stp>
        <tr r="I66" s="53"/>
      </tp>
      <tp t="e">
        <v>#N/A</v>
        <stp/>
        <stp>##V3_BDPV12</stp>
        <stp>CDSW8 Index</stp>
        <stp>PX_LAST</stp>
        <stp>[Live Pricing.xlsm]Rate_Live!R137C6</stp>
        <tr r="F137" s="39"/>
      </tp>
      <tp t="e">
        <v>#N/A</v>
        <stp/>
        <stp>##V3_BDHV12</stp>
        <stp>SFSW13 Index</stp>
        <stp>PX_LAST</stp>
        <stp>3/26/2019</stp>
        <stp>3/26/2019</stp>
        <stp>[Live Pricing.xlsm]FX_Curve_History!R117C6</stp>
        <tr r="F117" s="50"/>
      </tp>
      <tp t="e">
        <v>#N/A</v>
        <stp/>
        <stp>##V3_BDHV12</stp>
        <stp>BLBS9 Index</stp>
        <stp>PX_LAST</stp>
        <stp>3/26/2019</stp>
        <stp>3/26/2019</stp>
        <stp>[Live Pricing.xlsm]FX_Curve_History!R163C13</stp>
        <tr r="M163" s="50"/>
      </tp>
      <tp t="e">
        <v>#N/A</v>
        <stp/>
        <stp>##V3_BDHV12</stp>
        <stp>USSN0A8 CMPN Curncy</stp>
        <stp>PX_LAST</stp>
        <stp>3/26/2019</stp>
        <stp>3/26/2019</stp>
        <stp>[Live Pricing.xlsm]Vol_Surface!R44C9</stp>
        <tr r="I44" s="53"/>
      </tp>
      <tp t="e">
        <v>#N/A</v>
        <stp/>
        <stp>##V3_BDHV12</stp>
        <stp>USSN0A5 CMPN Curncy</stp>
        <stp>PX_LAST</stp>
        <stp>3/26/2019</stp>
        <stp>3/26/2019</stp>
        <stp>[Live Pricing.xlsm]Vol_Surface!R44C6</stp>
        <tr r="F44" s="53"/>
      </tp>
      <tp t="e">
        <v>#N/A</v>
        <stp/>
        <stp>##V3_BDHV12</stp>
        <stp>USSN0A4 CMPN Curncy</stp>
        <stp>PX_LAST</stp>
        <stp>3/26/2019</stp>
        <stp>3/26/2019</stp>
        <stp>[Live Pricing.xlsm]Vol_Surface!R44C5</stp>
        <tr r="E44" s="53"/>
      </tp>
      <tp t="e">
        <v>#N/A</v>
        <stp/>
        <stp>##V3_BDHV12</stp>
        <stp>USSN0A7 CMPN Curncy</stp>
        <stp>PX_LAST</stp>
        <stp>3/26/2019</stp>
        <stp>3/26/2019</stp>
        <stp>[Live Pricing.xlsm]Vol_Surface!R44C8</stp>
        <tr r="H44" s="53"/>
      </tp>
      <tp t="e">
        <v>#N/A</v>
        <stp/>
        <stp>##V3_BDHV12</stp>
        <stp>USSN0A6 CMPN Curncy</stp>
        <stp>PX_LAST</stp>
        <stp>3/26/2019</stp>
        <stp>3/26/2019</stp>
        <stp>[Live Pricing.xlsm]Vol_Surface!R44C7</stp>
        <tr r="G44" s="53"/>
      </tp>
      <tp t="e">
        <v>#N/A</v>
        <stp/>
        <stp>##V3_BDHV12</stp>
        <stp>USSN0A1 CMPN Curncy</stp>
        <stp>PX_LAST</stp>
        <stp>3/26/2019</stp>
        <stp>3/26/2019</stp>
        <stp>[Live Pricing.xlsm]Vol_Surface!R44C2</stp>
        <tr r="B44" s="53"/>
      </tp>
      <tp t="e">
        <v>#N/A</v>
        <stp/>
        <stp>##V3_BDHV12</stp>
        <stp>USSN0A3 CMPN Curncy</stp>
        <stp>PX_LAST</stp>
        <stp>3/26/2019</stp>
        <stp>3/26/2019</stp>
        <stp>[Live Pricing.xlsm]Vol_Surface!R44C4</stp>
        <tr r="D44" s="53"/>
      </tp>
      <tp t="e">
        <v>#N/A</v>
        <stp/>
        <stp>##V3_BDHV12</stp>
        <stp>USSN0A2 CMPN Curncy</stp>
        <stp>PX_LAST</stp>
        <stp>3/26/2019</stp>
        <stp>3/26/2019</stp>
        <stp>[Live Pricing.xlsm]Vol_Surface!R44C3</stp>
        <tr r="C44" s="53"/>
      </tp>
      <tp t="e">
        <v>#N/A</v>
        <stp/>
        <stp>##V3_BDHV12</stp>
        <stp>EUSA10 Index</stp>
        <stp>PX_LAST</stp>
        <stp>3/26/2019</stp>
        <stp>3/26/2019</stp>
        <stp>[Live Pricing.xlsm]FX_Curve_History!R39C6</stp>
        <tr r="F39" s="50"/>
      </tp>
      <tp t="e">
        <v>#N/A</v>
        <stp/>
        <stp>##V3_BDHV12</stp>
        <stp>EUSA30 Index</stp>
        <stp>PX_LAST</stp>
        <stp>3/26/2019</stp>
        <stp>3/26/2019</stp>
        <stp>[Live Pricing.xlsm]FX_Curve_History!R49C6</stp>
        <tr r="F49" s="50"/>
      </tp>
      <tp t="e">
        <v>#N/A</v>
        <stp/>
        <stp>##V3_BDPV12</stp>
        <stp>USSW3 Index</stp>
        <stp>PX_LAST</stp>
        <stp>[Live Pricing.xlsm]Rate_Live!R7C6</stp>
        <tr r="F7" s="39"/>
      </tp>
      <tp t="e">
        <v>#N/A</v>
        <stp/>
        <stp>##V3_BDPV12</stp>
        <stp>CLSWIB15 Index</stp>
        <stp>PX_LAST</stp>
        <stp>[Live Pricing.xlsm]FX_Curve_Live!R194C6</stp>
        <tr r="F194" s="42"/>
      </tp>
      <tp t="e">
        <v>#N/A</v>
        <stp/>
        <stp>##V3_BDHV12</stp>
        <stp>SFSW12 Index</stp>
        <stp>PX_LAST</stp>
        <stp>3/26/2019</stp>
        <stp>3/26/2019</stp>
        <stp>[Live Pricing.xlsm]FX_Curve_History!R116C6</stp>
        <tr r="F116" s="50"/>
      </tp>
      <tp t="e">
        <v>#N/A</v>
        <stp/>
        <stp>##V3_BDHV12</stp>
        <stp>SFSW40 Index</stp>
        <stp>PX_LAST</stp>
        <stp>3/26/2019</stp>
        <stp>3/26/2019</stp>
        <stp>[Live Pricing.xlsm]FX_Curve_History!R123C6</stp>
        <tr r="F123" s="50"/>
      </tp>
      <tp t="e">
        <v>#N/A</v>
        <stp/>
        <stp>##V3_BDHV12</stp>
        <stp>BLBS8 Index</stp>
        <stp>PX_LAST</stp>
        <stp>3/26/2019</stp>
        <stp>3/26/2019</stp>
        <stp>[Live Pricing.xlsm]FX_Curve_History!R162C13</stp>
        <tr r="M162" s="50"/>
      </tp>
      <tp t="e">
        <v>#N/A</v>
        <stp/>
        <stp>##V3_BDHV12</stp>
        <stp>USSN0115 CMPN Curncy</stp>
        <stp>PX_LAST</stp>
        <stp>3/26/2019</stp>
        <stp>3/26/2019</stp>
        <stp>[Live Pricing.xlsm]Vol_Surface!R48C12</stp>
        <tr r="L48" s="53"/>
      </tp>
      <tp t="e">
        <v>#N/A</v>
        <stp/>
        <stp>##V3_BDHV12</stp>
        <stp>USSN0315 CMPN Curncy</stp>
        <stp>PX_LAST</stp>
        <stp>3/26/2019</stp>
        <stp>3/26/2019</stp>
        <stp>[Live Pricing.xlsm]Vol_Surface!R50C12</stp>
        <tr r="L50" s="53"/>
      </tp>
      <tp t="e">
        <v>#N/A</v>
        <stp/>
        <stp>##V3_BDHV12</stp>
        <stp>USSN0525 CMPN Curncy</stp>
        <stp>PX_LAST</stp>
        <stp>3/26/2019</stp>
        <stp>3/26/2019</stp>
        <stp>[Live Pricing.xlsm]Vol_Surface!R52C14</stp>
        <tr r="N52" s="53"/>
      </tp>
      <tp t="e">
        <v>#N/A</v>
        <stp/>
        <stp>##V3_BDHV12</stp>
        <stp>USSN0215 CMPN Curncy</stp>
        <stp>PX_LAST</stp>
        <stp>3/26/2019</stp>
        <stp>3/26/2019</stp>
        <stp>[Live Pricing.xlsm]Vol_Surface!R49C12</stp>
        <tr r="L49" s="53"/>
      </tp>
      <tp t="e">
        <v>#N/A</v>
        <stp/>
        <stp>##V3_BDHV12</stp>
        <stp>USSN0425 CMPN Curncy</stp>
        <stp>PX_LAST</stp>
        <stp>3/26/2019</stp>
        <stp>3/26/2019</stp>
        <stp>[Live Pricing.xlsm]Vol_Surface!R51C14</stp>
        <tr r="N51" s="53"/>
      </tp>
      <tp t="e">
        <v>#N/A</v>
        <stp/>
        <stp>##V3_BDHV12</stp>
        <stp>USSN0515 CMPN Curncy</stp>
        <stp>PX_LAST</stp>
        <stp>3/26/2019</stp>
        <stp>3/26/2019</stp>
        <stp>[Live Pricing.xlsm]Vol_Surface!R52C12</stp>
        <tr r="L52" s="53"/>
      </tp>
      <tp t="e">
        <v>#N/A</v>
        <stp/>
        <stp>##V3_BDHV12</stp>
        <stp>USSN0325 CMPN Curncy</stp>
        <stp>PX_LAST</stp>
        <stp>3/26/2019</stp>
        <stp>3/26/2019</stp>
        <stp>[Live Pricing.xlsm]Vol_Surface!R50C14</stp>
        <tr r="N50" s="53"/>
      </tp>
      <tp t="e">
        <v>#N/A</v>
        <stp/>
        <stp>##V3_BDHV12</stp>
        <stp>USSN0225 CMPN Curncy</stp>
        <stp>PX_LAST</stp>
        <stp>3/26/2019</stp>
        <stp>3/26/2019</stp>
        <stp>[Live Pricing.xlsm]Vol_Surface!R49C14</stp>
        <tr r="N49" s="53"/>
      </tp>
      <tp t="e">
        <v>#N/A</v>
        <stp/>
        <stp>##V3_BDHV12</stp>
        <stp>USSN0415 CMPN Curncy</stp>
        <stp>PX_LAST</stp>
        <stp>3/26/2019</stp>
        <stp>3/26/2019</stp>
        <stp>[Live Pricing.xlsm]Vol_Surface!R51C12</stp>
        <tr r="L51" s="53"/>
      </tp>
      <tp t="e">
        <v>#N/A</v>
        <stp/>
        <stp>##V3_BDHV12</stp>
        <stp>USSN0125 CMPN Curncy</stp>
        <stp>PX_LAST</stp>
        <stp>3/26/2019</stp>
        <stp>3/26/2019</stp>
        <stp>[Live Pricing.xlsm]Vol_Surface!R48C14</stp>
        <tr r="N48" s="53"/>
      </tp>
      <tp t="e">
        <v>#N/A</v>
        <stp/>
        <stp>##V3_BDHV12</stp>
        <stp>USSN0I15 CMPN Curncy</stp>
        <stp>PX_LAST</stp>
        <stp>3/26/2019</stp>
        <stp>3/26/2019</stp>
        <stp>[Live Pricing.xlsm]Vol_Surface!R47C12</stp>
        <tr r="L47" s="53"/>
      </tp>
      <tp t="e">
        <v>#N/A</v>
        <stp/>
        <stp>##V3_BDHV12</stp>
        <stp>USSN0I25 CMPN Curncy</stp>
        <stp>PX_LAST</stp>
        <stp>3/26/2019</stp>
        <stp>3/26/2019</stp>
        <stp>[Live Pricing.xlsm]Vol_Surface!R47C14</stp>
        <tr r="N47" s="53"/>
      </tp>
      <tp t="e">
        <v>#N/A</v>
        <stp/>
        <stp>##V3_BDHV12</stp>
        <stp>USSN0F25 CMPN Curncy</stp>
        <stp>PX_LAST</stp>
        <stp>3/26/2019</stp>
        <stp>3/26/2019</stp>
        <stp>[Live Pricing.xlsm]Vol_Surface!R46C14</stp>
        <tr r="N46" s="53"/>
      </tp>
      <tp t="e">
        <v>#N/A</v>
        <stp/>
        <stp>##V3_BDHV12</stp>
        <stp>USSN0A15 CMPN Curncy</stp>
        <stp>PX_LAST</stp>
        <stp>3/26/2019</stp>
        <stp>3/26/2019</stp>
        <stp>[Live Pricing.xlsm]Vol_Surface!R44C12</stp>
        <tr r="L44" s="53"/>
      </tp>
      <tp t="e">
        <v>#N/A</v>
        <stp/>
        <stp>##V3_BDHV12</stp>
        <stp>USSN0C15 CMPN Curncy</stp>
        <stp>PX_LAST</stp>
        <stp>3/26/2019</stp>
        <stp>3/26/2019</stp>
        <stp>[Live Pricing.xlsm]Vol_Surface!R45C12</stp>
        <tr r="L45" s="53"/>
      </tp>
      <tp t="e">
        <v>#N/A</v>
        <stp/>
        <stp>##V3_BDHV12</stp>
        <stp>USSN0C25 CMPN Curncy</stp>
        <stp>PX_LAST</stp>
        <stp>3/26/2019</stp>
        <stp>3/26/2019</stp>
        <stp>[Live Pricing.xlsm]Vol_Surface!R45C14</stp>
        <tr r="N45" s="53"/>
      </tp>
      <tp t="e">
        <v>#N/A</v>
        <stp/>
        <stp>##V3_BDHV12</stp>
        <stp>USSN0F15 CMPN Curncy</stp>
        <stp>PX_LAST</stp>
        <stp>3/26/2019</stp>
        <stp>3/26/2019</stp>
        <stp>[Live Pricing.xlsm]Vol_Surface!R46C12</stp>
        <tr r="L46" s="53"/>
      </tp>
      <tp t="e">
        <v>#N/A</v>
        <stp/>
        <stp>##V3_BDHV12</stp>
        <stp>USSN0A25 CMPN Curncy</stp>
        <stp>PX_LAST</stp>
        <stp>3/26/2019</stp>
        <stp>3/26/2019</stp>
        <stp>[Live Pricing.xlsm]Vol_Surface!R44C14</stp>
        <tr r="N44" s="53"/>
      </tp>
      <tp t="e">
        <v>#N/A</v>
        <stp/>
        <stp>##V3_BDHV12</stp>
        <stp>EUSA25 Index</stp>
        <stp>PX_LAST</stp>
        <stp>3/26/2019</stp>
        <stp>3/26/2019</stp>
        <stp>[Live Pricing.xlsm]FX_Curve_History!R48C6</stp>
        <tr r="F48" s="50"/>
      </tp>
      <tp t="e">
        <v>#N/A</v>
        <stp/>
        <stp>##V3_BDHV12</stp>
        <stp>EUNEI7 ICPL Curncy</stp>
        <stp>PX_LAST</stp>
        <stp>3/26/2019</stp>
        <stp>3/26/2019</stp>
        <stp>[Live Pricing.xlsm]Vol_Surface!R67C8</stp>
        <tr r="H67" s="53"/>
      </tp>
      <tp t="e">
        <v>#N/A</v>
        <stp/>
        <stp>##V3_BDHV12</stp>
        <stp>EUNEI6 ICPL Curncy</stp>
        <stp>PX_LAST</stp>
        <stp>3/26/2019</stp>
        <stp>3/26/2019</stp>
        <stp>[Live Pricing.xlsm]Vol_Surface!R67C7</stp>
        <tr r="G67" s="53"/>
      </tp>
      <tp t="e">
        <v>#N/A</v>
        <stp/>
        <stp>##V3_BDHV12</stp>
        <stp>EUNEI5 ICPL Curncy</stp>
        <stp>PX_LAST</stp>
        <stp>3/26/2019</stp>
        <stp>3/26/2019</stp>
        <stp>[Live Pricing.xlsm]Vol_Surface!R67C6</stp>
        <tr r="F67" s="53"/>
      </tp>
      <tp t="e">
        <v>#N/A</v>
        <stp/>
        <stp>##V3_BDHV12</stp>
        <stp>EUNEI4 ICPL Curncy</stp>
        <stp>PX_LAST</stp>
        <stp>3/26/2019</stp>
        <stp>3/26/2019</stp>
        <stp>[Live Pricing.xlsm]Vol_Surface!R67C5</stp>
        <tr r="E67" s="53"/>
      </tp>
      <tp t="e">
        <v>#N/A</v>
        <stp/>
        <stp>##V3_BDHV12</stp>
        <stp>EUNEI3 ICPL Curncy</stp>
        <stp>PX_LAST</stp>
        <stp>3/26/2019</stp>
        <stp>3/26/2019</stp>
        <stp>[Live Pricing.xlsm]Vol_Surface!R67C4</stp>
        <tr r="D67" s="53"/>
      </tp>
      <tp t="e">
        <v>#N/A</v>
        <stp/>
        <stp>##V3_BDPV12</stp>
        <stp>USSW2 Index</stp>
        <stp>PX_LAST</stp>
        <stp>[Live Pricing.xlsm]Rate_Live!R6C6</stp>
        <tr r="F6" s="39"/>
      </tp>
      <tp t="e">
        <v>#N/A</v>
        <stp/>
        <stp>##V3_BDHV12</stp>
        <stp>EUNEI2 ICPL Curncy</stp>
        <stp>PX_LAST</stp>
        <stp>3/26/2019</stp>
        <stp>3/26/2019</stp>
        <stp>[Live Pricing.xlsm]Vol_Surface!R67C3</stp>
        <tr r="C67" s="53"/>
      </tp>
      <tp t="e">
        <v>#N/A</v>
        <stp/>
        <stp>##V3_BDHV12</stp>
        <stp>EUNEI1 ICPL Curncy</stp>
        <stp>PX_LAST</stp>
        <stp>3/26/2019</stp>
        <stp>3/26/2019</stp>
        <stp>[Live Pricing.xlsm]Vol_Surface!R67C2</stp>
        <tr r="B67" s="53"/>
      </tp>
      <tp t="e">
        <v>#N/A</v>
        <stp/>
        <stp>##V3_BDHV12</stp>
        <stp>EUNEI8 ICPL Curncy</stp>
        <stp>PX_LAST</stp>
        <stp>3/26/2019</stp>
        <stp>3/26/2019</stp>
        <stp>[Live Pricing.xlsm]Vol_Surface!R67C9</stp>
        <tr r="I67" s="53"/>
      </tp>
      <tp t="e">
        <v>#N/A</v>
        <stp/>
        <stp>##V3_BDPV12</stp>
        <stp>SF00S/N Index</stp>
        <stp>PX_LAST</stp>
        <stp>[Live Pricing.xlsm]FX_Curve_Live!R106C2</stp>
        <tr r="B106" s="42"/>
      </tp>
      <tp t="e">
        <v>#N/A</v>
        <stp/>
        <stp>##V3_BDHV12</stp>
        <stp>SFSW11 Index</stp>
        <stp>PX_LAST</stp>
        <stp>3/26/2019</stp>
        <stp>3/26/2019</stp>
        <stp>[Live Pricing.xlsm]FX_Curve_History!R115C6</stp>
        <tr r="F115" s="50"/>
      </tp>
      <tp t="e">
        <v>#N/A</v>
        <stp/>
        <stp>##V3_BDHV12</stp>
        <stp>BPSW17 CMPN Curncy</stp>
        <stp>Close</stp>
        <stp>03/26/2019 11:15:00</stp>
        <stp>03/26/2019 11:16:00</stp>
        <stp>[Live Pricing.xlsm]Rate_History!R96C18</stp>
        <stp>BarType</stp>
        <stp>T</stp>
        <stp>Dir=V</stp>
        <stp>cols=2;rows=1</stp>
        <tr r="R96" s="49"/>
      </tp>
      <tp t="e">
        <v>#N/A</v>
        <stp/>
        <stp>##V3_BDHV12</stp>
        <stp>BPSW20 CMPN Curncy</stp>
        <stp>Close</stp>
        <stp>03/26/2019 11:15:00</stp>
        <stp>03/26/2019 11:16:00</stp>
        <stp>[Live Pricing.xlsm]Rate_History!R97C18</stp>
        <stp>BarType</stp>
        <stp>T</stp>
        <stp>Dir=V</stp>
        <stp>cols=2;rows=1</stp>
        <tr r="R97" s="49"/>
      </tp>
      <tp t="e">
        <v>#N/A</v>
        <stp/>
        <stp>##V3_BDHV12</stp>
        <stp>BPSW15 CMPN Curncy</stp>
        <stp>Close</stp>
        <stp>03/26/2019 11:15:00</stp>
        <stp>03/26/2019 11:16:00</stp>
        <stp>[Live Pricing.xlsm]Rate_History!R94C18</stp>
        <stp>BarType</stp>
        <stp>T</stp>
        <stp>Dir=V</stp>
        <stp>cols=2;rows=1</stp>
        <tr r="R94" s="49"/>
      </tp>
      <tp t="e">
        <v>#N/A</v>
        <stp/>
        <stp>##V3_BDHV12</stp>
        <stp>BPSW16 CMPN Curncy</stp>
        <stp>Close</stp>
        <stp>03/26/2019 11:15:00</stp>
        <stp>03/26/2019 11:16:00</stp>
        <stp>[Live Pricing.xlsm]Rate_History!R95C18</stp>
        <stp>BarType</stp>
        <stp>T</stp>
        <stp>Dir=V</stp>
        <stp>cols=2;rows=1</stp>
        <tr r="R95" s="49"/>
      </tp>
      <tp t="e">
        <v>#N/A</v>
        <stp/>
        <stp>##V3_BDHV12</stp>
        <stp>BPSW13 CMPN Curncy</stp>
        <stp>Close</stp>
        <stp>03/26/2019 11:15:00</stp>
        <stp>03/26/2019 11:16:00</stp>
        <stp>[Live Pricing.xlsm]Rate_History!R92C18</stp>
        <stp>BarType</stp>
        <stp>T</stp>
        <stp>Dir=V</stp>
        <stp>cols=2;rows=1</stp>
        <tr r="R92" s="49"/>
      </tp>
      <tp t="e">
        <v>#N/A</v>
        <stp/>
        <stp>##V3_BDHV12</stp>
        <stp>BPSW14 CMPN Curncy</stp>
        <stp>Close</stp>
        <stp>03/26/2019 11:15:00</stp>
        <stp>03/26/2019 11:16:00</stp>
        <stp>[Live Pricing.xlsm]Rate_History!R93C18</stp>
        <stp>BarType</stp>
        <stp>T</stp>
        <stp>Dir=V</stp>
        <stp>cols=2;rows=1</stp>
        <tr r="R93" s="49"/>
      </tp>
      <tp t="e">
        <v>#N/A</v>
        <stp/>
        <stp>##V3_BDHV12</stp>
        <stp>BPSW11 CMPN Curncy</stp>
        <stp>Close</stp>
        <stp>03/26/2019 11:15:00</stp>
        <stp>03/26/2019 11:16:00</stp>
        <stp>[Live Pricing.xlsm]Rate_History!R90C18</stp>
        <stp>BarType</stp>
        <stp>T</stp>
        <stp>Dir=V</stp>
        <stp>cols=2;rows=1</stp>
        <tr r="R90" s="49"/>
      </tp>
      <tp t="e">
        <v>#N/A</v>
        <stp/>
        <stp>##V3_BDHV12</stp>
        <stp>BPSW12 CMPN Curncy</stp>
        <stp>Close</stp>
        <stp>03/26/2019 11:15:00</stp>
        <stp>03/26/2019 11:16:00</stp>
        <stp>[Live Pricing.xlsm]Rate_History!R91C18</stp>
        <stp>BarType</stp>
        <stp>T</stp>
        <stp>Dir=V</stp>
        <stp>cols=2;rows=1</stp>
        <tr r="R91" s="49"/>
      </tp>
      <tp t="e">
        <v>#N/A</v>
        <stp/>
        <stp>##V3_BDHV12</stp>
        <stp>BPSW25 CMPN Curncy</stp>
        <stp>Close</stp>
        <stp>03/26/2019 11:15:00</stp>
        <stp>03/26/2019 11:16:00</stp>
        <stp>[Live Pricing.xlsm]Rate_History!R98C18</stp>
        <stp>BarType</stp>
        <stp>T</stp>
        <stp>Dir=V</stp>
        <stp>cols=2;rows=1</stp>
        <tr r="R98" s="49"/>
      </tp>
      <tp t="e">
        <v>#N/A</v>
        <stp/>
        <stp>##V3_BDHV12</stp>
        <stp>BPSW30 CMPN Curncy</stp>
        <stp>Close</stp>
        <stp>03/26/2019 11:15:00</stp>
        <stp>03/26/2019 11:16:00</stp>
        <stp>[Live Pricing.xlsm]Rate_History!R99C18</stp>
        <stp>BarType</stp>
        <stp>T</stp>
        <stp>Dir=V</stp>
        <stp>cols=2;rows=1</stp>
        <tr r="R99" s="49"/>
      </tp>
      <tp t="e">
        <v>#N/A</v>
        <stp/>
        <stp>##V3_BDHV12</stp>
        <stp>SF0012M Index</stp>
        <stp>PX_LAST</stp>
        <stp>3/26/2019</stp>
        <stp>3/26/2019</stp>
        <stp>[Live Pricing.xlsm]FX_Curve_History!R111C2</stp>
        <tr r="B111" s="50"/>
      </tp>
      <tp t="e">
        <v>#N/A</v>
        <stp/>
        <stp>##V3_BDPV12</stp>
        <stp>HASWDI6Y Index</stp>
        <stp>PX_LAST</stp>
        <stp>[Live Pricing.xlsm]FX_Curve_History!R161C24</stp>
        <tr r="X161" s="50"/>
      </tp>
      <tp t="e">
        <v>#N/A</v>
        <stp/>
        <stp>##V3_BDPV12</stp>
        <stp>HASWDI5Y Index</stp>
        <stp>PX_LAST</stp>
        <stp>[Live Pricing.xlsm]FX_Curve_History!R160C24</stp>
        <tr r="X160" s="50"/>
      </tp>
      <tp t="e">
        <v>#N/A</v>
        <stp/>
        <stp>##V3_BDPV12</stp>
        <stp>HASWDI7Y Index</stp>
        <stp>PX_LAST</stp>
        <stp>[Live Pricing.xlsm]FX_Curve_History!R162C24</stp>
        <tr r="X162" s="50"/>
      </tp>
      <tp t="e">
        <v>#N/A</v>
        <stp/>
        <stp>##V3_BDPV12</stp>
        <stp>HASWDI8Y Index</stp>
        <stp>PX_LAST</stp>
        <stp>[Live Pricing.xlsm]FX_Curve_History!R163C24</stp>
        <tr r="X163" s="50"/>
      </tp>
      <tp t="e">
        <v>#N/A</v>
        <stp/>
        <stp>##V3_BDPV12</stp>
        <stp>HASWDI9Y Index</stp>
        <stp>PX_LAST</stp>
        <stp>[Live Pricing.xlsm]FX_Curve_History!R164C24</stp>
        <tr r="X164" s="50"/>
      </tp>
      <tp t="e">
        <v>#N/A</v>
        <stp/>
        <stp>##V3_BDPV12</stp>
        <stp>HASWDI1Y Index</stp>
        <stp>PX_LAST</stp>
        <stp>[Live Pricing.xlsm]FX_Curve_History!R156C24</stp>
        <tr r="X156" s="50"/>
      </tp>
      <tp t="e">
        <v>#N/A</v>
        <stp/>
        <stp>##V3_BDPV12</stp>
        <stp>HASWDI2Y Index</stp>
        <stp>PX_LAST</stp>
        <stp>[Live Pricing.xlsm]FX_Curve_History!R157C24</stp>
        <tr r="X157" s="50"/>
      </tp>
      <tp t="e">
        <v>#N/A</v>
        <stp/>
        <stp>##V3_BDPV12</stp>
        <stp>HASWDI3Y Index</stp>
        <stp>PX_LAST</stp>
        <stp>[Live Pricing.xlsm]FX_Curve_History!R158C24</stp>
        <tr r="X158" s="50"/>
      </tp>
      <tp t="e">
        <v>#N/A</v>
        <stp/>
        <stp>##V3_BDPV12</stp>
        <stp>HASWDI4Y Index</stp>
        <stp>PX_LAST</stp>
        <stp>[Live Pricing.xlsm]FX_Curve_History!R159C24</stp>
        <tr r="X159" s="50"/>
      </tp>
      <tp t="e">
        <v>#N/A</v>
        <stp/>
        <stp>##V3_BDPV12</stp>
        <stp>CLSWIB12 Index</stp>
        <stp>PX_LAST</stp>
        <stp>[Live Pricing.xlsm]FX_Curve_Live!R191C6</stp>
        <tr r="F191" s="42"/>
      </tp>
      <tp t="e">
        <v>#N/A</v>
        <stp/>
        <stp>##V3_BDHV12</stp>
        <stp>SFSW10 Index</stp>
        <stp>PX_LAST</stp>
        <stp>3/26/2019</stp>
        <stp>3/26/2019</stp>
        <stp>[Live Pricing.xlsm]FX_Curve_History!R114C6</stp>
        <tr r="F114" s="50"/>
      </tp>
      <tp t="e">
        <v>#N/A</v>
        <stp/>
        <stp>##V3_BDHV12</stp>
        <stp>USSN0C8 CMPN Curncy</stp>
        <stp>PX_LAST</stp>
        <stp>3/26/2019</stp>
        <stp>3/26/2019</stp>
        <stp>[Live Pricing.xlsm]Vol_Surface!R45C9</stp>
        <tr r="I45" s="53"/>
      </tp>
      <tp t="e">
        <v>#N/A</v>
        <stp/>
        <stp>##V3_BDHV12</stp>
        <stp>USSN0C5 CMPN Curncy</stp>
        <stp>PX_LAST</stp>
        <stp>3/26/2019</stp>
        <stp>3/26/2019</stp>
        <stp>[Live Pricing.xlsm]Vol_Surface!R45C6</stp>
        <tr r="F45" s="53"/>
      </tp>
      <tp t="e">
        <v>#N/A</v>
        <stp/>
        <stp>##V3_BDHV12</stp>
        <stp>USSN0C4 CMPN Curncy</stp>
        <stp>PX_LAST</stp>
        <stp>3/26/2019</stp>
        <stp>3/26/2019</stp>
        <stp>[Live Pricing.xlsm]Vol_Surface!R45C5</stp>
        <tr r="E45" s="53"/>
      </tp>
      <tp t="e">
        <v>#N/A</v>
        <stp/>
        <stp>##V3_BDHV12</stp>
        <stp>USSN0C7 CMPN Curncy</stp>
        <stp>PX_LAST</stp>
        <stp>3/26/2019</stp>
        <stp>3/26/2019</stp>
        <stp>[Live Pricing.xlsm]Vol_Surface!R45C8</stp>
        <tr r="H45" s="53"/>
      </tp>
      <tp t="e">
        <v>#N/A</v>
        <stp/>
        <stp>##V3_BDHV12</stp>
        <stp>USSN0C6 CMPN Curncy</stp>
        <stp>PX_LAST</stp>
        <stp>3/26/2019</stp>
        <stp>3/26/2019</stp>
        <stp>[Live Pricing.xlsm]Vol_Surface!R45C7</stp>
        <tr r="G45" s="53"/>
      </tp>
      <tp t="e">
        <v>#N/A</v>
        <stp/>
        <stp>##V3_BDHV12</stp>
        <stp>USSN0C1 CMPN Curncy</stp>
        <stp>PX_LAST</stp>
        <stp>3/26/2019</stp>
        <stp>3/26/2019</stp>
        <stp>[Live Pricing.xlsm]Vol_Surface!R45C2</stp>
        <tr r="B45" s="53"/>
      </tp>
      <tp t="e">
        <v>#N/A</v>
        <stp/>
        <stp>##V3_BDHV12</stp>
        <stp>USSN0C3 CMPN Curncy</stp>
        <stp>PX_LAST</stp>
        <stp>3/26/2019</stp>
        <stp>3/26/2019</stp>
        <stp>[Live Pricing.xlsm]Vol_Surface!R45C4</stp>
        <tr r="D45" s="53"/>
      </tp>
      <tp t="e">
        <v>#N/A</v>
        <stp/>
        <stp>##V3_BDHV12</stp>
        <stp>USSN0C2 CMPN Curncy</stp>
        <stp>PX_LAST</stp>
        <stp>3/26/2019</stp>
        <stp>3/26/2019</stp>
        <stp>[Live Pricing.xlsm]Vol_Surface!R45C3</stp>
        <tr r="C45" s="53"/>
      </tp>
      <tp t="e">
        <v>#N/A</v>
        <stp/>
        <stp>##V3_BDHV12</stp>
        <stp>BPSW10 CMPN Curncy</stp>
        <stp>Close</stp>
        <stp>03/26/2019 11:15:00</stp>
        <stp>03/26/2019 11:16:00</stp>
        <stp>[Live Pricing.xlsm]Rate_History!R89C18</stp>
        <stp>BarType</stp>
        <stp>T</stp>
        <stp>Dir=V</stp>
        <stp>cols=2;rows=1</stp>
        <tr r="R89" s="49"/>
      </tp>
      <tp t="e">
        <v>#N/A</v>
        <stp/>
        <stp>##V3_BDPV12</stp>
        <stp>BPBS4 Index</stp>
        <stp>PX_LAST</stp>
        <stp>[Live Pricing.xlsm]FX_Curve_History!R83C13</stp>
        <tr r="M83" s="50"/>
      </tp>
      <tp t="e">
        <v>#N/A</v>
        <stp/>
        <stp>##V3_BDPV12</stp>
        <stp>EUBS3 Index</stp>
        <stp>PX_LAST</stp>
        <stp>[Live Pricing.xlsm]FX_Curve_History!R32C13</stp>
        <tr r="M32" s="50"/>
      </tp>
      <tp t="e">
        <v>#N/A</v>
        <stp/>
        <stp>##V3_BDPV12</stp>
        <stp>BPBS5 Index</stp>
        <stp>PX_LAST</stp>
        <stp>[Live Pricing.xlsm]FX_Curve_History!R84C13</stp>
        <tr r="M84" s="50"/>
      </tp>
      <tp t="e">
        <v>#N/A</v>
        <stp/>
        <stp>##V3_BDPV12</stp>
        <stp>EUBS2 Index</stp>
        <stp>PX_LAST</stp>
        <stp>[Live Pricing.xlsm]FX_Curve_History!R31C13</stp>
        <tr r="M31" s="50"/>
      </tp>
      <tp t="e">
        <v>#N/A</v>
        <stp/>
        <stp>##V3_BDPV12</stp>
        <stp>BPBS6 Index</stp>
        <stp>PX_LAST</stp>
        <stp>[Live Pricing.xlsm]FX_Curve_History!R85C13</stp>
        <tr r="M85" s="50"/>
      </tp>
      <tp t="e">
        <v>#N/A</v>
        <stp/>
        <stp>##V3_BDPV12</stp>
        <stp>EUBS1 Index</stp>
        <stp>PX_LAST</stp>
        <stp>[Live Pricing.xlsm]FX_Curve_History!R31C16</stp>
        <tr r="P31" s="50"/>
      </tp>
      <tp t="e">
        <v>#N/A</v>
        <stp/>
        <stp>##V3_BDPV12</stp>
        <stp>BPBS7 Index</stp>
        <stp>PX_LAST</stp>
        <stp>[Live Pricing.xlsm]FX_Curve_History!R86C13</stp>
        <tr r="M86" s="50"/>
      </tp>
      <tp t="e">
        <v>#N/A</v>
        <stp/>
        <stp>##V3_BDPV12</stp>
        <stp>JYBS8 Index</stp>
        <stp>PX_LAST</stp>
        <stp>[Live Pricing.xlsm]FX_Curve_History!R62C13</stp>
        <tr r="M62" s="50"/>
      </tp>
      <tp t="e">
        <v>#N/A</v>
        <stp/>
        <stp>##V3_BDPV12</stp>
        <stp>EUBS7 Index</stp>
        <stp>PX_LAST</stp>
        <stp>[Live Pricing.xlsm]FX_Curve_History!R36C13</stp>
        <tr r="M36" s="50"/>
      </tp>
      <tp t="e">
        <v>#N/A</v>
        <stp/>
        <stp>##V3_BDPV12</stp>
        <stp>JYBS9 Index</stp>
        <stp>PX_LAST</stp>
        <stp>[Live Pricing.xlsm]FX_Curve_History!R63C13</stp>
        <tr r="M63" s="50"/>
      </tp>
      <tp t="e">
        <v>#N/A</v>
        <stp/>
        <stp>##V3_BDPV12</stp>
        <stp>EUBS6 Index</stp>
        <stp>PX_LAST</stp>
        <stp>[Live Pricing.xlsm]FX_Curve_History!R35C13</stp>
        <tr r="M35" s="50"/>
      </tp>
      <tp t="e">
        <v>#N/A</v>
        <stp/>
        <stp>##V3_BDPV12</stp>
        <stp>BPBS2 Index</stp>
        <stp>PX_LAST</stp>
        <stp>[Live Pricing.xlsm]FX_Curve_History!R81C13</stp>
        <tr r="M81" s="50"/>
      </tp>
      <tp t="e">
        <v>#N/A</v>
        <stp/>
        <stp>##V3_BDPV12</stp>
        <stp>EUBS5 Index</stp>
        <stp>PX_LAST</stp>
        <stp>[Live Pricing.xlsm]FX_Curve_History!R34C13</stp>
        <tr r="M34" s="50"/>
      </tp>
      <tp t="e">
        <v>#N/A</v>
        <stp/>
        <stp>##V3_BDPV12</stp>
        <stp>EUBS4 Index</stp>
        <stp>PX_LAST</stp>
        <stp>[Live Pricing.xlsm]FX_Curve_History!R33C13</stp>
        <tr r="M33" s="50"/>
      </tp>
      <tp t="e">
        <v>#N/A</v>
        <stp/>
        <stp>##V3_BDPV12</stp>
        <stp>JYBS4 Index</stp>
        <stp>PX_LAST</stp>
        <stp>[Live Pricing.xlsm]FX_Curve_History!R58C13</stp>
        <tr r="M58" s="50"/>
      </tp>
      <tp t="e">
        <v>#N/A</v>
        <stp/>
        <stp>##V3_BDPV12</stp>
        <stp>JYBS5 Index</stp>
        <stp>PX_LAST</stp>
        <stp>[Live Pricing.xlsm]FX_Curve_History!R59C13</stp>
        <tr r="M59" s="50"/>
      </tp>
      <tp t="e">
        <v>#N/A</v>
        <stp/>
        <stp>##V3_BDPV12</stp>
        <stp>JYBS6 Index</stp>
        <stp>PX_LAST</stp>
        <stp>[Live Pricing.xlsm]FX_Curve_History!R60C13</stp>
        <tr r="M60" s="50"/>
      </tp>
      <tp t="e">
        <v>#N/A</v>
        <stp/>
        <stp>##V3_BDPV12</stp>
        <stp>EUBS9 Index</stp>
        <stp>PX_LAST</stp>
        <stp>[Live Pricing.xlsm]FX_Curve_History!R38C13</stp>
        <tr r="M38" s="50"/>
      </tp>
      <tp t="e">
        <v>#N/A</v>
        <stp/>
        <stp>##V3_BDPV12</stp>
        <stp>JYBS7 Index</stp>
        <stp>PX_LAST</stp>
        <stp>[Live Pricing.xlsm]FX_Curve_History!R61C13</stp>
        <tr r="M61" s="50"/>
      </tp>
      <tp t="e">
        <v>#N/A</v>
        <stp/>
        <stp>##V3_BDPV12</stp>
        <stp>EUBS8 Index</stp>
        <stp>PX_LAST</stp>
        <stp>[Live Pricing.xlsm]FX_Curve_History!R37C13</stp>
        <tr r="M37" s="50"/>
      </tp>
      <tp t="e">
        <v>#N/A</v>
        <stp/>
        <stp>##V3_BDPV12</stp>
        <stp>BPBS8 Index</stp>
        <stp>PX_LAST</stp>
        <stp>[Live Pricing.xlsm]FX_Curve_History!R87C13</stp>
        <tr r="M87" s="50"/>
      </tp>
      <tp t="e">
        <v>#N/A</v>
        <stp/>
        <stp>##V3_BDPV12</stp>
        <stp>JYBS1 Index</stp>
        <stp>PX_LAST</stp>
        <stp>[Live Pricing.xlsm]FX_Curve_History!R56C16</stp>
        <tr r="P56" s="50"/>
      </tp>
      <tp t="e">
        <v>#N/A</v>
        <stp/>
        <stp>##V3_BDPV12</stp>
        <stp>BPBS9 Index</stp>
        <stp>PX_LAST</stp>
        <stp>[Live Pricing.xlsm]FX_Curve_History!R88C13</stp>
        <tr r="M88" s="50"/>
      </tp>
      <tp t="e">
        <v>#N/A</v>
        <stp/>
        <stp>##V3_BDPV12</stp>
        <stp>JYBS2 Index</stp>
        <stp>PX_LAST</stp>
        <stp>[Live Pricing.xlsm]FX_Curve_History!R56C13</stp>
        <tr r="M56" s="50"/>
      </tp>
      <tp t="e">
        <v>#N/A</v>
        <stp/>
        <stp>##V3_BDPV12</stp>
        <stp>JYBS3 Index</stp>
        <stp>PX_LAST</stp>
        <stp>[Live Pricing.xlsm]FX_Curve_History!R57C13</stp>
        <tr r="M57" s="50"/>
      </tp>
      <tp t="e">
        <v>#N/A</v>
        <stp/>
        <stp>##V3_BDPV12</stp>
        <stp>SF0001M Index</stp>
        <stp>PX_LAST</stp>
        <stp>[Live Pricing.xlsm]FX_Curve_Live!R107C2</stp>
        <tr r="B107" s="42"/>
      </tp>
      <tp t="e">
        <v>#N/A</v>
        <stp/>
        <stp>##V3_BDHV12</stp>
        <stp>SFSW20 Index</stp>
        <stp>PX_LAST</stp>
        <stp>3/26/2019</stp>
        <stp>3/26/2019</stp>
        <stp>[Live Pricing.xlsm]FX_Curve_History!R120C6</stp>
        <tr r="F120" s="50"/>
      </tp>
      <tp t="e">
        <v>#N/A</v>
        <stp/>
        <stp>##V3_BDHV12</stp>
        <stp>USSN0120 CMPN Curncy</stp>
        <stp>PX_LAST</stp>
        <stp>3/26/2019</stp>
        <stp>3/26/2019</stp>
        <stp>[Live Pricing.xlsm]Vol_Surface!R48C13</stp>
        <tr r="M48" s="53"/>
      </tp>
      <tp t="e">
        <v>#N/A</v>
        <stp/>
        <stp>##V3_BDHV12</stp>
        <stp>USSN0310 CMPN Curncy</stp>
        <stp>PX_LAST</stp>
        <stp>3/26/2019</stp>
        <stp>3/26/2019</stp>
        <stp>[Live Pricing.xlsm]Vol_Surface!R50C11</stp>
        <tr r="K50" s="53"/>
      </tp>
      <tp t="e">
        <v>#N/A</v>
        <stp/>
        <stp>##V3_BDHV12</stp>
        <stp>USSN0210 CMPN Curncy</stp>
        <stp>PX_LAST</stp>
        <stp>3/26/2019</stp>
        <stp>3/26/2019</stp>
        <stp>[Live Pricing.xlsm]Vol_Surface!R49C11</stp>
        <tr r="K49" s="53"/>
      </tp>
      <tp t="e">
        <v>#N/A</v>
        <stp/>
        <stp>##V3_BDHV12</stp>
        <stp>USSN0430 CMPN Curncy</stp>
        <stp>PX_LAST</stp>
        <stp>3/26/2019</stp>
        <stp>3/26/2019</stp>
        <stp>[Live Pricing.xlsm]Vol_Surface!R51C15</stp>
        <tr r="O51" s="53"/>
      </tp>
      <tp t="e">
        <v>#N/A</v>
        <stp/>
        <stp>##V3_BDHV12</stp>
        <stp>USSN0110 CMPN Curncy</stp>
        <stp>PX_LAST</stp>
        <stp>3/26/2019</stp>
        <stp>3/26/2019</stp>
        <stp>[Live Pricing.xlsm]Vol_Surface!R48C11</stp>
        <tr r="K48" s="53"/>
      </tp>
      <tp t="e">
        <v>#N/A</v>
        <stp/>
        <stp>##V3_BDHV12</stp>
        <stp>USSN0530 CMPN Curncy</stp>
        <stp>PX_LAST</stp>
        <stp>3/26/2019</stp>
        <stp>3/26/2019</stp>
        <stp>[Live Pricing.xlsm]Vol_Surface!R52C15</stp>
        <tr r="O52" s="53"/>
      </tp>
      <tp t="e">
        <v>#N/A</v>
        <stp/>
        <stp>##V3_BDHV12</stp>
        <stp>USSN0320 CMPN Curncy</stp>
        <stp>PX_LAST</stp>
        <stp>3/26/2019</stp>
        <stp>3/26/2019</stp>
        <stp>[Live Pricing.xlsm]Vol_Surface!R50C13</stp>
        <tr r="M50" s="53"/>
      </tp>
      <tp t="e">
        <v>#N/A</v>
        <stp/>
        <stp>##V3_BDHV12</stp>
        <stp>USSN0220 CMPN Curncy</stp>
        <stp>PX_LAST</stp>
        <stp>3/26/2019</stp>
        <stp>3/26/2019</stp>
        <stp>[Live Pricing.xlsm]Vol_Surface!R49C13</stp>
        <tr r="M49" s="53"/>
      </tp>
      <tp t="e">
        <v>#N/A</v>
        <stp/>
        <stp>##V3_BDHV12</stp>
        <stp>USSN0420 CMPN Curncy</stp>
        <stp>PX_LAST</stp>
        <stp>3/26/2019</stp>
        <stp>3/26/2019</stp>
        <stp>[Live Pricing.xlsm]Vol_Surface!R51C13</stp>
        <tr r="M51" s="53"/>
      </tp>
      <tp t="e">
        <v>#N/A</v>
        <stp/>
        <stp>##V3_BDHV12</stp>
        <stp>USSN0520 CMPN Curncy</stp>
        <stp>PX_LAST</stp>
        <stp>3/26/2019</stp>
        <stp>3/26/2019</stp>
        <stp>[Live Pricing.xlsm]Vol_Surface!R52C13</stp>
        <tr r="M52" s="53"/>
      </tp>
      <tp t="e">
        <v>#N/A</v>
        <stp/>
        <stp>##V3_BDHV12</stp>
        <stp>USSN0330 CMPN Curncy</stp>
        <stp>PX_LAST</stp>
        <stp>3/26/2019</stp>
        <stp>3/26/2019</stp>
        <stp>[Live Pricing.xlsm]Vol_Surface!R50C15</stp>
        <tr r="O50" s="53"/>
      </tp>
      <tp t="e">
        <v>#N/A</v>
        <stp/>
        <stp>##V3_BDHV12</stp>
        <stp>USSN0230 CMPN Curncy</stp>
        <stp>PX_LAST</stp>
        <stp>3/26/2019</stp>
        <stp>3/26/2019</stp>
        <stp>[Live Pricing.xlsm]Vol_Surface!R49C15</stp>
        <tr r="O49" s="53"/>
      </tp>
      <tp t="e">
        <v>#N/A</v>
        <stp/>
        <stp>##V3_BDHV12</stp>
        <stp>USSN0410 CMPN Curncy</stp>
        <stp>PX_LAST</stp>
        <stp>3/26/2019</stp>
        <stp>3/26/2019</stp>
        <stp>[Live Pricing.xlsm]Vol_Surface!R51C11</stp>
        <tr r="K51" s="53"/>
      </tp>
      <tp t="e">
        <v>#N/A</v>
        <stp/>
        <stp>##V3_BDHV12</stp>
        <stp>USSN0130 CMPN Curncy</stp>
        <stp>PX_LAST</stp>
        <stp>3/26/2019</stp>
        <stp>3/26/2019</stp>
        <stp>[Live Pricing.xlsm]Vol_Surface!R48C15</stp>
        <tr r="O48" s="53"/>
      </tp>
      <tp t="e">
        <v>#N/A</v>
        <stp/>
        <stp>##V3_BDHV12</stp>
        <stp>USSN0510 CMPN Curncy</stp>
        <stp>PX_LAST</stp>
        <stp>3/26/2019</stp>
        <stp>3/26/2019</stp>
        <stp>[Live Pricing.xlsm]Vol_Surface!R52C11</stp>
        <tr r="K52" s="53"/>
      </tp>
      <tp t="e">
        <v>#N/A</v>
        <stp/>
        <stp>##V3_BDHV12</stp>
        <stp>USSN0I20 CMPN Curncy</stp>
        <stp>PX_LAST</stp>
        <stp>3/26/2019</stp>
        <stp>3/26/2019</stp>
        <stp>[Live Pricing.xlsm]Vol_Surface!R47C13</stp>
        <tr r="M47" s="53"/>
      </tp>
      <tp t="e">
        <v>#N/A</v>
        <stp/>
        <stp>##V3_BDHV12</stp>
        <stp>USSN0I10 CMPN Curncy</stp>
        <stp>PX_LAST</stp>
        <stp>3/26/2019</stp>
        <stp>3/26/2019</stp>
        <stp>[Live Pricing.xlsm]Vol_Surface!R47C11</stp>
        <tr r="K47" s="53"/>
      </tp>
      <tp t="e">
        <v>#N/A</v>
        <stp/>
        <stp>##V3_BDHV12</stp>
        <stp>USSN0I30 CMPN Curncy</stp>
        <stp>PX_LAST</stp>
        <stp>3/26/2019</stp>
        <stp>3/26/2019</stp>
        <stp>[Live Pricing.xlsm]Vol_Surface!R47C15</stp>
        <tr r="O47" s="53"/>
      </tp>
      <tp t="e">
        <v>#N/A</v>
        <stp/>
        <stp>##V3_BDHV12</stp>
        <stp>USSN0C10 CMPN Curncy</stp>
        <stp>PX_LAST</stp>
        <stp>3/26/2019</stp>
        <stp>3/26/2019</stp>
        <stp>[Live Pricing.xlsm]Vol_Surface!R45C11</stp>
        <tr r="K45" s="53"/>
      </tp>
      <tp t="e">
        <v>#N/A</v>
        <stp/>
        <stp>##V3_BDHV12</stp>
        <stp>USSN0A20 CMPN Curncy</stp>
        <stp>PX_LAST</stp>
        <stp>3/26/2019</stp>
        <stp>3/26/2019</stp>
        <stp>[Live Pricing.xlsm]Vol_Surface!R44C13</stp>
        <tr r="M44" s="53"/>
      </tp>
      <tp t="e">
        <v>#N/A</v>
        <stp/>
        <stp>##V3_BDHV12</stp>
        <stp>USSN0F30 CMPN Curncy</stp>
        <stp>PX_LAST</stp>
        <stp>3/26/2019</stp>
        <stp>3/26/2019</stp>
        <stp>[Live Pricing.xlsm]Vol_Surface!R46C15</stp>
        <tr r="O46" s="53"/>
      </tp>
      <tp t="e">
        <v>#N/A</v>
        <stp/>
        <stp>##V3_BDHV12</stp>
        <stp>USSN0A10 CMPN Curncy</stp>
        <stp>PX_LAST</stp>
        <stp>3/26/2019</stp>
        <stp>3/26/2019</stp>
        <stp>[Live Pricing.xlsm]Vol_Surface!R44C11</stp>
        <tr r="K44" s="53"/>
      </tp>
      <tp t="e">
        <v>#N/A</v>
        <stp/>
        <stp>##V3_BDHV12</stp>
        <stp>USSN0C20 CMPN Curncy</stp>
        <stp>PX_LAST</stp>
        <stp>3/26/2019</stp>
        <stp>3/26/2019</stp>
        <stp>[Live Pricing.xlsm]Vol_Surface!R45C13</stp>
        <tr r="M45" s="53"/>
      </tp>
      <tp t="e">
        <v>#N/A</v>
        <stp/>
        <stp>##V3_BDHV12</stp>
        <stp>USSN0C30 CMPN Curncy</stp>
        <stp>PX_LAST</stp>
        <stp>3/26/2019</stp>
        <stp>3/26/2019</stp>
        <stp>[Live Pricing.xlsm]Vol_Surface!R45C15</stp>
        <tr r="O45" s="53"/>
      </tp>
      <tp t="e">
        <v>#N/A</v>
        <stp/>
        <stp>##V3_BDHV12</stp>
        <stp>USSN0F10 CMPN Curncy</stp>
        <stp>PX_LAST</stp>
        <stp>3/26/2019</stp>
        <stp>3/26/2019</stp>
        <stp>[Live Pricing.xlsm]Vol_Surface!R46C11</stp>
        <tr r="K46" s="53"/>
      </tp>
      <tp t="e">
        <v>#N/A</v>
        <stp/>
        <stp>##V3_BDHV12</stp>
        <stp>USSN0A30 CMPN Curncy</stp>
        <stp>PX_LAST</stp>
        <stp>3/26/2019</stp>
        <stp>3/26/2019</stp>
        <stp>[Live Pricing.xlsm]Vol_Surface!R44C15</stp>
        <tr r="O44" s="53"/>
      </tp>
      <tp t="e">
        <v>#N/A</v>
        <stp/>
        <stp>##V3_BDHV12</stp>
        <stp>USSN0F20 CMPN Curncy</stp>
        <stp>PX_LAST</stp>
        <stp>3/26/2019</stp>
        <stp>3/26/2019</stp>
        <stp>[Live Pricing.xlsm]Vol_Surface!R46C13</stp>
        <tr r="M46" s="53"/>
      </tp>
      <tp t="e">
        <v>#N/A</v>
        <stp/>
        <stp>##V3_BDHV12</stp>
        <stp>EUNZO1 ICPL Curncy</stp>
        <stp>PX_LAST</stp>
        <stp>3/26/2019</stp>
        <stp>3/26/2019</stp>
        <stp>[Live Pricing.xlsm]Vol_Surface!R24C5</stp>
        <tr r="E24" s="53"/>
      </tp>
      <tp t="e">
        <v>#N/A</v>
        <stp/>
        <stp>##V3_BDPV12</stp>
        <stp>SF0006M Index</stp>
        <stp>PX_LAST</stp>
        <stp>[Live Pricing.xlsm]FX_Curve_Live!R110C2</stp>
        <tr r="B110" s="42"/>
      </tp>
      <tp t="e">
        <v>#N/A</v>
        <stp/>
        <stp>##V3_BDHV12</stp>
        <stp>SFSW25 Index</stp>
        <stp>PX_LAST</stp>
        <stp>3/26/2019</stp>
        <stp>3/26/2019</stp>
        <stp>[Live Pricing.xlsm]FX_Curve_History!R121C6</stp>
        <tr r="F121" s="50"/>
      </tp>
      <tp t="e">
        <v>#N/A</v>
        <stp/>
        <stp>##V3_BDHV12</stp>
        <stp>USSN0F8 CMPN Curncy</stp>
        <stp>PX_LAST</stp>
        <stp>3/26/2019</stp>
        <stp>3/26/2019</stp>
        <stp>[Live Pricing.xlsm]Vol_Surface!R46C9</stp>
        <tr r="I46" s="53"/>
      </tp>
      <tp t="e">
        <v>#N/A</v>
        <stp/>
        <stp>##V3_BDHV12</stp>
        <stp>USSN0F5 CMPN Curncy</stp>
        <stp>PX_LAST</stp>
        <stp>3/26/2019</stp>
        <stp>3/26/2019</stp>
        <stp>[Live Pricing.xlsm]Vol_Surface!R46C6</stp>
        <tr r="F46" s="53"/>
      </tp>
      <tp t="e">
        <v>#N/A</v>
        <stp/>
        <stp>##V3_BDHV12</stp>
        <stp>USSN0F4 CMPN Curncy</stp>
        <stp>PX_LAST</stp>
        <stp>3/26/2019</stp>
        <stp>3/26/2019</stp>
        <stp>[Live Pricing.xlsm]Vol_Surface!R46C5</stp>
        <tr r="E46" s="53"/>
      </tp>
      <tp t="e">
        <v>#N/A</v>
        <stp/>
        <stp>##V3_BDHV12</stp>
        <stp>USSN0F7 CMPN Curncy</stp>
        <stp>PX_LAST</stp>
        <stp>3/26/2019</stp>
        <stp>3/26/2019</stp>
        <stp>[Live Pricing.xlsm]Vol_Surface!R46C8</stp>
        <tr r="H46" s="53"/>
      </tp>
      <tp t="e">
        <v>#N/A</v>
        <stp/>
        <stp>##V3_BDHV12</stp>
        <stp>USSN0F6 CMPN Curncy</stp>
        <stp>PX_LAST</stp>
        <stp>3/26/2019</stp>
        <stp>3/26/2019</stp>
        <stp>[Live Pricing.xlsm]Vol_Surface!R46C7</stp>
        <tr r="G46" s="53"/>
      </tp>
      <tp t="e">
        <v>#N/A</v>
        <stp/>
        <stp>##V3_BDHV12</stp>
        <stp>USSN0F1 CMPN Curncy</stp>
        <stp>PX_LAST</stp>
        <stp>3/26/2019</stp>
        <stp>3/26/2019</stp>
        <stp>[Live Pricing.xlsm]Vol_Surface!R46C2</stp>
        <tr r="B46" s="53"/>
      </tp>
      <tp t="e">
        <v>#N/A</v>
        <stp/>
        <stp>##V3_BDHV12</stp>
        <stp>USSN0F3 CMPN Curncy</stp>
        <stp>PX_LAST</stp>
        <stp>3/26/2019</stp>
        <stp>3/26/2019</stp>
        <stp>[Live Pricing.xlsm]Vol_Surface!R46C4</stp>
        <tr r="D46" s="53"/>
      </tp>
      <tp t="e">
        <v>#N/A</v>
        <stp/>
        <stp>##V3_BDHV12</stp>
        <stp>USSN0F2 CMPN Curncy</stp>
        <stp>PX_LAST</stp>
        <stp>3/26/2019</stp>
        <stp>3/26/2019</stp>
        <stp>[Live Pricing.xlsm]Vol_Surface!R46C3</stp>
        <tr r="C46" s="53"/>
      </tp>
      <tp t="e">
        <v>#N/A</v>
        <stp/>
        <stp>##V3_BDHV12</stp>
        <stp>EUNZO2 ICPL Curncy</stp>
        <stp>PX_LAST</stp>
        <stp>3/26/2019</stp>
        <stp>3/26/2019</stp>
        <stp>[Live Pricing.xlsm]Vol_Surface!R25C5</stp>
        <tr r="E25" s="53"/>
      </tp>
      <tp t="e">
        <v>#N/A</v>
        <stp/>
        <stp>##V3_BDPV12</stp>
        <stp>SF0012M Index</stp>
        <stp>PX_LAST</stp>
        <stp>[Live Pricing.xlsm]FX_Curve_Live!R111C2</stp>
        <tr r="B111" s="42"/>
      </tp>
      <tp t="e">
        <v>#N/A</v>
        <stp/>
        <stp>##V3_BDPV12</stp>
        <stp>USDNZD Curncy</stp>
        <stp>PX_LAST</stp>
        <stp>[Live Pricing.xlsm]FX_Live!R10C5</stp>
        <tr r="E10" s="44"/>
      </tp>
      <tp t="e">
        <v>#N/A</v>
        <stp/>
        <stp>##V3_BDHV12</stp>
        <stp>EUNZA5 ICPL Curncy</stp>
        <stp>PX_LAST</stp>
        <stp>3/26/2019</stp>
        <stp>3/26/2019</stp>
        <stp>[Live Pricing.xlsm]Vol_Surface!R28C6</stp>
        <tr r="F28" s="53"/>
      </tp>
      <tp t="e">
        <v>#N/A</v>
        <stp/>
        <stp>##V3_BDHV12</stp>
        <stp>EUNZO3 ICPL Curncy</stp>
        <stp>PX_LAST</stp>
        <stp>3/26/2019</stp>
        <stp>3/26/2019</stp>
        <stp>[Live Pricing.xlsm]Vol_Surface!R26C5</stp>
        <tr r="E26" s="53"/>
      </tp>
      <tp t="e">
        <v>#N/A</v>
        <stp/>
        <stp>##V3_BDPV12</stp>
        <stp>CLSWIB20 Index</stp>
        <stp>PX_LAST</stp>
        <stp>[Live Pricing.xlsm]FX_Curve_Live!R197C6</stp>
        <tr r="F197" s="42"/>
      </tp>
      <tp t="e">
        <v>#N/A</v>
        <stp/>
        <stp>##V3_BDHV12</stp>
        <stp>SFSW30 Index</stp>
        <stp>PX_LAST</stp>
        <stp>3/26/2019</stp>
        <stp>3/26/2019</stp>
        <stp>[Live Pricing.xlsm]FX_Curve_History!R122C6</stp>
        <tr r="F122" s="50"/>
      </tp>
      <tp t="e">
        <v>#N/A</v>
        <stp/>
        <stp>##V3_BDHV12</stp>
        <stp>EUNZA7 ICPL Curncy</stp>
        <stp>PX_LAST</stp>
        <stp>3/26/2019</stp>
        <stp>3/26/2019</stp>
        <stp>[Live Pricing.xlsm]Vol_Surface!R29C6</stp>
        <tr r="F29" s="53"/>
      </tp>
      <tp t="e">
        <v>#N/A</v>
        <stp/>
        <stp>##V3_BDHV12</stp>
        <stp>EUNZO4 ICPL Curncy</stp>
        <stp>PX_LAST</stp>
        <stp>3/26/2019</stp>
        <stp>3/26/2019</stp>
        <stp>[Live Pricing.xlsm]Vol_Surface!R27C5</stp>
        <tr r="E27" s="53"/>
      </tp>
      <tp t="e">
        <v>#N/A</v>
        <stp/>
        <stp>##V3_BDHV12</stp>
        <stp>SF0006M Index</stp>
        <stp>PX_LAST</stp>
        <stp>3/26/2019</stp>
        <stp>3/26/2019</stp>
        <stp>[Live Pricing.xlsm]FX_Curve_History!R110C2</stp>
        <tr r="B110" s="50"/>
      </tp>
      <tp t="e">
        <v>#N/A</v>
        <stp/>
        <stp>##V3_BDHV12</stp>
        <stp>SF0001M Index</stp>
        <stp>PX_LAST</stp>
        <stp>3/26/2019</stp>
        <stp>3/26/2019</stp>
        <stp>[Live Pricing.xlsm]FX_Curve_History!R107C2</stp>
        <tr r="B107" s="50"/>
      </tp>
      <tp t="e">
        <v>#N/A</v>
        <stp/>
        <stp>##V3_BDPV12</stp>
        <stp>US0001m Index</stp>
        <stp>PX_LAST</stp>
        <stp>[Live Pricing.xlsm]Rate_Live!R7C2</stp>
        <tr r="B7" s="39"/>
      </tp>
      <tp t="e">
        <v>#N/A</v>
        <stp/>
        <stp>##V3_BDHV12</stp>
        <stp>JYSW10 CMPN Curncy</stp>
        <stp>LAST_PRICE</stp>
        <stp>3/26/2019</stp>
        <stp>3/26/2019</stp>
        <stp>[Live Pricing.xlsm]Rate_History!R64C20</stp>
        <tr r="T64" s="49"/>
      </tp>
      <tp t="e">
        <v>#N/A</v>
        <stp/>
        <stp>##V3_BDHV12</stp>
        <stp>JYSW20 CMPN Curncy</stp>
        <stp>LAST_PRICE</stp>
        <stp>3/26/2019</stp>
        <stp>3/26/2019</stp>
        <stp>[Live Pricing.xlsm]Rate_History!R72C20</stp>
        <tr r="T72" s="49"/>
      </tp>
      <tp t="e">
        <v>#N/A</v>
        <stp/>
        <stp>##V3_BDHV12</stp>
        <stp>JYSW40 CMPN Curncy</stp>
        <stp>LAST_PRICE</stp>
        <stp>3/26/2019</stp>
        <stp>3/26/2019</stp>
        <stp>[Live Pricing.xlsm]Rate_History!R75C20</stp>
        <tr r="T75" s="49"/>
      </tp>
      <tp t="e">
        <v>#N/A</v>
        <stp/>
        <stp>##V3_BDHV12</stp>
        <stp>JYSW30 CMPN Curncy</stp>
        <stp>LAST_PRICE</stp>
        <stp>3/26/2019</stp>
        <stp>3/26/2019</stp>
        <stp>[Live Pricing.xlsm]Rate_History!R74C20</stp>
        <tr r="T74" s="49"/>
      </tp>
      <tp t="e">
        <v>#N/A</v>
        <stp/>
        <stp>##V3_BDHV12</stp>
        <stp>EUNZ102 ICPL Curncy</stp>
        <stp>PX_LAST</stp>
        <stp>3/26/2019</stp>
        <stp>3/26/2019</stp>
        <stp>[Live Pricing.xlsm]Vol_Surface!R25C8</stp>
        <tr r="H25" s="53"/>
      </tp>
      <tp t="e">
        <v>#N/A</v>
        <stp/>
        <stp>##V3_BDHV12</stp>
        <stp>SFSW3 Index</stp>
        <stp>PX_LAST</stp>
        <stp>3/26/2019</stp>
        <stp>3/26/2019</stp>
        <stp>[Live Pricing.xlsm]FX_Curve_History!R107C6</stp>
        <tr r="F107" s="50"/>
      </tp>
      <tp t="e">
        <v>#N/A</v>
        <stp/>
        <stp>##V3_BDHV12</stp>
        <stp>CDSW8 Index</stp>
        <stp>PX_LAST</stp>
        <stp>3/26/2019</stp>
        <stp>3/26/2019</stp>
        <stp>[Live Pricing.xlsm]FX_Curve_History!R137C6</stp>
        <tr r="F137" s="50"/>
      </tp>
      <tp t="e">
        <v>#N/A</v>
        <stp/>
        <stp>##V3_BDHV12</stp>
        <stp>BPSW9 CMPN Curncy</stp>
        <stp>LAST_PRICE</stp>
        <stp>3/26/2019</stp>
        <stp>3/26/2019</stp>
        <stp>[Live Pricing.xlsm]Rate_History!R88C20</stp>
        <tr r="T88" s="49"/>
      </tp>
      <tp t="e">
        <v>#N/A</v>
        <stp/>
        <stp>##V3_BDHV12</stp>
        <stp>JY0006M Index</stp>
        <stp>PX_LAST</stp>
        <stp>3/26/2019</stp>
        <stp>3/26/2019</stp>
        <stp>[Live Pricing.xlsm]FX_Curve_History!R60C2</stp>
        <tr r="B60" s="50"/>
      </tp>
      <tp t="e">
        <v>#N/A</v>
        <stp/>
        <stp>##V3_BDPV12</stp>
        <stp>USDSEK Curncy</stp>
        <stp>PX_LAST</stp>
        <stp>[Live Pricing.xlsm]FX_Live!R6C5</stp>
        <tr r="E6" s="44"/>
      </tp>
      <tp t="e">
        <v>#N/A</v>
        <stp/>
        <stp>##V3_BDHV12</stp>
        <stp>JY0012M Index</stp>
        <stp>PX_LAST</stp>
        <stp>3/26/2019</stp>
        <stp>3/26/2019</stp>
        <stp>[Live Pricing.xlsm]FX_Curve_History!R61C2</stp>
        <tr r="B61" s="50"/>
      </tp>
      <tp t="e">
        <v>#N/A</v>
        <stp/>
        <stp>##V3_BDHV12</stp>
        <stp>EUNE57 ICPL Curncy</stp>
        <stp>PX_LAST</stp>
        <stp>3/26/2019</stp>
        <stp>3/26/2019</stp>
        <stp>[Live Pricing.xlsm]Vol_Surface!R72C8</stp>
        <tr r="H72" s="53"/>
      </tp>
      <tp t="e">
        <v>#N/A</v>
        <stp/>
        <stp>##V3_BDHV12</stp>
        <stp>EUNE56 ICPL Curncy</stp>
        <stp>PX_LAST</stp>
        <stp>3/26/2019</stp>
        <stp>3/26/2019</stp>
        <stp>[Live Pricing.xlsm]Vol_Surface!R72C7</stp>
        <tr r="G72" s="53"/>
      </tp>
      <tp t="e">
        <v>#N/A</v>
        <stp/>
        <stp>##V3_BDHV12</stp>
        <stp>EUNE55 ICPL Curncy</stp>
        <stp>PX_LAST</stp>
        <stp>3/26/2019</stp>
        <stp>3/26/2019</stp>
        <stp>[Live Pricing.xlsm]Vol_Surface!R72C6</stp>
        <tr r="F72" s="53"/>
      </tp>
      <tp t="e">
        <v>#N/A</v>
        <stp/>
        <stp>##V3_BDHV12</stp>
        <stp>EUNE54 ICPL Curncy</stp>
        <stp>PX_LAST</stp>
        <stp>3/26/2019</stp>
        <stp>3/26/2019</stp>
        <stp>[Live Pricing.xlsm]Vol_Surface!R72C5</stp>
        <tr r="E72" s="53"/>
      </tp>
      <tp t="e">
        <v>#N/A</v>
        <stp/>
        <stp>##V3_BDHV12</stp>
        <stp>EUNE53 ICPL Curncy</stp>
        <stp>PX_LAST</stp>
        <stp>3/26/2019</stp>
        <stp>3/26/2019</stp>
        <stp>[Live Pricing.xlsm]Vol_Surface!R72C4</stp>
        <tr r="D72" s="53"/>
      </tp>
      <tp t="e">
        <v>#N/A</v>
        <stp/>
        <stp>##V3_BDHV12</stp>
        <stp>EUNE52 ICPL Curncy</stp>
        <stp>PX_LAST</stp>
        <stp>3/26/2019</stp>
        <stp>3/26/2019</stp>
        <stp>[Live Pricing.xlsm]Vol_Surface!R72C3</stp>
        <tr r="C72" s="53"/>
      </tp>
      <tp t="e">
        <v>#N/A</v>
        <stp/>
        <stp>##V3_BDHV12</stp>
        <stp>EUNE51 ICPL Curncy</stp>
        <stp>PX_LAST</stp>
        <stp>3/26/2019</stp>
        <stp>3/26/2019</stp>
        <stp>[Live Pricing.xlsm]Vol_Surface!R72C2</stp>
        <tr r="B72" s="53"/>
      </tp>
      <tp t="e">
        <v>#N/A</v>
        <stp/>
        <stp>##V3_BDHV12</stp>
        <stp>CDOR02 Index</stp>
        <stp>PX_LAST</stp>
        <stp>3/26/2019</stp>
        <stp>3/26/2019</stp>
        <stp>[Live Pricing.xlsm]Rate_History!R133C2</stp>
        <tr r="B133" s="49"/>
        <tr r="B133" s="49"/>
      </tp>
      <tp t="e">
        <v>#N/A</v>
        <stp/>
        <stp>##V3_BDHV12</stp>
        <stp>CLSWIB2 Index</stp>
        <stp>PX_LAST</stp>
        <stp>3/26/2019</stp>
        <stp>3/26/2019</stp>
        <stp>[Live Pricing.xlsm]FX_Curve_History!R181C6</stp>
        <tr r="F181" s="50"/>
      </tp>
      <tp t="e">
        <v>#N/A</v>
        <stp/>
        <stp>##V3_BDHV12</stp>
        <stp>ESU9 Comdty</stp>
        <stp>PX_LAST</stp>
        <stp>3/26/2019</stp>
        <stp>3/26/2019</stp>
        <stp>[Live Pricing.xlsm]Rate_History!R107C4</stp>
        <tr r="D107" s="49"/>
      </tp>
      <tp t="e">
        <v>#N/A</v>
        <stp/>
        <stp>##V3_BDHV12</stp>
        <stp>EUNE58 ICPL Curncy</stp>
        <stp>PX_LAST</stp>
        <stp>3/26/2019</stp>
        <stp>3/26/2019</stp>
        <stp>[Live Pricing.xlsm]Vol_Surface!R72C9</stp>
        <tr r="I72" s="53"/>
      </tp>
      <tp t="e">
        <v>#N/A</v>
        <stp/>
        <stp>##V3_BDHV12</stp>
        <stp>JYSW11 CMPN Curncy</stp>
        <stp>LAST_PRICE</stp>
        <stp>3/26/2019</stp>
        <stp>3/26/2019</stp>
        <stp>[Live Pricing.xlsm]Rate_History!R65C20</stp>
        <tr r="T65" s="49"/>
      </tp>
      <tp t="e">
        <v>#N/A</v>
        <stp/>
        <stp>##V3_BDHV12</stp>
        <stp>EUNZ101 ICPL Curncy</stp>
        <stp>PX_LAST</stp>
        <stp>3/26/2019</stp>
        <stp>3/26/2019</stp>
        <stp>[Live Pricing.xlsm]Vol_Surface!R24C8</stp>
        <tr r="H24" s="53"/>
      </tp>
      <tp t="e">
        <v>#N/A</v>
        <stp/>
        <stp>##V3_BDHV12</stp>
        <stp>SFSW2 Index</stp>
        <stp>PX_LAST</stp>
        <stp>3/26/2019</stp>
        <stp>3/26/2019</stp>
        <stp>[Live Pricing.xlsm]FX_Curve_History!R106C6</stp>
        <tr r="F106" s="50"/>
      </tp>
      <tp t="e">
        <v>#N/A</v>
        <stp/>
        <stp>##V3_BDHV12</stp>
        <stp>CDSW7 Index</stp>
        <stp>PX_LAST</stp>
        <stp>3/26/2019</stp>
        <stp>3/26/2019</stp>
        <stp>[Live Pricing.xlsm]FX_Curve_History!R136C6</stp>
        <tr r="F136" s="50"/>
      </tp>
      <tp t="e">
        <v>#N/A</v>
        <stp/>
        <stp>##V3_BDHV12</stp>
        <stp>BPSW8 CMPN Curncy</stp>
        <stp>LAST_PRICE</stp>
        <stp>3/26/2019</stp>
        <stp>3/26/2019</stp>
        <stp>[Live Pricing.xlsm]Rate_History!R87C20</stp>
        <tr r="T87" s="49"/>
      </tp>
      <tp t="e">
        <v>#N/A</v>
        <stp/>
        <stp>##V3_BDHV12</stp>
        <stp>ESM9 Comdty</stp>
        <stp>PX_LAST</stp>
        <stp>3/26/2019</stp>
        <stp>3/26/2019</stp>
        <stp>[Live Pricing.xlsm]Rate_History!R106C4</stp>
        <tr r="D106" s="49"/>
        <tr r="D106" s="49"/>
      </tp>
      <tp t="e">
        <v>#N/A</v>
        <stp/>
        <stp>##V3_BDHV12</stp>
        <stp>CDOR01 Index</stp>
        <stp>PX_LAST</stp>
        <stp>3/26/2019</stp>
        <stp>3/26/2019</stp>
        <stp>[Live Pricing.xlsm]Rate_History!R132C2</stp>
        <tr r="B132" s="49"/>
      </tp>
      <tp t="e">
        <v>#N/A</v>
        <stp/>
        <stp>##V3_BDPV12</stp>
        <stp>CORRRMIN Index</stp>
        <stp>PX_LAST</stp>
        <stp>[Live Pricing.xlsm]FX_Curve_Live!R181C2</stp>
        <tr r="B181" s="42"/>
      </tp>
      <tp t="e">
        <v>#N/A</v>
        <stp/>
        <stp>##V3_BDHV12</stp>
        <stp>JYSW12 CMPN Curncy</stp>
        <stp>LAST_PRICE</stp>
        <stp>3/26/2019</stp>
        <stp>3/26/2019</stp>
        <stp>[Live Pricing.xlsm]Rate_History!R66C20</stp>
        <tr r="T66" s="49"/>
      </tp>
      <tp t="e">
        <v>#N/A</v>
        <stp/>
        <stp>##V3_BDHV12</stp>
        <stp>EUNZ104 ICPL Curncy</stp>
        <stp>PX_LAST</stp>
        <stp>3/26/2019</stp>
        <stp>3/26/2019</stp>
        <stp>[Live Pricing.xlsm]Vol_Surface!R27C8</stp>
        <tr r="H27" s="53"/>
      </tp>
      <tp t="e">
        <v>#N/A</v>
        <stp/>
        <stp>##V3_BDHV12</stp>
        <stp>CDSW6 Index</stp>
        <stp>PX_LAST</stp>
        <stp>3/26/2019</stp>
        <stp>3/26/2019</stp>
        <stp>[Live Pricing.xlsm]FX_Curve_History!R135C6</stp>
        <tr r="F135" s="50"/>
      </tp>
      <tp t="e">
        <v>#N/A</v>
        <stp/>
        <stp>##V3_BDHV12</stp>
        <stp>YEU9 Comdty</stp>
        <stp>PX_LAST</stp>
        <stp>3/26/2019</stp>
        <stp>3/26/2019</stp>
        <stp>[Live Pricing.xlsm]Rate_History!R57C4</stp>
        <tr r="D57" s="49"/>
      </tp>
      <tp t="e">
        <v>#N/A</v>
        <stp/>
        <stp>##V3_BDHV12</stp>
        <stp>YEZ9 Comdty</stp>
        <stp>PX_LAST</stp>
        <stp>3/26/2019</stp>
        <stp>3/26/2019</stp>
        <stp>[Live Pricing.xlsm]Rate_History!R58C4</stp>
        <tr r="D58" s="49"/>
      </tp>
      <tp t="e">
        <v>#N/A</v>
        <stp/>
        <stp>##V3_BDHV12</stp>
        <stp>JYSW3 CMPN Curncy</stp>
        <stp>LAST_PRICE</stp>
        <stp>3/26/2019</stp>
        <stp>3/26/2019</stp>
        <stp>[Live Pricing.xlsm]Rate_History!R57C20</stp>
        <tr r="T57" s="49"/>
      </tp>
      <tp t="e">
        <v>#N/A</v>
        <stp/>
        <stp>##V3_BDHV12</stp>
        <stp>EUNE47 ICPL Curncy</stp>
        <stp>PX_LAST</stp>
        <stp>3/26/2019</stp>
        <stp>3/26/2019</stp>
        <stp>[Live Pricing.xlsm]Vol_Surface!R71C8</stp>
        <tr r="H71" s="53"/>
      </tp>
      <tp t="e">
        <v>#N/A</v>
        <stp/>
        <stp>##V3_BDHV12</stp>
        <stp>EUNE46 ICPL Curncy</stp>
        <stp>PX_LAST</stp>
        <stp>3/26/2019</stp>
        <stp>3/26/2019</stp>
        <stp>[Live Pricing.xlsm]Vol_Surface!R71C7</stp>
        <tr r="G71" s="53"/>
      </tp>
      <tp t="e">
        <v>#N/A</v>
        <stp/>
        <stp>##V3_BDHV12</stp>
        <stp>EUNE45 ICPL Curncy</stp>
        <stp>PX_LAST</stp>
        <stp>3/26/2019</stp>
        <stp>3/26/2019</stp>
        <stp>[Live Pricing.xlsm]Vol_Surface!R71C6</stp>
        <tr r="F71" s="53"/>
      </tp>
      <tp t="e">
        <v>#N/A</v>
        <stp/>
        <stp>##V3_BDHV12</stp>
        <stp>EUNE44 ICPL Curncy</stp>
        <stp>PX_LAST</stp>
        <stp>3/26/2019</stp>
        <stp>3/26/2019</stp>
        <stp>[Live Pricing.xlsm]Vol_Surface!R71C5</stp>
        <tr r="E71" s="53"/>
      </tp>
      <tp t="e">
        <v>#N/A</v>
        <stp/>
        <stp>##V3_BDHV12</stp>
        <stp>EUNE43 ICPL Curncy</stp>
        <stp>PX_LAST</stp>
        <stp>3/26/2019</stp>
        <stp>3/26/2019</stp>
        <stp>[Live Pricing.xlsm]Vol_Surface!R71C4</stp>
        <tr r="D71" s="53"/>
      </tp>
      <tp t="e">
        <v>#N/A</v>
        <stp/>
        <stp>##V3_BDHV12</stp>
        <stp>EUNE42 ICPL Curncy</stp>
        <stp>PX_LAST</stp>
        <stp>3/26/2019</stp>
        <stp>3/26/2019</stp>
        <stp>[Live Pricing.xlsm]Vol_Surface!R71C3</stp>
        <tr r="C71" s="53"/>
      </tp>
      <tp t="e">
        <v>#N/A</v>
        <stp/>
        <stp>##V3_BDHV12</stp>
        <stp>EUNE41 ICPL Curncy</stp>
        <stp>PX_LAST</stp>
        <stp>3/26/2019</stp>
        <stp>3/26/2019</stp>
        <stp>[Live Pricing.xlsm]Vol_Surface!R71C2</stp>
        <tr r="B71" s="53"/>
      </tp>
      <tp t="e">
        <v>#N/A</v>
        <stp/>
        <stp>##V3_BDHV12</stp>
        <stp>CLSWIB4 Index</stp>
        <stp>PX_LAST</stp>
        <stp>3/26/2019</stp>
        <stp>3/26/2019</stp>
        <stp>[Live Pricing.xlsm]FX_Curve_History!R183C6</stp>
        <tr r="F183" s="50"/>
      </tp>
      <tp t="e">
        <v>#N/A</v>
        <stp/>
        <stp>##V3_BDHV12</stp>
        <stp>EUNE48 ICPL Curncy</stp>
        <stp>PX_LAST</stp>
        <stp>3/26/2019</stp>
        <stp>3/26/2019</stp>
        <stp>[Live Pricing.xlsm]Vol_Surface!R71C9</stp>
        <tr r="I71" s="53"/>
      </tp>
      <tp t="e">
        <v>#N/A</v>
        <stp/>
        <stp>##V3_BDHV12</stp>
        <stp>JPY10Y BGN Curncy</stp>
        <stp>PX_LAST</stp>
        <stp>3/26/2019</stp>
        <stp>3/26/2019</stp>
        <stp>[Live Pricing.xlsm]FXFR!R87C4</stp>
        <tr r="D87" s="46"/>
      </tp>
      <tp t="e">
        <v>#N/A</v>
        <stp/>
        <stp>##V3_BDHV12</stp>
        <stp>JYSW13 CMPN Curncy</stp>
        <stp>LAST_PRICE</stp>
        <stp>3/26/2019</stp>
        <stp>3/26/2019</stp>
        <stp>[Live Pricing.xlsm]Rate_History!R67C20</stp>
        <tr r="T67" s="49"/>
      </tp>
      <tp t="e">
        <v>#N/A</v>
        <stp/>
        <stp>##V3_BDHV12</stp>
        <stp>CLSWIBA Index</stp>
        <stp>PX_LAST</stp>
        <stp>3/26/2019</stp>
        <stp>3/26/2019</stp>
        <stp>[Live Pricing.xlsm]FX_Curve_History!R182C2</stp>
        <tr r="B182" s="50"/>
      </tp>
      <tp t="e">
        <v>#N/A</v>
        <stp/>
        <stp>##V3_BDHV12</stp>
        <stp>EUNZ103 ICPL Curncy</stp>
        <stp>PX_LAST</stp>
        <stp>3/26/2019</stp>
        <stp>3/26/2019</stp>
        <stp>[Live Pricing.xlsm]Vol_Surface!R26C8</stp>
        <tr r="H26" s="53"/>
      </tp>
      <tp t="e">
        <v>#N/A</v>
        <stp/>
        <stp>##V3_BDHV12</stp>
        <stp>CDSW5 Index</stp>
        <stp>PX_LAST</stp>
        <stp>3/26/2019</stp>
        <stp>3/26/2019</stp>
        <stp>[Live Pricing.xlsm]FX_Curve_History!R134C6</stp>
        <tr r="F134" s="50"/>
      </tp>
      <tp t="e">
        <v>#N/A</v>
        <stp/>
        <stp>##V3_BDHV12</stp>
        <stp>L U0 Comdty</stp>
        <stp>PX_LAST</stp>
        <stp>3/26/2019</stp>
        <stp>3/26/2019</stp>
        <stp>[Live Pricing.xlsm]Rate_History!R86C4</stp>
        <tr r="D86" s="49"/>
      </tp>
      <tp t="e">
        <v>#N/A</v>
        <stp/>
        <stp>##V3_BDHV12</stp>
        <stp>ERU0 Comdty</stp>
        <stp>PX_LAST</stp>
        <stp>3/26/2019</stp>
        <stp>3/26/2019</stp>
        <stp>[Live Pricing.xlsm]Rate_History!R36C4</stp>
        <tr r="D36" s="49"/>
      </tp>
      <tp t="e">
        <v>#N/A</v>
        <stp/>
        <stp>##V3_BDHV12</stp>
        <stp>JYSW2 CMPN Curncy</stp>
        <stp>LAST_PRICE</stp>
        <stp>3/26/2019</stp>
        <stp>3/26/2019</stp>
        <stp>[Live Pricing.xlsm]Rate_History!R56C20</stp>
        <tr r="T56" s="49"/>
      </tp>
      <tp t="e">
        <v>#N/A</v>
        <stp/>
        <stp>##V3_BDPV12</stp>
        <stp>USDNOK Curncy</stp>
        <stp>PX_LAST</stp>
        <stp>[Live Pricing.xlsm]FX_Live!R5C5</stp>
        <tr r="E5" s="44"/>
      </tp>
      <tp t="e">
        <v>#N/A</v>
        <stp/>
        <stp>##V3_BDPV12</stp>
        <stp>HASWDI8Y Index</stp>
        <stp>PX_LAST</stp>
        <stp>[Live Pricing.xlsm]FX_Curve_Live!R163C9</stp>
        <stp/>
        <stp/>
        <tr r="I163" s="42"/>
      </tp>
      <tp t="e">
        <v>#N/A</v>
        <stp/>
        <stp>##V3_BDPV12</stp>
        <stp>HASWDI9Y Index</stp>
        <stp>PX_LAST</stp>
        <stp>[Live Pricing.xlsm]FX_Curve_Live!R164C9</stp>
        <stp/>
        <stp/>
        <tr r="I164" s="42"/>
      </tp>
      <tp t="e">
        <v>#N/A</v>
        <stp/>
        <stp>##V3_BDPV12</stp>
        <stp>HASWDI3Y Index</stp>
        <stp>PX_LAST</stp>
        <stp>[Live Pricing.xlsm]FX_Curve_Live!R158C9</stp>
        <stp/>
        <stp/>
        <tr r="I158" s="42"/>
      </tp>
      <tp t="e">
        <v>#N/A</v>
        <stp/>
        <stp>##V3_BDPV12</stp>
        <stp>HASWDI2Y Index</stp>
        <stp>PX_LAST</stp>
        <stp>[Live Pricing.xlsm]FX_Curve_Live!R157C9</stp>
        <stp/>
        <stp/>
        <tr r="I157" s="42"/>
      </tp>
      <tp t="e">
        <v>#N/A</v>
        <stp/>
        <stp>##V3_BDPV12</stp>
        <stp>HASWDI1Y Index</stp>
        <stp>PX_LAST</stp>
        <stp>[Live Pricing.xlsm]FX_Curve_Live!R156C9</stp>
        <stp/>
        <stp/>
        <tr r="I156" s="42"/>
      </tp>
      <tp t="e">
        <v>#N/A</v>
        <stp/>
        <stp>##V3_BDPV12</stp>
        <stp>HASWDI5Y Index</stp>
        <stp>PX_LAST</stp>
        <stp>[Live Pricing.xlsm]FX_Curve_Live!R160C9</stp>
        <stp/>
        <stp/>
        <tr r="I160" s="42"/>
      </tp>
      <tp t="e">
        <v>#N/A</v>
        <stp/>
        <stp>##V3_BDPV12</stp>
        <stp>HASWDI6Y Index</stp>
        <stp>PX_LAST</stp>
        <stp>[Live Pricing.xlsm]FX_Curve_Live!R161C9</stp>
        <stp/>
        <stp/>
        <tr r="I161" s="42"/>
      </tp>
      <tp t="e">
        <v>#N/A</v>
        <stp/>
        <stp>##V3_BDPV12</stp>
        <stp>HASWDI7Y Index</stp>
        <stp>PX_LAST</stp>
        <stp>[Live Pricing.xlsm]FX_Curve_Live!R162C9</stp>
        <stp/>
        <stp/>
        <tr r="I162" s="42"/>
      </tp>
      <tp t="e">
        <v>#N/A</v>
        <stp/>
        <stp>##V3_BDPV12</stp>
        <stp>HASWDI4Y Index</stp>
        <stp>PX_LAST</stp>
        <stp>[Live Pricing.xlsm]FX_Curve_Live!R159C9</stp>
        <stp/>
        <stp/>
        <tr r="I159" s="42"/>
      </tp>
      <tp t="e">
        <v>#N/A</v>
        <stp/>
        <stp>##V3_BDPV12</stp>
        <stp>JYBS40 Index</stp>
        <stp>PX_LAST</stp>
        <stp>[Live Pricing.xlsm]FX_Curve_History!R75C13</stp>
        <tr r="M75" s="50"/>
      </tp>
      <tp t="e">
        <v>#N/A</v>
        <stp/>
        <stp>##V3_BDHV12</stp>
        <stp>CLSWIB3 Index</stp>
        <stp>PX_LAST</stp>
        <stp>3/26/2019</stp>
        <stp>3/26/2019</stp>
        <stp>[Live Pricing.xlsm]FX_Curve_History!R182C6</stp>
        <tr r="F182" s="50"/>
      </tp>
      <tp t="e">
        <v>#N/A</v>
        <stp/>
        <stp>##V3_BDHV12</stp>
        <stp>CLSWIBI Index</stp>
        <stp>PX_LAST</stp>
        <stp>3/26/2019</stp>
        <stp>3/26/2019</stp>
        <stp>[Live Pricing.xlsm]FX_Curve_History!R185C2</stp>
        <tr r="B185" s="50"/>
      </tp>
      <tp t="e">
        <v>#N/A</v>
        <stp/>
        <stp>##V3_BDHV12</stp>
        <stp>JYSW14 CMPN Curncy</stp>
        <stp>LAST_PRICE</stp>
        <stp>3/26/2019</stp>
        <stp>3/26/2019</stp>
        <stp>[Live Pricing.xlsm]Rate_History!R68C20</stp>
        <tr r="T68" s="49"/>
      </tp>
      <tp t="e">
        <v>#N/A</v>
        <stp/>
        <stp>##V3_BDHV12</stp>
        <stp>EUNZA10 ICPL Curncy</stp>
        <stp>PX_LAST</stp>
        <stp>3/26/2019</stp>
        <stp>3/26/2019</stp>
        <stp>[Live Pricing.xlsm]Vol_Surface!R30C6</stp>
        <tr r="F30" s="53"/>
      </tp>
      <tp t="e">
        <v>#N/A</v>
        <stp/>
        <stp>##V3_BDHV12</stp>
        <stp>EUNZA20 ICPL Curncy</stp>
        <stp>PX_LAST</stp>
        <stp>3/26/2019</stp>
        <stp>3/26/2019</stp>
        <stp>[Live Pricing.xlsm]Vol_Surface!R33C6</stp>
        <tr r="F33" s="53"/>
      </tp>
      <tp t="e">
        <v>#N/A</v>
        <stp/>
        <stp>##V3_BDHV12</stp>
        <stp>EUNZO10 ICPL Curncy</stp>
        <stp>PX_LAST</stp>
        <stp>3/26/2019</stp>
        <stp>3/26/2019</stp>
        <stp>[Live Pricing.xlsm]Vol_Surface!R30C5</stp>
        <tr r="E30" s="53"/>
      </tp>
      <tp t="e">
        <v>#N/A</v>
        <stp/>
        <stp>##V3_BDHV12</stp>
        <stp>EUNZO20 ICPL Curncy</stp>
        <stp>PX_LAST</stp>
        <stp>3/26/2019</stp>
        <stp>3/26/2019</stp>
        <stp>[Live Pricing.xlsm]Vol_Surface!R33C5</stp>
        <tr r="E33" s="53"/>
      </tp>
      <tp t="e">
        <v>#N/A</v>
        <stp/>
        <stp>##V3_BDHV12</stp>
        <stp>EUNZ051 ICPL Curncy</stp>
        <stp>PX_LAST</stp>
        <stp>3/26/2019</stp>
        <stp>3/26/2019</stp>
        <stp>[Live Pricing.xlsm]Vol_Surface!R24C7</stp>
        <tr r="G24" s="53"/>
      </tp>
      <tp t="e">
        <v>#N/A</v>
        <stp/>
        <stp>##V3_BDHV12</stp>
        <stp>EUNZ151 ICPL Curncy</stp>
        <stp>PX_LAST</stp>
        <stp>3/26/2019</stp>
        <stp>3/26/2019</stp>
        <stp>[Live Pricing.xlsm]Vol_Surface!R24C9</stp>
        <tr r="I24" s="53"/>
      </tp>
      <tp t="e">
        <v>#N/A</v>
        <stp/>
        <stp>##V3_BDHV12</stp>
        <stp>SFSW9 Index</stp>
        <stp>PX_LAST</stp>
        <stp>3/26/2019</stp>
        <stp>3/26/2019</stp>
        <stp>[Live Pricing.xlsm]FX_Curve_History!R113C6</stp>
        <tr r="F113" s="50"/>
      </tp>
      <tp t="e">
        <v>#N/A</v>
        <stp/>
        <stp>##V3_BDHV12</stp>
        <stp>CDSW4 Index</stp>
        <stp>PX_LAST</stp>
        <stp>3/26/2019</stp>
        <stp>3/26/2019</stp>
        <stp>[Live Pricing.xlsm]FX_Curve_History!R133C6</stp>
        <tr r="F133" s="50"/>
      </tp>
      <tp t="e">
        <v>#N/A</v>
        <stp/>
        <stp>##V3_BDHV12</stp>
        <stp>USSN018 CMPN Curncy</stp>
        <stp>PX_LAST</stp>
        <stp>3/26/2019</stp>
        <stp>3/26/2019</stp>
        <stp>[Live Pricing.xlsm]Vol_Surface!R48C9</stp>
        <tr r="I48" s="53"/>
      </tp>
      <tp t="e">
        <v>#N/A</v>
        <stp/>
        <stp>##V3_BDHV12</stp>
        <stp>USSN015 CMPN Curncy</stp>
        <stp>PX_LAST</stp>
        <stp>3/26/2019</stp>
        <stp>3/26/2019</stp>
        <stp>[Live Pricing.xlsm]Vol_Surface!R48C6</stp>
        <tr r="F48" s="53"/>
      </tp>
      <tp t="e">
        <v>#N/A</v>
        <stp/>
        <stp>##V3_BDHV12</stp>
        <stp>USSN014 CMPN Curncy</stp>
        <stp>PX_LAST</stp>
        <stp>3/26/2019</stp>
        <stp>3/26/2019</stp>
        <stp>[Live Pricing.xlsm]Vol_Surface!R48C5</stp>
        <tr r="E48" s="53"/>
      </tp>
      <tp t="e">
        <v>#N/A</v>
        <stp/>
        <stp>##V3_BDHV12</stp>
        <stp>USSN017 CMPN Curncy</stp>
        <stp>PX_LAST</stp>
        <stp>3/26/2019</stp>
        <stp>3/26/2019</stp>
        <stp>[Live Pricing.xlsm]Vol_Surface!R48C8</stp>
        <tr r="H48" s="53"/>
      </tp>
      <tp t="e">
        <v>#N/A</v>
        <stp/>
        <stp>##V3_BDHV12</stp>
        <stp>USSN016 CMPN Curncy</stp>
        <stp>PX_LAST</stp>
        <stp>3/26/2019</stp>
        <stp>3/26/2019</stp>
        <stp>[Live Pricing.xlsm]Vol_Surface!R48C7</stp>
        <tr r="G48" s="53"/>
      </tp>
      <tp t="e">
        <v>#N/A</v>
        <stp/>
        <stp>##V3_BDHV12</stp>
        <stp>USSN011 CMPN Curncy</stp>
        <stp>PX_LAST</stp>
        <stp>3/26/2019</stp>
        <stp>3/26/2019</stp>
        <stp>[Live Pricing.xlsm]Vol_Surface!R48C2</stp>
        <tr r="B48" s="53"/>
      </tp>
      <tp t="e">
        <v>#N/A</v>
        <stp/>
        <stp>##V3_BDHV12</stp>
        <stp>YEU0 Comdty</stp>
        <stp>PX_LAST</stp>
        <stp>3/26/2019</stp>
        <stp>3/26/2019</stp>
        <stp>[Live Pricing.xlsm]Rate_History!R61C4</stp>
        <tr r="D61" s="49"/>
      </tp>
      <tp t="e">
        <v>#N/A</v>
        <stp/>
        <stp>##V3_BDHV12</stp>
        <stp>EDU0 Comdty</stp>
        <stp>PX_LAST</stp>
        <stp>3/26/2019</stp>
        <stp>3/26/2019</stp>
        <stp>[Live Pricing.xlsm]Rate_History!R11C4</stp>
        <tr r="D11" s="49"/>
      </tp>
      <tp t="e">
        <v>#N/A</v>
        <stp/>
        <stp>##V3_BDHV12</stp>
        <stp>USSN013 CMPN Curncy</stp>
        <stp>PX_LAST</stp>
        <stp>3/26/2019</stp>
        <stp>3/26/2019</stp>
        <stp>[Live Pricing.xlsm]Vol_Surface!R48C4</stp>
        <tr r="D48" s="53"/>
      </tp>
      <tp t="e">
        <v>#N/A</v>
        <stp/>
        <stp>##V3_BDHV12</stp>
        <stp>USSN012 CMPN Curncy</stp>
        <stp>PX_LAST</stp>
        <stp>3/26/2019</stp>
        <stp>3/26/2019</stp>
        <stp>[Live Pricing.xlsm]Vol_Surface!R48C3</stp>
        <tr r="C48" s="53"/>
      </tp>
      <tp t="e">
        <v>#N/A</v>
        <stp/>
        <stp>##V3_BDPV12</stp>
        <stp>USDEUR Curncy</stp>
        <stp>PX_LAST</stp>
        <stp>[Live Pricing.xlsm]FX_Live!R2C5</stp>
        <tr r="E2" s="44"/>
      </tp>
      <tp t="e">
        <v>#N/A</v>
        <stp/>
        <stp>##V3_BDHV12</stp>
        <stp>JYSW5 CMPN Curncy</stp>
        <stp>LAST_PRICE</stp>
        <stp>3/26/2019</stp>
        <stp>3/26/2019</stp>
        <stp>[Live Pricing.xlsm]Rate_History!R59C20</stp>
        <tr r="T59" s="49"/>
      </tp>
      <tp t="e">
        <v>#N/A</v>
        <stp/>
        <stp>##V3_BDHV12</stp>
        <stp>EUNE37 ICPL Curncy</stp>
        <stp>PX_LAST</stp>
        <stp>3/26/2019</stp>
        <stp>3/26/2019</stp>
        <stp>[Live Pricing.xlsm]Vol_Surface!R70C8</stp>
        <tr r="H70" s="53"/>
      </tp>
      <tp t="e">
        <v>#N/A</v>
        <stp/>
        <stp>##V3_BDHV12</stp>
        <stp>EUNE36 ICPL Curncy</stp>
        <stp>PX_LAST</stp>
        <stp>3/26/2019</stp>
        <stp>3/26/2019</stp>
        <stp>[Live Pricing.xlsm]Vol_Surface!R70C7</stp>
        <tr r="G70" s="53"/>
      </tp>
      <tp t="e">
        <v>#N/A</v>
        <stp/>
        <stp>##V3_BDHV12</stp>
        <stp>EUNE35 ICPL Curncy</stp>
        <stp>PX_LAST</stp>
        <stp>3/26/2019</stp>
        <stp>3/26/2019</stp>
        <stp>[Live Pricing.xlsm]Vol_Surface!R70C6</stp>
        <tr r="F70" s="53"/>
      </tp>
      <tp t="e">
        <v>#N/A</v>
        <stp/>
        <stp>##V3_BDHV12</stp>
        <stp>EUNE34 ICPL Curncy</stp>
        <stp>PX_LAST</stp>
        <stp>3/26/2019</stp>
        <stp>3/26/2019</stp>
        <stp>[Live Pricing.xlsm]Vol_Surface!R70C5</stp>
        <tr r="E70" s="53"/>
      </tp>
      <tp t="e">
        <v>#N/A</v>
        <stp/>
        <stp>##V3_BDHV12</stp>
        <stp>EUNE33 ICPL Curncy</stp>
        <stp>PX_LAST</stp>
        <stp>3/26/2019</stp>
        <stp>3/26/2019</stp>
        <stp>[Live Pricing.xlsm]Vol_Surface!R70C4</stp>
        <tr r="D70" s="53"/>
      </tp>
      <tp t="e">
        <v>#N/A</v>
        <stp/>
        <stp>##V3_BDHV12</stp>
        <stp>EUNE32 ICPL Curncy</stp>
        <stp>PX_LAST</stp>
        <stp>3/26/2019</stp>
        <stp>3/26/2019</stp>
        <stp>[Live Pricing.xlsm]Vol_Surface!R70C3</stp>
        <tr r="C70" s="53"/>
      </tp>
      <tp t="e">
        <v>#N/A</v>
        <stp/>
        <stp>##V3_BDHV12</stp>
        <stp>EUNE31 ICPL Curncy</stp>
        <stp>PX_LAST</stp>
        <stp>3/26/2019</stp>
        <stp>3/26/2019</stp>
        <stp>[Live Pricing.xlsm]Vol_Surface!R70C2</stp>
        <tr r="B70" s="53"/>
      </tp>
      <tp t="e">
        <v>#N/A</v>
        <stp/>
        <stp>##V3_BDHV12</stp>
        <stp>CLSWIB6 Index</stp>
        <stp>PX_LAST</stp>
        <stp>3/26/2019</stp>
        <stp>3/26/2019</stp>
        <stp>[Live Pricing.xlsm]FX_Curve_History!R185C6</stp>
        <tr r="F185" s="50"/>
      </tp>
      <tp t="e">
        <v>#N/A</v>
        <stp/>
        <stp>##V3_BDHV12</stp>
        <stp>BAZ9 Comdty</stp>
        <stp>PX_LAST</stp>
        <stp>3/26/2019</stp>
        <stp>3/26/2019</stp>
        <stp>[Live Pricing.xlsm]Rate_History!R133C4</stp>
        <tr r="D133" s="49"/>
      </tp>
      <tp t="e">
        <v>#N/A</v>
        <stp/>
        <stp>##V3_BDHV12</stp>
        <stp>CDOR12 Index</stp>
        <stp>PX_LAST</stp>
        <stp>3/26/2019</stp>
        <stp>3/26/2019</stp>
        <stp>[Live Pricing.xlsm]Rate_History!R136C2</stp>
        <tr r="B136" s="49"/>
      </tp>
      <tp t="e">
        <v>#N/A</v>
        <stp/>
        <stp>##V3_BDPV12</stp>
        <stp>JYBS30 Index</stp>
        <stp>PX_LAST</stp>
        <stp>[Live Pricing.xlsm]FX_Curve_History!R74C13</stp>
        <tr r="M74" s="50"/>
      </tp>
      <tp t="e">
        <v>#N/A</v>
        <stp/>
        <stp>##V3_BDHV12</stp>
        <stp>EUNE38 ICPL Curncy</stp>
        <stp>PX_LAST</stp>
        <stp>3/26/2019</stp>
        <stp>3/26/2019</stp>
        <stp>[Live Pricing.xlsm]Vol_Surface!R70C9</stp>
        <tr r="I70" s="53"/>
      </tp>
      <tp t="e">
        <v>#N/A</v>
        <stp/>
        <stp>##V3_BDHV12</stp>
        <stp>JYSW15 CMPN Curncy</stp>
        <stp>LAST_PRICE</stp>
        <stp>3/26/2019</stp>
        <stp>3/26/2019</stp>
        <stp>[Live Pricing.xlsm]Rate_History!R69C20</stp>
        <tr r="T69" s="49"/>
      </tp>
      <tp t="e">
        <v>#N/A</v>
        <stp/>
        <stp>##V3_BDHV12</stp>
        <stp>JYSW25 CMPN Curncy</stp>
        <stp>LAST_PRICE</stp>
        <stp>3/26/2019</stp>
        <stp>3/26/2019</stp>
        <stp>[Live Pricing.xlsm]Rate_History!R73C20</stp>
        <tr r="T73" s="49"/>
      </tp>
      <tp t="e">
        <v>#N/A</v>
        <stp/>
        <stp>##V3_BDHV12</stp>
        <stp>CLSWIBC Index</stp>
        <stp>PX_LAST</stp>
        <stp>3/26/2019</stp>
        <stp>3/26/2019</stp>
        <stp>[Live Pricing.xlsm]FX_Curve_History!R184C2</stp>
        <tr r="B184" s="50"/>
      </tp>
      <tp t="e">
        <v>#N/A</v>
        <stp/>
        <stp>##V3_BDHV12</stp>
        <stp>EUNZ052 ICPL Curncy</stp>
        <stp>PX_LAST</stp>
        <stp>3/26/2019</stp>
        <stp>3/26/2019</stp>
        <stp>[Live Pricing.xlsm]Vol_Surface!R25C7</stp>
        <tr r="G25" s="53"/>
      </tp>
      <tp t="e">
        <v>#N/A</v>
        <stp/>
        <stp>##V3_BDHV12</stp>
        <stp>EUNZA12 ICPL Curncy</stp>
        <stp>PX_LAST</stp>
        <stp>3/26/2019</stp>
        <stp>3/26/2019</stp>
        <stp>[Live Pricing.xlsm]Vol_Surface!R31C6</stp>
        <tr r="F31" s="53"/>
      </tp>
      <tp t="e">
        <v>#N/A</v>
        <stp/>
        <stp>##V3_BDHV12</stp>
        <stp>EUNZO12 ICPL Curncy</stp>
        <stp>PX_LAST</stp>
        <stp>3/26/2019</stp>
        <stp>3/26/2019</stp>
        <stp>[Live Pricing.xlsm]Vol_Surface!R31C5</stp>
        <tr r="E31" s="53"/>
      </tp>
      <tp t="e">
        <v>#N/A</v>
        <stp/>
        <stp>##V3_BDHV12</stp>
        <stp>EUNZ152 ICPL Curncy</stp>
        <stp>PX_LAST</stp>
        <stp>3/26/2019</stp>
        <stp>3/26/2019</stp>
        <stp>[Live Pricing.xlsm]Vol_Surface!R25C9</stp>
        <tr r="I25" s="53"/>
      </tp>
      <tp t="e">
        <v>#N/A</v>
        <stp/>
        <stp>##V3_BDHV12</stp>
        <stp>SFSW8 Index</stp>
        <stp>PX_LAST</stp>
        <stp>3/26/2019</stp>
        <stp>3/26/2019</stp>
        <stp>[Live Pricing.xlsm]FX_Curve_History!R112C6</stp>
        <tr r="F112" s="50"/>
      </tp>
      <tp t="e">
        <v>#N/A</v>
        <stp/>
        <stp>##V3_BDHV12</stp>
        <stp>CDSW3 Index</stp>
        <stp>PX_LAST</stp>
        <stp>3/26/2019</stp>
        <stp>3/26/2019</stp>
        <stp>[Live Pricing.xlsm]FX_Curve_History!R132C6</stp>
        <tr r="F132" s="50"/>
      </tp>
      <tp t="e">
        <v>#N/A</v>
        <stp/>
        <stp>##V3_BDPV12</stp>
        <stp>USDGBP Curncy</stp>
        <stp>PX_LAST</stp>
        <stp>[Live Pricing.xlsm]FX_Live!R3C5</stp>
        <tr r="E3" s="44"/>
      </tp>
      <tp t="e">
        <v>#N/A</v>
        <stp/>
        <stp>##V3_BDHV12</stp>
        <stp>JYSW4 CMPN Curncy</stp>
        <stp>LAST_PRICE</stp>
        <stp>3/26/2019</stp>
        <stp>3/26/2019</stp>
        <stp>[Live Pricing.xlsm]Rate_History!R58C20</stp>
        <tr r="T58" s="49"/>
      </tp>
      <tp t="e">
        <v>#N/A</v>
        <stp/>
        <stp>##V3_BDHV12</stp>
        <stp>EUSWEC Curncy</stp>
        <stp>PX_LAST</stp>
        <stp>3/26/2019</stp>
        <stp>3/26/2019</stp>
        <stp>[Live Pricing.xlsm]Rate_History!R31C2</stp>
        <tr r="B31" s="49"/>
      </tp>
      <tp t="e">
        <v>#N/A</v>
        <stp/>
        <stp>##V3_BDPV12</stp>
        <stp>JYBS25 Index</stp>
        <stp>PX_LAST</stp>
        <stp>[Live Pricing.xlsm]FX_Curve_History!R73C13</stp>
        <tr r="M73" s="50"/>
      </tp>
      <tp t="e">
        <v>#N/A</v>
        <stp/>
        <stp>##V3_BDHV12</stp>
        <stp>BAU9 Comdty</stp>
        <stp>PX_LAST</stp>
        <stp>3/26/2019</stp>
        <stp>3/26/2019</stp>
        <stp>[Live Pricing.xlsm]Rate_History!R132C4</stp>
        <tr r="D132" s="49"/>
      </tp>
      <tp t="e">
        <v>#N/A</v>
        <stp/>
        <stp>##V3_BDHV12</stp>
        <stp>CLSWIB5 Index</stp>
        <stp>PX_LAST</stp>
        <stp>3/26/2019</stp>
        <stp>3/26/2019</stp>
        <stp>[Live Pricing.xlsm]FX_Curve_History!R184C6</stp>
        <tr r="F184" s="50"/>
      </tp>
      <tp t="e">
        <v>#N/A</v>
        <stp/>
        <stp>##V3_BDPV12</stp>
        <stp>JYBS20 Index</stp>
        <stp>PX_LAST</stp>
        <stp>[Live Pricing.xlsm]FX_Curve_History!R72C13</stp>
        <tr r="M72" s="50"/>
      </tp>
      <tp t="e">
        <v>#N/A</v>
        <stp/>
        <stp>##V3_BDHV12</stp>
        <stp>JYSW16 CMPN Curncy</stp>
        <stp>LAST_PRICE</stp>
        <stp>3/26/2019</stp>
        <stp>3/26/2019</stp>
        <stp>[Live Pricing.xlsm]Rate_History!R70C20</stp>
        <tr r="T70" s="49"/>
      </tp>
      <tp t="e">
        <v>#N/A</v>
        <stp/>
        <stp>##V3_BDHV12</stp>
        <stp>EUNZ053 ICPL Curncy</stp>
        <stp>PX_LAST</stp>
        <stp>3/26/2019</stp>
        <stp>3/26/2019</stp>
        <stp>[Live Pricing.xlsm]Vol_Surface!R26C7</stp>
        <tr r="G26" s="53"/>
      </tp>
      <tp t="e">
        <v>#N/A</v>
        <stp/>
        <stp>##V3_BDHV12</stp>
        <stp>EUNZ153 ICPL Curncy</stp>
        <stp>PX_LAST</stp>
        <stp>3/26/2019</stp>
        <stp>3/26/2019</stp>
        <stp>[Live Pricing.xlsm]Vol_Surface!R26C9</stp>
        <tr r="I26" s="53"/>
      </tp>
      <tp t="e">
        <v>#N/A</v>
        <stp/>
        <stp>##V3_BDHV12</stp>
        <stp>EUNZA15 ICPL Curncy</stp>
        <stp>PX_LAST</stp>
        <stp>3/26/2019</stp>
        <stp>3/26/2019</stp>
        <stp>[Live Pricing.xlsm]Vol_Surface!R32C6</stp>
        <tr r="F32" s="53"/>
      </tp>
      <tp t="e">
        <v>#N/A</v>
        <stp/>
        <stp>##V3_BDHV12</stp>
        <stp>EUNZO15 ICPL Curncy</stp>
        <stp>PX_LAST</stp>
        <stp>3/26/2019</stp>
        <stp>3/26/2019</stp>
        <stp>[Live Pricing.xlsm]Vol_Surface!R32C5</stp>
        <tr r="E32" s="53"/>
      </tp>
      <tp t="e">
        <v>#N/A</v>
        <stp/>
        <stp>##V3_BDHV12</stp>
        <stp>SFSW7 Index</stp>
        <stp>PX_LAST</stp>
        <stp>3/26/2019</stp>
        <stp>3/26/2019</stp>
        <stp>[Live Pricing.xlsm]FX_Curve_History!R111C6</stp>
        <tr r="F111" s="50"/>
      </tp>
      <tp t="e">
        <v>#N/A</v>
        <stp/>
        <stp>##V3_BDHV12</stp>
        <stp>CDSW2 Index</stp>
        <stp>PX_LAST</stp>
        <stp>3/26/2019</stp>
        <stp>3/26/2019</stp>
        <stp>[Live Pricing.xlsm]FX_Curve_History!R131C6</stp>
        <tr r="F131" s="50"/>
      </tp>
      <tp t="e">
        <v>#N/A</v>
        <stp/>
        <stp>##V3_BDHV12</stp>
        <stp>USSN028 CMPN Curncy</stp>
        <stp>PX_LAST</stp>
        <stp>3/26/2019</stp>
        <stp>3/26/2019</stp>
        <stp>[Live Pricing.xlsm]Vol_Surface!R49C9</stp>
        <tr r="I49" s="53"/>
      </tp>
      <tp t="e">
        <v>#N/A</v>
        <stp/>
        <stp>##V3_BDHV12</stp>
        <stp>USSN025 CMPN Curncy</stp>
        <stp>PX_LAST</stp>
        <stp>3/26/2019</stp>
        <stp>3/26/2019</stp>
        <stp>[Live Pricing.xlsm]Vol_Surface!R49C6</stp>
        <tr r="F49" s="53"/>
      </tp>
      <tp t="e">
        <v>#N/A</v>
        <stp/>
        <stp>##V3_BDHV12</stp>
        <stp>USSN024 CMPN Curncy</stp>
        <stp>PX_LAST</stp>
        <stp>3/26/2019</stp>
        <stp>3/26/2019</stp>
        <stp>[Live Pricing.xlsm]Vol_Surface!R49C5</stp>
        <tr r="E49" s="53"/>
      </tp>
      <tp t="e">
        <v>#N/A</v>
        <stp/>
        <stp>##V3_BDHV12</stp>
        <stp>USSN027 CMPN Curncy</stp>
        <stp>PX_LAST</stp>
        <stp>3/26/2019</stp>
        <stp>3/26/2019</stp>
        <stp>[Live Pricing.xlsm]Vol_Surface!R49C8</stp>
        <tr r="H49" s="53"/>
      </tp>
      <tp t="e">
        <v>#N/A</v>
        <stp/>
        <stp>##V3_BDHV12</stp>
        <stp>USSN026 CMPN Curncy</stp>
        <stp>PX_LAST</stp>
        <stp>3/26/2019</stp>
        <stp>3/26/2019</stp>
        <stp>[Live Pricing.xlsm]Vol_Surface!R49C7</stp>
        <tr r="G49" s="53"/>
      </tp>
      <tp t="e">
        <v>#N/A</v>
        <stp/>
        <stp>##V3_BDHV12</stp>
        <stp>USSN021 CMPN Curncy</stp>
        <stp>PX_LAST</stp>
        <stp>3/26/2019</stp>
        <stp>3/26/2019</stp>
        <stp>[Live Pricing.xlsm]Vol_Surface!R49C2</stp>
        <tr r="B49" s="53"/>
      </tp>
      <tp t="e">
        <v>#N/A</v>
        <stp/>
        <stp>##V3_BDHV12</stp>
        <stp>USSN023 CMPN Curncy</stp>
        <stp>PX_LAST</stp>
        <stp>3/26/2019</stp>
        <stp>3/26/2019</stp>
        <stp>[Live Pricing.xlsm]Vol_Surface!R49C4</stp>
        <tr r="D49" s="53"/>
      </tp>
      <tp t="e">
        <v>#N/A</v>
        <stp/>
        <stp>##V3_BDHV12</stp>
        <stp>USSN022 CMPN Curncy</stp>
        <stp>PX_LAST</stp>
        <stp>3/26/2019</stp>
        <stp>3/26/2019</stp>
        <stp>[Live Pricing.xlsm]Vol_Surface!R49C3</stp>
        <tr r="C49" s="53"/>
      </tp>
      <tp t="e">
        <v>#N/A</v>
        <stp/>
        <stp>##V3_BDHV12</stp>
        <stp>EUSA8 CMPN Curncy</stp>
        <stp>LAST_PRICE</stp>
        <stp>3/26/2019</stp>
        <stp>3/26/2019</stp>
        <stp>[Live Pricing.xlsm]Rate_History!R37C20</stp>
        <tr r="T37" s="49"/>
      </tp>
      <tp t="e">
        <v>#N/A</v>
        <stp/>
        <stp>##V3_BDHV12</stp>
        <stp>JYSW7 CMPN Curncy</stp>
        <stp>LAST_PRICE</stp>
        <stp>3/26/2019</stp>
        <stp>3/26/2019</stp>
        <stp>[Live Pricing.xlsm]Rate_History!R61C20</stp>
        <tr r="T61" s="49"/>
      </tp>
      <tp t="e">
        <v>#N/A</v>
        <stp/>
        <stp>##V3_BDHV12</stp>
        <stp>CLSWIB8 Index</stp>
        <stp>PX_LAST</stp>
        <stp>3/26/2019</stp>
        <stp>3/26/2019</stp>
        <stp>[Live Pricing.xlsm]FX_Curve_History!R187C6</stp>
        <tr r="F187" s="50"/>
      </tp>
      <tp t="e">
        <v>#N/A</v>
        <stp/>
        <stp>##V3_BDHV12</stp>
        <stp>CDOR06 Index</stp>
        <stp>PX_LAST</stp>
        <stp>3/26/2019</stp>
        <stp>3/26/2019</stp>
        <stp>[Live Pricing.xlsm]Rate_History!R135C2</stp>
        <tr r="B135" s="49"/>
      </tp>
      <tp t="e">
        <v>#N/A</v>
        <stp/>
        <stp>##V3_BDPV12</stp>
        <stp>JYBS15 Index</stp>
        <stp>PX_LAST</stp>
        <stp>[Live Pricing.xlsm]FX_Curve_History!R69C13</stp>
        <tr r="M69" s="50"/>
      </tp>
      <tp t="e">
        <v>#N/A</v>
        <stp/>
        <stp>##V3_BDHV12</stp>
        <stp>BAH0 Comdty</stp>
        <stp>PX_LAST</stp>
        <stp>3/26/2019</stp>
        <stp>3/26/2019</stp>
        <stp>[Live Pricing.xlsm]Rate_History!R138C4</stp>
        <tr r="D138" s="49"/>
      </tp>
      <tp t="e">
        <v>#N/A</v>
        <stp/>
        <stp>##V3_BDHV12</stp>
        <stp>BAM9 Comdty</stp>
        <stp>PX_LAST</stp>
        <stp>3/26/2019</stp>
        <stp>3/26/2019</stp>
        <stp>[Live Pricing.xlsm]Rate_History!R131C4</stp>
        <tr r="D131" s="49"/>
        <tr r="D131" s="49"/>
      </tp>
      <tp t="e">
        <v>#N/A</v>
        <stp/>
        <stp>##V3_BDPV12</stp>
        <stp>JYBS11 Index</stp>
        <stp>PX_LAST</stp>
        <stp>[Live Pricing.xlsm]FX_Curve_History!R65C13</stp>
        <tr r="M65" s="50"/>
      </tp>
      <tp t="e">
        <v>#N/A</v>
        <stp/>
        <stp>##V3_BDPV12</stp>
        <stp>JYBS10 Index</stp>
        <stp>PX_LAST</stp>
        <stp>[Live Pricing.xlsm]FX_Curve_History!R64C13</stp>
        <tr r="M64" s="50"/>
      </tp>
      <tp t="e">
        <v>#N/A</v>
        <stp/>
        <stp>##V3_BDPV12</stp>
        <stp>JYBS12 Index</stp>
        <stp>PX_LAST</stp>
        <stp>[Live Pricing.xlsm]FX_Curve_History!R66C13</stp>
        <tr r="M66" s="50"/>
      </tp>
      <tp t="e">
        <v>#N/A</v>
        <stp/>
        <stp>##V3_BDHV12</stp>
        <stp>JYSW17 CMPN Curncy</stp>
        <stp>LAST_PRICE</stp>
        <stp>3/26/2019</stp>
        <stp>3/26/2019</stp>
        <stp>[Live Pricing.xlsm]Rate_History!R71C20</stp>
        <tr r="T71" s="49"/>
      </tp>
      <tp t="e">
        <v>#N/A</v>
        <stp/>
        <stp>##V3_BDHV12</stp>
        <stp>EUNZ054 ICPL Curncy</stp>
        <stp>PX_LAST</stp>
        <stp>3/26/2019</stp>
        <stp>3/26/2019</stp>
        <stp>[Live Pricing.xlsm]Vol_Surface!R27C7</stp>
        <tr r="G27" s="53"/>
      </tp>
      <tp t="e">
        <v>#N/A</v>
        <stp/>
        <stp>##V3_BDHV12</stp>
        <stp>EUNZ154 ICPL Curncy</stp>
        <stp>PX_LAST</stp>
        <stp>3/26/2019</stp>
        <stp>3/26/2019</stp>
        <stp>[Live Pricing.xlsm]Vol_Surface!R27C9</stp>
        <tr r="I27" s="53"/>
      </tp>
      <tp t="e">
        <v>#N/A</v>
        <stp/>
        <stp>##V3_BDHV12</stp>
        <stp>SFSW6 Index</stp>
        <stp>PX_LAST</stp>
        <stp>3/26/2019</stp>
        <stp>3/26/2019</stp>
        <stp>[Live Pricing.xlsm]FX_Curve_History!R110C6</stp>
        <tr r="F110" s="50"/>
      </tp>
      <tp t="e">
        <v>#N/A</v>
        <stp/>
        <stp>##V3_BDHV12</stp>
        <stp>L U9 Comdty</stp>
        <stp>PX_LAST</stp>
        <stp>3/26/2019</stp>
        <stp>3/26/2019</stp>
        <stp>[Live Pricing.xlsm]Rate_History!R82C4</stp>
        <tr r="D82" s="49"/>
      </tp>
      <tp t="e">
        <v>#N/A</v>
        <stp/>
        <stp>##V3_BDHV12</stp>
        <stp>ERU9 Comdty</stp>
        <stp>PX_LAST</stp>
        <stp>3/26/2019</stp>
        <stp>3/26/2019</stp>
        <stp>[Live Pricing.xlsm]Rate_History!R32C4</stp>
        <tr r="D32" s="49"/>
      </tp>
      <tp t="e">
        <v>#N/A</v>
        <stp/>
        <stp>##V3_BDHV12</stp>
        <stp>EUSA9 CMPN Curncy</stp>
        <stp>LAST_PRICE</stp>
        <stp>3/26/2019</stp>
        <stp>3/26/2019</stp>
        <stp>[Live Pricing.xlsm]Rate_History!R38C20</stp>
        <tr r="T38" s="49"/>
      </tp>
      <tp t="e">
        <v>#N/A</v>
        <stp/>
        <stp>##V3_BDHV12</stp>
        <stp>JYSW6 CMPN Curncy</stp>
        <stp>LAST_PRICE</stp>
        <stp>3/26/2019</stp>
        <stp>3/26/2019</stp>
        <stp>[Live Pricing.xlsm]Rate_History!R60C20</stp>
        <tr r="T60" s="49"/>
      </tp>
      <tp t="e">
        <v>#N/A</v>
        <stp/>
        <stp>##V3_BDHV12</stp>
        <stp>JY0001M Index</stp>
        <stp>PX_LAST</stp>
        <stp>3/26/2019</stp>
        <stp>3/26/2019</stp>
        <stp>[Live Pricing.xlsm]FX_Curve_History!R57C2</stp>
        <tr r="B57" s="50"/>
      </tp>
      <tp t="e">
        <v>#N/A</v>
        <stp/>
        <stp>##V3_BDHV12</stp>
        <stp>CLSWIB7 Index</stp>
        <stp>PX_LAST</stp>
        <stp>3/26/2019</stp>
        <stp>3/26/2019</stp>
        <stp>[Live Pricing.xlsm]FX_Curve_History!R186C6</stp>
        <tr r="F186" s="50"/>
      </tp>
      <tp t="e">
        <v>#N/A</v>
        <stp/>
        <stp>##V3_BDHV12</stp>
        <stp>ESH0 Comdty</stp>
        <stp>PX_LAST</stp>
        <stp>3/26/2019</stp>
        <stp>3/26/2019</stp>
        <stp>[Live Pricing.xlsm]Rate_History!R109C4</stp>
        <tr r="D109" s="49"/>
      </tp>
      <tp t="e">
        <v>#N/A</v>
        <stp/>
        <stp>##V3_BDHV12</stp>
        <stp>CDOR03 Index</stp>
        <stp>PX_LAST</stp>
        <stp>3/26/2019</stp>
        <stp>3/26/2019</stp>
        <stp>[Live Pricing.xlsm]Rate_History!R134C2</stp>
        <tr r="B134" s="49"/>
      </tp>
      <tp t="e">
        <v>#N/A</v>
        <stp/>
        <stp>##V3_BDHV12</stp>
        <stp>CLSWIB1 Index</stp>
        <stp>PX_LAST</stp>
        <stp>3/26/2019</stp>
        <stp>3/26/2019</stp>
        <stp>[Live Pricing.xlsm]FX_Curve_History!R186C2</stp>
        <tr r="B186" s="50"/>
      </tp>
      <tp t="e">
        <v>#N/A</v>
        <stp/>
        <stp>##V3_BDHV12</stp>
        <stp>CDSW9 CMPN Curncy</stp>
        <stp>Close</stp>
        <stp>03/26/2019 15:00:00</stp>
        <stp>03/26/2019 15:01:00</stp>
        <stp>[Live Pricing.xlsm]Rate_History!R138C18</stp>
        <stp>BarType</stp>
        <stp>T</stp>
        <stp>Dir=V</stp>
        <stp>cols=2;rows=1</stp>
        <tr r="R138" s="49"/>
      </tp>
      <tp t="e">
        <v>#N/A</v>
        <stp/>
        <stp>##V3_BDHV12</stp>
        <stp>CDSW6 CMPN Curncy</stp>
        <stp>Close</stp>
        <stp>03/26/2019 15:00:00</stp>
        <stp>03/26/2019 15:01:00</stp>
        <stp>[Live Pricing.xlsm]Rate_History!R135C18</stp>
        <stp>BarType</stp>
        <stp>T</stp>
        <stp>Dir=V</stp>
        <stp>cols=2;rows=1</stp>
        <tr r="R135" s="49"/>
      </tp>
      <tp t="e">
        <v>#N/A</v>
        <stp/>
        <stp>##V3_BDHV12</stp>
        <stp>CDSW5 CMPN Curncy</stp>
        <stp>Close</stp>
        <stp>03/26/2019 15:00:00</stp>
        <stp>03/26/2019 15:01:00</stp>
        <stp>[Live Pricing.xlsm]Rate_History!R134C18</stp>
        <stp>BarType</stp>
        <stp>T</stp>
        <stp>Dir=V</stp>
        <stp>cols=2;rows=1</stp>
        <tr r="R134" s="49"/>
      </tp>
      <tp t="e">
        <v>#N/A</v>
        <stp/>
        <stp>##V3_BDHV12</stp>
        <stp>CDSW8 CMPN Curncy</stp>
        <stp>Close</stp>
        <stp>03/26/2019 15:00:00</stp>
        <stp>03/26/2019 15:01:00</stp>
        <stp>[Live Pricing.xlsm]Rate_History!R137C18</stp>
        <stp>BarType</stp>
        <stp>T</stp>
        <stp>Dir=V</stp>
        <stp>cols=2;rows=1</stp>
        <tr r="R137" s="49"/>
      </tp>
      <tp t="e">
        <v>#N/A</v>
        <stp/>
        <stp>##V3_BDHV12</stp>
        <stp>CDSW7 CMPN Curncy</stp>
        <stp>Close</stp>
        <stp>03/26/2019 15:00:00</stp>
        <stp>03/26/2019 15:01:00</stp>
        <stp>[Live Pricing.xlsm]Rate_History!R136C18</stp>
        <stp>BarType</stp>
        <stp>T</stp>
        <stp>Dir=V</stp>
        <stp>cols=2;rows=1</stp>
        <tr r="R136" s="49"/>
      </tp>
      <tp t="e">
        <v>#N/A</v>
        <stp/>
        <stp>##V3_BDHV12</stp>
        <stp>EUR10Y BGN Curncy</stp>
        <stp>PX_LAST</stp>
        <stp>3/26/2019</stp>
        <stp>3/26/2019</stp>
        <stp>[Live Pricing.xlsm]FXFR!R43C4</stp>
        <tr r="D43" s="46"/>
      </tp>
      <tp t="e">
        <v>#N/A</v>
        <stp/>
        <stp>##V3_BDHV12</stp>
        <stp>CDSW2 CMPN Curncy</stp>
        <stp>Close</stp>
        <stp>03/26/2019 15:00:00</stp>
        <stp>03/26/2019 15:01:00</stp>
        <stp>[Live Pricing.xlsm]Rate_History!R131C18</stp>
        <stp>BarType</stp>
        <stp>T</stp>
        <stp>Dir=V</stp>
        <stp>cols=2;rows=1</stp>
        <tr r="R131" s="49"/>
      </tp>
      <tp t="e">
        <v>#N/A</v>
        <stp/>
        <stp>##V3_BDHV12</stp>
        <stp>CDSW4 CMPN Curncy</stp>
        <stp>Close</stp>
        <stp>03/26/2019 15:00:00</stp>
        <stp>03/26/2019 15:01:00</stp>
        <stp>[Live Pricing.xlsm]Rate_History!R133C18</stp>
        <stp>BarType</stp>
        <stp>T</stp>
        <stp>Dir=V</stp>
        <stp>cols=2;rows=1</stp>
        <tr r="R133" s="49"/>
      </tp>
      <tp t="e">
        <v>#N/A</v>
        <stp/>
        <stp>##V3_BDHV12</stp>
        <stp>CDSW3 CMPN Curncy</stp>
        <stp>Close</stp>
        <stp>03/26/2019 15:00:00</stp>
        <stp>03/26/2019 15:01:00</stp>
        <stp>[Live Pricing.xlsm]Rate_History!R132C18</stp>
        <stp>BarType</stp>
        <stp>T</stp>
        <stp>Dir=V</stp>
        <stp>cols=2;rows=1</stp>
        <tr r="R132" s="49"/>
      </tp>
      <tp t="e">
        <v>#N/A</v>
        <stp/>
        <stp>##V3_BDHV12</stp>
        <stp>USSW12 CMPN Curncy</stp>
        <stp>LAST_PRICE</stp>
        <stp>3/26/2019</stp>
        <stp>3/26/2019</stp>
        <stp>[Live Pricing.xlsm]Rate_History!R16C20</stp>
        <tr r="T16" s="49"/>
      </tp>
      <tp t="e">
        <v>#N/A</v>
        <stp/>
        <stp>##V3_BDHV12</stp>
        <stp>BPSW11 CMPN Curncy</stp>
        <stp>LAST_PRICE</stp>
        <stp>3/26/2019</stp>
        <stp>3/26/2019</stp>
        <stp>[Live Pricing.xlsm]Rate_History!R90C20</stp>
        <tr r="T90" s="49"/>
      </tp>
      <tp t="e">
        <v>#N/A</v>
        <stp/>
        <stp>##V3_BDHV12</stp>
        <stp>EUSA14 CMPN Curncy</stp>
        <stp>LAST_PRICE</stp>
        <stp>3/26/2019</stp>
        <stp>3/26/2019</stp>
        <stp>[Live Pricing.xlsm]Rate_History!R43C20</stp>
        <tr r="T43" s="49"/>
      </tp>
      <tp t="e">
        <v>#N/A</v>
        <stp/>
        <stp>##V3_BDHV12</stp>
        <stp>CLSWIB3 CMPN Index</stp>
        <stp>Close</stp>
        <stp>03/26/2019 15:00:00</stp>
        <stp>03/26/2019 15:01:00</stp>
        <stp>[Live Pricing.xlsm]Rate_History!R182C18</stp>
        <stp>BarType</stp>
        <stp>T</stp>
        <stp>Dir=V</stp>
        <tr r="R182" s="49"/>
      </tp>
      <tp t="e">
        <v>#N/A</v>
        <stp/>
        <stp>##V3_BDHV12</stp>
        <stp>CLSWIB2 CMPN Index</stp>
        <stp>Close</stp>
        <stp>03/26/2019 15:00:00</stp>
        <stp>03/26/2019 15:01:00</stp>
        <stp>[Live Pricing.xlsm]Rate_History!R181C18</stp>
        <stp>BarType</stp>
        <stp>T</stp>
        <stp>Dir=V</stp>
        <tr r="R181" s="49"/>
      </tp>
      <tp t="e">
        <v>#N/A</v>
        <stp/>
        <stp>##V3_BDHV12</stp>
        <stp>CLSWIB5 CMPN Index</stp>
        <stp>Close</stp>
        <stp>03/26/2019 15:00:00</stp>
        <stp>03/26/2019 15:01:00</stp>
        <stp>[Live Pricing.xlsm]Rate_History!R184C18</stp>
        <stp>BarType</stp>
        <stp>T</stp>
        <stp>Dir=V</stp>
        <tr r="R184" s="49"/>
      </tp>
      <tp t="e">
        <v>#N/A</v>
        <stp/>
        <stp>##V3_BDHV12</stp>
        <stp>EUNZ055 ICPL Curncy</stp>
        <stp>PX_LAST</stp>
        <stp>3/26/2019</stp>
        <stp>3/26/2019</stp>
        <stp>[Live Pricing.xlsm]Vol_Surface!R28C7</stp>
        <tr r="G28" s="53"/>
      </tp>
      <tp t="e">
        <v>#N/A</v>
        <stp/>
        <stp>##V3_BDHV12</stp>
        <stp>EUNZ155 ICPL Curncy</stp>
        <stp>PX_LAST</stp>
        <stp>3/26/2019</stp>
        <stp>3/26/2019</stp>
        <stp>[Live Pricing.xlsm]Vol_Surface!R28C9</stp>
        <tr r="I28" s="53"/>
      </tp>
      <tp t="e">
        <v>#N/A</v>
        <stp/>
        <stp>##V3_BDHV12</stp>
        <stp>CLSWIB4 CMPN Index</stp>
        <stp>Close</stp>
        <stp>03/26/2019 15:00:00</stp>
        <stp>03/26/2019 15:01:00</stp>
        <stp>[Live Pricing.xlsm]Rate_History!R183C18</stp>
        <stp>BarType</stp>
        <stp>T</stp>
        <stp>Dir=V</stp>
        <tr r="R183" s="49"/>
      </tp>
      <tp t="e">
        <v>#N/A</v>
        <stp/>
        <stp>##V3_BDHV12</stp>
        <stp>CLSWIB7 CMPN Index</stp>
        <stp>Close</stp>
        <stp>03/26/2019 15:00:00</stp>
        <stp>03/26/2019 15:01:00</stp>
        <stp>[Live Pricing.xlsm]Rate_History!R186C18</stp>
        <stp>BarType</stp>
        <stp>T</stp>
        <stp>Dir=V</stp>
        <tr r="R186" s="49"/>
      </tp>
      <tp t="e">
        <v>#N/A</v>
        <stp/>
        <stp>##V3_BDHV12</stp>
        <stp>CLSWIB6 CMPN Index</stp>
        <stp>Close</stp>
        <stp>03/26/2019 15:00:00</stp>
        <stp>03/26/2019 15:01:00</stp>
        <stp>[Live Pricing.xlsm]Rate_History!R185C18</stp>
        <stp>BarType</stp>
        <stp>T</stp>
        <stp>Dir=V</stp>
        <tr r="R185" s="49"/>
      </tp>
      <tp t="e">
        <v>#N/A</v>
        <stp/>
        <stp>##V3_BDHV12</stp>
        <stp>CLSWIB9 CMPN Index</stp>
        <stp>Close</stp>
        <stp>03/26/2019 15:00:00</stp>
        <stp>03/26/2019 15:01:00</stp>
        <stp>[Live Pricing.xlsm]Rate_History!R188C18</stp>
        <stp>BarType</stp>
        <stp>T</stp>
        <stp>Dir=V</stp>
        <tr r="R188" s="49"/>
      </tp>
      <tp t="e">
        <v>#N/A</v>
        <stp/>
        <stp>##V3_BDHV12</stp>
        <stp>CLSWIB8 CMPN Index</stp>
        <stp>Close</stp>
        <stp>03/26/2019 15:00:00</stp>
        <stp>03/26/2019 15:01:00</stp>
        <stp>[Live Pricing.xlsm]Rate_History!R187C18</stp>
        <stp>BarType</stp>
        <stp>T</stp>
        <stp>Dir=V</stp>
        <tr r="R187" s="49"/>
      </tp>
      <tp t="e">
        <v>#N/A</v>
        <stp/>
        <stp>##V3_BDHV12</stp>
        <stp>USSN048 CMPN Curncy</stp>
        <stp>PX_LAST</stp>
        <stp>3/26/2019</stp>
        <stp>3/26/2019</stp>
        <stp>[Live Pricing.xlsm]Vol_Surface!R51C9</stp>
        <tr r="I51" s="53"/>
      </tp>
      <tp t="e">
        <v>#N/A</v>
        <stp/>
        <stp>##V3_BDHV12</stp>
        <stp>USSN045 CMPN Curncy</stp>
        <stp>PX_LAST</stp>
        <stp>3/26/2019</stp>
        <stp>3/26/2019</stp>
        <stp>[Live Pricing.xlsm]Vol_Surface!R51C6</stp>
        <tr r="F51" s="53"/>
      </tp>
      <tp t="e">
        <v>#N/A</v>
        <stp/>
        <stp>##V3_BDHV12</stp>
        <stp>USSN044 CMPN Curncy</stp>
        <stp>PX_LAST</stp>
        <stp>3/26/2019</stp>
        <stp>3/26/2019</stp>
        <stp>[Live Pricing.xlsm]Vol_Surface!R51C5</stp>
        <tr r="E51" s="53"/>
      </tp>
      <tp t="e">
        <v>#N/A</v>
        <stp/>
        <stp>##V3_BDHV12</stp>
        <stp>USSN047 CMPN Curncy</stp>
        <stp>PX_LAST</stp>
        <stp>3/26/2019</stp>
        <stp>3/26/2019</stp>
        <stp>[Live Pricing.xlsm]Vol_Surface!R51C8</stp>
        <tr r="H51" s="53"/>
      </tp>
      <tp t="e">
        <v>#N/A</v>
        <stp/>
        <stp>##V3_BDHV12</stp>
        <stp>USSN046 CMPN Curncy</stp>
        <stp>PX_LAST</stp>
        <stp>3/26/2019</stp>
        <stp>3/26/2019</stp>
        <stp>[Live Pricing.xlsm]Vol_Surface!R51C7</stp>
        <tr r="G51" s="53"/>
      </tp>
      <tp t="e">
        <v>#N/A</v>
        <stp/>
        <stp>##V3_BDHV12</stp>
        <stp>USSN041 CMPN Curncy</stp>
        <stp>PX_LAST</stp>
        <stp>3/26/2019</stp>
        <stp>3/26/2019</stp>
        <stp>[Live Pricing.xlsm]Vol_Surface!R51C2</stp>
        <tr r="B51" s="53"/>
      </tp>
      <tp t="e">
        <v>#N/A</v>
        <stp/>
        <stp>##V3_BDHV12</stp>
        <stp>YEZ0 Comdty</stp>
        <stp>PX_LAST</stp>
        <stp>3/26/2019</stp>
        <stp>3/26/2019</stp>
        <stp>[Live Pricing.xlsm]Rate_History!R62C4</stp>
        <tr r="D62" s="49"/>
      </tp>
      <tp t="e">
        <v>#N/A</v>
        <stp/>
        <stp>##V3_BDHV12</stp>
        <stp>EDZ0 Comdty</stp>
        <stp>PX_LAST</stp>
        <stp>3/26/2019</stp>
        <stp>3/26/2019</stp>
        <stp>[Live Pricing.xlsm]Rate_History!R12C4</stp>
        <tr r="D12" s="49"/>
      </tp>
      <tp t="e">
        <v>#N/A</v>
        <stp/>
        <stp>##V3_BDHV12</stp>
        <stp>USSN043 CMPN Curncy</stp>
        <stp>PX_LAST</stp>
        <stp>3/26/2019</stp>
        <stp>3/26/2019</stp>
        <stp>[Live Pricing.xlsm]Vol_Surface!R51C4</stp>
        <tr r="D51" s="53"/>
      </tp>
      <tp t="e">
        <v>#N/A</v>
        <stp/>
        <stp>##V3_BDHV12</stp>
        <stp>USSN042 CMPN Curncy</stp>
        <stp>PX_LAST</stp>
        <stp>3/26/2019</stp>
        <stp>3/26/2019</stp>
        <stp>[Live Pricing.xlsm]Vol_Surface!R51C3</stp>
        <tr r="C51" s="53"/>
      </tp>
      <tp t="e">
        <v>#N/A</v>
        <stp/>
        <stp>##V3_BDHV12</stp>
        <stp>EUSA6 CMPN Curncy</stp>
        <stp>LAST_PRICE</stp>
        <stp>3/26/2019</stp>
        <stp>3/26/2019</stp>
        <stp>[Live Pricing.xlsm]Rate_History!R35C20</stp>
        <tr r="T35" s="49"/>
      </tp>
      <tp t="e">
        <v>#N/A</v>
        <stp/>
        <stp>##V3_BDHV12</stp>
        <stp>JYSW9 CMPN Curncy</stp>
        <stp>LAST_PRICE</stp>
        <stp>3/26/2019</stp>
        <stp>3/26/2019</stp>
        <stp>[Live Pricing.xlsm]Rate_History!R63C20</stp>
        <tr r="T63" s="49"/>
      </tp>
      <tp t="e">
        <v>#N/A</v>
        <stp/>
        <stp>##V3_BDHV12</stp>
        <stp>JY0002M Index</stp>
        <stp>PX_LAST</stp>
        <stp>3/26/2019</stp>
        <stp>3/26/2019</stp>
        <stp>[Live Pricing.xlsm]FX_Curve_History!R58C2</stp>
        <tr r="B58" s="50"/>
      </tp>
      <tp t="e">
        <v>#N/A</v>
        <stp/>
        <stp>##V3_BDHV12</stp>
        <stp>EUR012m Index</stp>
        <stp>PX_LAST</stp>
        <stp>3/26/2019</stp>
        <stp>3/26/2019</stp>
        <stp>[Live Pricing.xlsm]FX_Curve_History!R36C2</stp>
        <tr r="B36" s="50"/>
      </tp>
      <tp t="e">
        <v>#N/A</v>
        <stp/>
        <stp>##V3_BDHV12</stp>
        <stp>BAU0 Comdty</stp>
        <stp>PX_LAST</stp>
        <stp>3/26/2019</stp>
        <stp>3/26/2019</stp>
        <stp>[Live Pricing.xlsm]Rate_History!R136C4</stp>
        <tr r="D136" s="49"/>
      </tp>
      <tp t="e">
        <v>#N/A</v>
        <stp/>
        <stp>##V3_BDPV12</stp>
        <stp>EDH9 Comdty</stp>
        <stp>PX_LAST</stp>
        <stp>[Live Pricing.xlsm]FX_Curve_Live!R8C4</stp>
        <tr r="D8" s="42"/>
      </tp>
      <tp t="e">
        <v>#N/A</v>
        <stp/>
        <stp>##V3_BDPV12</stp>
        <stp>CLSWIB1F Index</stp>
        <stp>PX_LAST</stp>
        <stp>[Live Pricing.xlsm]FX_Curve_Live!R187C2</stp>
        <tr r="B187" s="42"/>
      </tp>
      <tp t="e">
        <v>#N/A</v>
        <stp/>
        <stp>##V3_BDHV12</stp>
        <stp>USSW13 CMPN Curncy</stp>
        <stp>LAST_PRICE</stp>
        <stp>3/26/2019</stp>
        <stp>3/26/2019</stp>
        <stp>[Live Pricing.xlsm]Rate_History!R17C20</stp>
        <tr r="T17" s="49"/>
      </tp>
      <tp t="e">
        <v>#N/A</v>
        <stp/>
        <stp>##V3_BDHV12</stp>
        <stp>BPSW10 CMPN Curncy</stp>
        <stp>LAST_PRICE</stp>
        <stp>3/26/2019</stp>
        <stp>3/26/2019</stp>
        <stp>[Live Pricing.xlsm]Rate_History!R89C20</stp>
        <tr r="T89" s="49"/>
      </tp>
      <tp t="e">
        <v>#N/A</v>
        <stp/>
        <stp>##V3_BDHV12</stp>
        <stp>BPSW30 CMPN Curncy</stp>
        <stp>LAST_PRICE</stp>
        <stp>3/26/2019</stp>
        <stp>3/26/2019</stp>
        <stp>[Live Pricing.xlsm]Rate_History!R99C20</stp>
        <tr r="T99" s="49"/>
      </tp>
      <tp t="e">
        <v>#N/A</v>
        <stp/>
        <stp>##V3_BDHV12</stp>
        <stp>BPSW20 CMPN Curncy</stp>
        <stp>LAST_PRICE</stp>
        <stp>3/26/2019</stp>
        <stp>3/26/2019</stp>
        <stp>[Live Pricing.xlsm]Rate_History!R97C20</stp>
        <tr r="T97" s="49"/>
      </tp>
      <tp t="e">
        <v>#N/A</v>
        <stp/>
        <stp>##V3_BDHV12</stp>
        <stp>EUSA25 CMPN Curncy</stp>
        <stp>LAST_PRICE</stp>
        <stp>3/26/2019</stp>
        <stp>3/26/2019</stp>
        <stp>[Live Pricing.xlsm]Rate_History!R48C20</stp>
        <tr r="T48" s="49"/>
      </tp>
      <tp t="e">
        <v>#N/A</v>
        <stp/>
        <stp>##V3_BDHV12</stp>
        <stp>EUSA15 CMPN Curncy</stp>
        <stp>LAST_PRICE</stp>
        <stp>3/26/2019</stp>
        <stp>3/26/2019</stp>
        <stp>[Live Pricing.xlsm]Rate_History!R44C20</stp>
        <tr r="T44" s="49"/>
      </tp>
      <tp t="e">
        <v>#N/A</v>
        <stp/>
        <stp>##V3_BDHV12</stp>
        <stp>EUNZ057 ICPL Curncy</stp>
        <stp>PX_LAST</stp>
        <stp>3/26/2019</stp>
        <stp>3/26/2019</stp>
        <stp>[Live Pricing.xlsm]Vol_Surface!R29C7</stp>
        <tr r="G29" s="53"/>
      </tp>
      <tp t="e">
        <v>#N/A</v>
        <stp/>
        <stp>##V3_BDHV12</stp>
        <stp>EUNZ157 ICPL Curncy</stp>
        <stp>PX_LAST</stp>
        <stp>3/26/2019</stp>
        <stp>3/26/2019</stp>
        <stp>[Live Pricing.xlsm]Vol_Surface!R29C9</stp>
        <tr r="I29" s="53"/>
      </tp>
      <tp t="e">
        <v>#N/A</v>
        <stp/>
        <stp>##V3_BDHV12</stp>
        <stp>L Z9 Comdty</stp>
        <stp>PX_LAST</stp>
        <stp>3/26/2019</stp>
        <stp>3/26/2019</stp>
        <stp>[Live Pricing.xlsm]Rate_History!R83C4</stp>
        <tr r="D83" s="49"/>
      </tp>
      <tp t="e">
        <v>#N/A</v>
        <stp/>
        <stp>##V3_BDHV12</stp>
        <stp>ERZ9 Comdty</stp>
        <stp>PX_LAST</stp>
        <stp>3/26/2019</stp>
        <stp>3/26/2019</stp>
        <stp>[Live Pricing.xlsm]Rate_History!R33C4</stp>
        <tr r="D33" s="49"/>
      </tp>
      <tp t="e">
        <v>#N/A</v>
        <stp/>
        <stp>##V3_BDHV12</stp>
        <stp>EUSA7 CMPN Curncy</stp>
        <stp>LAST_PRICE</stp>
        <stp>3/26/2019</stp>
        <stp>3/26/2019</stp>
        <stp>[Live Pricing.xlsm]Rate_History!R36C20</stp>
        <tr r="T36" s="49"/>
      </tp>
      <tp t="e">
        <v>#N/A</v>
        <stp/>
        <stp>##V3_BDHV12</stp>
        <stp>JYSW8 CMPN Curncy</stp>
        <stp>LAST_PRICE</stp>
        <stp>3/26/2019</stp>
        <stp>3/26/2019</stp>
        <stp>[Live Pricing.xlsm]Rate_History!R62C20</stp>
        <tr r="T62" s="49"/>
      </tp>
      <tp t="e">
        <v>#N/A</v>
        <stp/>
        <stp>##V3_BDHV12</stp>
        <stp>JY0003M Index</stp>
        <stp>PX_LAST</stp>
        <stp>3/26/2019</stp>
        <stp>3/26/2019</stp>
        <stp>[Live Pricing.xlsm]FX_Curve_History!R59C2</stp>
        <tr r="B59" s="50"/>
      </tp>
      <tp t="e">
        <v>#N/A</v>
        <stp/>
        <stp>##V3_BDPV12</stp>
        <stp>SFBS8 Index</stp>
        <stp>PX_LAST</stp>
        <stp>[Live Pricing.xlsm]FX_Curve_Live!R112C13</stp>
        <tr r="M112" s="42"/>
      </tp>
      <tp t="e">
        <v>#N/A</v>
        <stp/>
        <stp>##V3_BDPV12</stp>
        <stp>SFBS9 Index</stp>
        <stp>PX_LAST</stp>
        <stp>[Live Pricing.xlsm]FX_Curve_Live!R113C13</stp>
        <tr r="M113" s="42"/>
      </tp>
      <tp t="e">
        <v>#N/A</v>
        <stp/>
        <stp>##V3_BDPV12</stp>
        <stp>SFBS6 Index</stp>
        <stp>PX_LAST</stp>
        <stp>[Live Pricing.xlsm]FX_Curve_Live!R110C13</stp>
        <tr r="M110" s="42"/>
      </tp>
      <tp t="e">
        <v>#N/A</v>
        <stp/>
        <stp>##V3_BDPV12</stp>
        <stp>SFBS7 Index</stp>
        <stp>PX_LAST</stp>
        <stp>[Live Pricing.xlsm]FX_Curve_Live!R111C13</stp>
        <tr r="M111" s="42"/>
      </tp>
      <tp t="e">
        <v>#N/A</v>
        <stp/>
        <stp>##V3_BDPV12</stp>
        <stp>SFBS4 Index</stp>
        <stp>PX_LAST</stp>
        <stp>[Live Pricing.xlsm]FX_Curve_Live!R108C13</stp>
        <tr r="M108" s="42"/>
      </tp>
      <tp t="e">
        <v>#N/A</v>
        <stp/>
        <stp>##V3_BDPV12</stp>
        <stp>SFBS5 Index</stp>
        <stp>PX_LAST</stp>
        <stp>[Live Pricing.xlsm]FX_Curve_Live!R109C13</stp>
        <tr r="M109" s="42"/>
      </tp>
      <tp t="e">
        <v>#N/A</v>
        <stp/>
        <stp>##V3_BDPV12</stp>
        <stp>SFBS2 Index</stp>
        <stp>PX_LAST</stp>
        <stp>[Live Pricing.xlsm]FX_Curve_Live!R106C13</stp>
        <tr r="M106" s="42"/>
      </tp>
      <tp t="e">
        <v>#N/A</v>
        <stp/>
        <stp>##V3_BDPV12</stp>
        <stp>SFBS1 Index</stp>
        <stp>PX_LAST</stp>
        <stp>[Live Pricing.xlsm]FX_Curve_Live!R106C16</stp>
        <tr r="P106" s="42"/>
      </tp>
      <tp t="e">
        <v>#N/A</v>
        <stp/>
        <stp>##V3_BDPV12</stp>
        <stp>EUBS11 Index</stp>
        <stp>PX_LAST</stp>
        <stp>[Live Pricing.xlsm]FX_Curve_History!R40C13</stp>
        <tr r="M40" s="50"/>
      </tp>
      <tp t="e">
        <v>#N/A</v>
        <stp/>
        <stp>##V3_BDPV12</stp>
        <stp>EUBS10 Index</stp>
        <stp>PX_LAST</stp>
        <stp>[Live Pricing.xlsm]FX_Curve_History!R39C13</stp>
        <tr r="M39" s="50"/>
      </tp>
      <tp t="e">
        <v>#N/A</v>
        <stp/>
        <stp>##V3_BDPV12</stp>
        <stp>EUBS12 Index</stp>
        <stp>PX_LAST</stp>
        <stp>[Live Pricing.xlsm]FX_Curve_History!R41C13</stp>
        <tr r="M41" s="50"/>
      </tp>
      <tp t="e">
        <v>#N/A</v>
        <stp/>
        <stp>##V3_BDPV12</stp>
        <stp>EUBS15 Index</stp>
        <stp>PX_LAST</stp>
        <stp>[Live Pricing.xlsm]FX_Curve_History!R44C13</stp>
        <tr r="M44" s="50"/>
      </tp>
      <tp t="e">
        <v>#N/A</v>
        <stp/>
        <stp>##V3_BDHV12</stp>
        <stp>CLSWIB9 Index</stp>
        <stp>PX_LAST</stp>
        <stp>3/26/2019</stp>
        <stp>3/26/2019</stp>
        <stp>[Live Pricing.xlsm]FX_Curve_History!R188C6</stp>
        <tr r="F188" s="50"/>
      </tp>
      <tp t="e">
        <v>#N/A</v>
        <stp/>
        <stp>##V3_BDHV12</stp>
        <stp>BAZ0 Comdty</stp>
        <stp>PX_LAST</stp>
        <stp>3/26/2019</stp>
        <stp>3/26/2019</stp>
        <stp>[Live Pricing.xlsm]Rate_History!R137C4</stp>
        <tr r="D137" s="49"/>
      </tp>
      <tp t="e">
        <v>#N/A</v>
        <stp/>
        <stp>##V3_BDHV12</stp>
        <stp>USSW10 CMPN Curncy</stp>
        <stp>LAST_PRICE</stp>
        <stp>3/26/2019</stp>
        <stp>3/26/2019</stp>
        <stp>[Live Pricing.xlsm]Rate_History!R14C20</stp>
        <tr r="T14" s="49"/>
      </tp>
      <tp t="e">
        <v>#N/A</v>
        <stp/>
        <stp>##V3_BDHV12</stp>
        <stp>USSW30 CMPN Curncy</stp>
        <stp>LAST_PRICE</stp>
        <stp>3/26/2019</stp>
        <stp>3/26/2019</stp>
        <stp>[Live Pricing.xlsm]Rate_History!R24C20</stp>
        <tr r="T24" s="49"/>
      </tp>
      <tp t="e">
        <v>#N/A</v>
        <stp/>
        <stp>##V3_BDHV12</stp>
        <stp>USSW40 CMPN Curncy</stp>
        <stp>LAST_PRICE</stp>
        <stp>3/26/2019</stp>
        <stp>3/26/2019</stp>
        <stp>[Live Pricing.xlsm]Rate_History!R25C20</stp>
        <tr r="T25" s="49"/>
      </tp>
      <tp t="e">
        <v>#N/A</v>
        <stp/>
        <stp>##V3_BDHV12</stp>
        <stp>USSW20 CMPN Curncy</stp>
        <stp>LAST_PRICE</stp>
        <stp>3/26/2019</stp>
        <stp>3/26/2019</stp>
        <stp>[Live Pricing.xlsm]Rate_History!R22C20</stp>
        <tr r="T22" s="49"/>
      </tp>
      <tp t="e">
        <v>#N/A</v>
        <stp/>
        <stp>##V3_BDHV12</stp>
        <stp>BPSW13 CMPN Curncy</stp>
        <stp>LAST_PRICE</stp>
        <stp>3/26/2019</stp>
        <stp>3/26/2019</stp>
        <stp>[Live Pricing.xlsm]Rate_History!R92C20</stp>
        <tr r="T92" s="49"/>
      </tp>
      <tp t="e">
        <v>#N/A</v>
        <stp/>
        <stp>##V3_BDHV12</stp>
        <stp>EUSA16 CMPN Curncy</stp>
        <stp>LAST_PRICE</stp>
        <stp>3/26/2019</stp>
        <stp>3/26/2019</stp>
        <stp>[Live Pricing.xlsm]Rate_History!R45C20</stp>
        <tr r="T45" s="49"/>
      </tp>
      <tp t="e">
        <v>#N/A</v>
        <stp/>
        <stp>##V3_BDHV12</stp>
        <stp>USSN058 CMPN Curncy</stp>
        <stp>PX_LAST</stp>
        <stp>3/26/2019</stp>
        <stp>3/26/2019</stp>
        <stp>[Live Pricing.xlsm]Vol_Surface!R52C9</stp>
        <tr r="I52" s="53"/>
      </tp>
      <tp t="e">
        <v>#N/A</v>
        <stp/>
        <stp>##V3_BDHV12</stp>
        <stp>USSN055 CMPN Curncy</stp>
        <stp>PX_LAST</stp>
        <stp>3/26/2019</stp>
        <stp>3/26/2019</stp>
        <stp>[Live Pricing.xlsm]Vol_Surface!R52C6</stp>
        <tr r="F52" s="53"/>
      </tp>
      <tp t="e">
        <v>#N/A</v>
        <stp/>
        <stp>##V3_BDHV12</stp>
        <stp>USSN054 CMPN Curncy</stp>
        <stp>PX_LAST</stp>
        <stp>3/26/2019</stp>
        <stp>3/26/2019</stp>
        <stp>[Live Pricing.xlsm]Vol_Surface!R52C5</stp>
        <tr r="E52" s="53"/>
      </tp>
      <tp t="e">
        <v>#N/A</v>
        <stp/>
        <stp>##V3_BDHV12</stp>
        <stp>USSN057 CMPN Curncy</stp>
        <stp>PX_LAST</stp>
        <stp>3/26/2019</stp>
        <stp>3/26/2019</stp>
        <stp>[Live Pricing.xlsm]Vol_Surface!R52C8</stp>
        <tr r="H52" s="53"/>
      </tp>
      <tp t="e">
        <v>#N/A</v>
        <stp/>
        <stp>##V3_BDHV12</stp>
        <stp>USSN056 CMPN Curncy</stp>
        <stp>PX_LAST</stp>
        <stp>3/26/2019</stp>
        <stp>3/26/2019</stp>
        <stp>[Live Pricing.xlsm]Vol_Surface!R52C7</stp>
        <tr r="G52" s="53"/>
      </tp>
      <tp t="e">
        <v>#N/A</v>
        <stp/>
        <stp>##V3_BDHV12</stp>
        <stp>USSN051 CMPN Curncy</stp>
        <stp>PX_LAST</stp>
        <stp>3/26/2019</stp>
        <stp>3/26/2019</stp>
        <stp>[Live Pricing.xlsm]Vol_Surface!R52C2</stp>
        <tr r="B52" s="53"/>
      </tp>
      <tp t="e">
        <v>#N/A</v>
        <stp/>
        <stp>##V3_BDHV12</stp>
        <stp>USSN053 CMPN Curncy</stp>
        <stp>PX_LAST</stp>
        <stp>3/26/2019</stp>
        <stp>3/26/2019</stp>
        <stp>[Live Pricing.xlsm]Vol_Surface!R52C4</stp>
        <tr r="D52" s="53"/>
      </tp>
      <tp t="e">
        <v>#N/A</v>
        <stp/>
        <stp>##V3_BDHV12</stp>
        <stp>USSN052 CMPN Curncy</stp>
        <stp>PX_LAST</stp>
        <stp>3/26/2019</stp>
        <stp>3/26/2019</stp>
        <stp>[Live Pricing.xlsm]Vol_Surface!R52C3</stp>
        <tr r="C52" s="53"/>
      </tp>
      <tp t="e">
        <v>#N/A</v>
        <stp/>
        <stp>##V3_BDHV12</stp>
        <stp>EUSA4 CMPN Curncy</stp>
        <stp>LAST_PRICE</stp>
        <stp>3/26/2019</stp>
        <stp>3/26/2019</stp>
        <stp>[Live Pricing.xlsm]Rate_History!R33C20</stp>
        <tr r="T33" s="49"/>
      </tp>
      <tp t="e">
        <v>#N/A</v>
        <stp/>
        <stp>##V3_BDHV12</stp>
        <stp>BPSW3 CMPN Curncy</stp>
        <stp>LAST_PRICE</stp>
        <stp>3/26/2019</stp>
        <stp>3/26/2019</stp>
        <stp>[Live Pricing.xlsm]Rate_History!R82C20</stp>
        <tr r="T82" s="49"/>
      </tp>
      <tp t="e">
        <v>#N/A</v>
        <stp/>
        <stp>##V3_BDHV12</stp>
        <stp>EUR006m Index</stp>
        <stp>PX_LAST</stp>
        <stp>3/26/2019</stp>
        <stp>3/26/2019</stp>
        <stp>[Live Pricing.xlsm]FX_Curve_History!R35C2</stp>
        <tr r="B35" s="50"/>
      </tp>
      <tp t="e">
        <v>#N/A</v>
        <stp/>
        <stp>##V3_BDHV12</stp>
        <stp>BP0001M Index</stp>
        <stp>PX_LAST</stp>
        <stp>3/26/2019</stp>
        <stp>3/26/2019</stp>
        <stp>[Live Pricing.xlsm]FX_Curve_History!R82C2</stp>
        <tr r="B82" s="50"/>
      </tp>
      <tp t="e">
        <v>#N/A</v>
        <stp/>
        <stp>##V3_BDPV12</stp>
        <stp>EUBS20 Index</stp>
        <stp>PX_LAST</stp>
        <stp>[Live Pricing.xlsm]FX_Curve_History!R47C13</stp>
        <tr r="M47" s="50"/>
      </tp>
      <tp t="e">
        <v>#N/A</v>
        <stp/>
        <stp>##V3_BDPV12</stp>
        <stp>EUBS25 Index</stp>
        <stp>PX_LAST</stp>
        <stp>[Live Pricing.xlsm]FX_Curve_History!R48C13</stp>
        <tr r="M48" s="50"/>
      </tp>
      <tp t="e">
        <v>#N/A</v>
        <stp/>
        <stp>##V3_BDHV12</stp>
        <stp>BAH0 Comdty</stp>
        <stp>PX_LAST</stp>
        <stp>3/26/2019</stp>
        <stp>3/26/2019</stp>
        <stp>[Live Pricing.xlsm]Rate_History!R134C4</stp>
        <tr r="D134" s="49"/>
      </tp>
      <tp t="e">
        <v>#N/A</v>
        <stp/>
        <stp>##V3_BDHV12</stp>
        <stp>USSW11 CMPN Curncy</stp>
        <stp>LAST_PRICE</stp>
        <stp>3/26/2019</stp>
        <stp>3/26/2019</stp>
        <stp>[Live Pricing.xlsm]Rate_History!R15C20</stp>
        <tr r="T15" s="49"/>
      </tp>
      <tp t="e">
        <v>#N/A</v>
        <stp/>
        <stp>##V3_BDHV12</stp>
        <stp>BPSW12 CMPN Curncy</stp>
        <stp>LAST_PRICE</stp>
        <stp>3/26/2019</stp>
        <stp>3/26/2019</stp>
        <stp>[Live Pricing.xlsm]Rate_History!R91C20</stp>
        <tr r="T91" s="49"/>
      </tp>
      <tp t="e">
        <v>#N/A</v>
        <stp/>
        <stp>##V3_BDHV12</stp>
        <stp>EUSA17 CMPN Curncy</stp>
        <stp>LAST_PRICE</stp>
        <stp>3/26/2019</stp>
        <stp>3/26/2019</stp>
        <stp>[Live Pricing.xlsm]Rate_History!R46C20</stp>
        <tr r="T46" s="49"/>
      </tp>
      <tp t="e">
        <v>#N/A</v>
        <stp/>
        <stp>##V3_BDHV12</stp>
        <stp>EUSA5 CMPN Curncy</stp>
        <stp>LAST_PRICE</stp>
        <stp>3/26/2019</stp>
        <stp>3/26/2019</stp>
        <stp>[Live Pricing.xlsm]Rate_History!R34C20</stp>
        <tr r="T34" s="49"/>
      </tp>
      <tp t="e">
        <v>#N/A</v>
        <stp/>
        <stp>##V3_BDHV12</stp>
        <stp>BPSW2 CMPN Curncy</stp>
        <stp>LAST_PRICE</stp>
        <stp>3/26/2019</stp>
        <stp>3/26/2019</stp>
        <stp>[Live Pricing.xlsm]Rate_History!R81C20</stp>
        <tr r="T81" s="49"/>
      </tp>
      <tp t="e">
        <v>#N/A</v>
        <stp/>
        <stp>##V3_BDHV12</stp>
        <stp>EUR003m Index</stp>
        <stp>PX_LAST</stp>
        <stp>3/26/2019</stp>
        <stp>3/26/2019</stp>
        <stp>[Live Pricing.xlsm]FX_Curve_History!R34C2</stp>
        <tr r="B34" s="50"/>
      </tp>
      <tp t="e">
        <v>#N/A</v>
        <stp/>
        <stp>##V3_BDHV12</stp>
        <stp>BP0002M Index</stp>
        <stp>PX_LAST</stp>
        <stp>3/26/2019</stp>
        <stp>3/26/2019</stp>
        <stp>[Live Pricing.xlsm]FX_Curve_History!R83C2</stp>
        <tr r="B83" s="50"/>
      </tp>
      <tp t="e">
        <v>#N/A</v>
        <stp/>
        <stp>##V3_BDPV12</stp>
        <stp>CDBS8 Index</stp>
        <stp>PX_LAST</stp>
        <stp>[Live Pricing.xlsm]FX_Curve_Live!R137C13</stp>
        <tr r="M137" s="42"/>
      </tp>
      <tp t="e">
        <v>#N/A</v>
        <stp/>
        <stp>##V3_BDPV12</stp>
        <stp>CDBS4 Index</stp>
        <stp>PX_LAST</stp>
        <stp>[Live Pricing.xlsm]FX_Curve_Live!R133C13</stp>
        <tr r="M133" s="42"/>
      </tp>
      <tp t="e">
        <v>#N/A</v>
        <stp/>
        <stp>##V3_BDPV12</stp>
        <stp>CDBS5 Index</stp>
        <stp>PX_LAST</stp>
        <stp>[Live Pricing.xlsm]FX_Curve_Live!R134C13</stp>
        <tr r="M134" s="42"/>
      </tp>
      <tp t="e">
        <v>#N/A</v>
        <stp/>
        <stp>##V3_BDPV12</stp>
        <stp>CDBS7 Index</stp>
        <stp>PX_LAST</stp>
        <stp>[Live Pricing.xlsm]FX_Curve_Live!R136C13</stp>
        <tr r="M136" s="42"/>
      </tp>
      <tp t="e">
        <v>#N/A</v>
        <stp/>
        <stp>##V3_BDPV12</stp>
        <stp>CDBS9 Index</stp>
        <stp>PX_LAST</stp>
        <stp>[Live Pricing.xlsm]FX_Curve_Live!R138C13</stp>
        <tr r="M138" s="42"/>
      </tp>
      <tp t="e">
        <v>#N/A</v>
        <stp/>
        <stp>##V3_BDPV12</stp>
        <stp>CDBS2 Index</stp>
        <stp>PX_LAST</stp>
        <stp>[Live Pricing.xlsm]FX_Curve_Live!R131C13</stp>
        <tr r="M131" s="42"/>
      </tp>
      <tp t="e">
        <v>#N/A</v>
        <stp/>
        <stp>##V3_BDPV12</stp>
        <stp>CDBS6 Index</stp>
        <stp>PX_LAST</stp>
        <stp>[Live Pricing.xlsm]FX_Curve_Live!R135C13</stp>
        <tr r="M135" s="42"/>
      </tp>
      <tp t="e">
        <v>#N/A</v>
        <stp/>
        <stp>##V3_BDPV12</stp>
        <stp>CDBS1 Index</stp>
        <stp>PX_LAST</stp>
        <stp>[Live Pricing.xlsm]FX_Curve_Live!R131C16</stp>
        <tr r="P131" s="42"/>
      </tp>
      <tp t="e">
        <v>#N/A</v>
        <stp/>
        <stp>##V3_BDPV12</stp>
        <stp>EUBS30 Index</stp>
        <stp>PX_LAST</stp>
        <stp>[Live Pricing.xlsm]FX_Curve_History!R49C13</stp>
        <tr r="M49" s="50"/>
      </tp>
      <tp t="e">
        <v>#N/A</v>
        <stp/>
        <stp>##V3_BDHV12</stp>
        <stp>BAM0 Comdty</stp>
        <stp>PX_LAST</stp>
        <stp>3/26/2019</stp>
        <stp>3/26/2019</stp>
        <stp>[Live Pricing.xlsm]Rate_History!R135C4</stp>
        <tr r="D135" s="49"/>
      </tp>
      <tp t="e">
        <v>#N/A</v>
        <stp/>
        <stp>##V3_BDHV12</stp>
        <stp>BCN12M BGN Curncy</stp>
        <stp>PX_LAST</stp>
        <stp>3/26/2019</stp>
        <stp>3/26/2019</stp>
        <stp>[Live Pricing.xlsm]FXFR!R12C4</stp>
        <tr r="D12" s="46"/>
      </tp>
      <tp t="e">
        <v>#N/A</v>
        <stp/>
        <stp>##V3_BDHV12</stp>
        <stp>USSW16 CMPN Curncy</stp>
        <stp>LAST_PRICE</stp>
        <stp>3/26/2019</stp>
        <stp>3/26/2019</stp>
        <stp>[Live Pricing.xlsm]Rate_History!R20C20</stp>
        <tr r="T20" s="49"/>
      </tp>
      <tp t="e">
        <v>#N/A</v>
        <stp/>
        <stp>##V3_BDHV12</stp>
        <stp>BPSW25 CMPN Curncy</stp>
        <stp>LAST_PRICE</stp>
        <stp>3/26/2019</stp>
        <stp>3/26/2019</stp>
        <stp>[Live Pricing.xlsm]Rate_History!R98C20</stp>
        <tr r="T98" s="49"/>
      </tp>
      <tp t="e">
        <v>#N/A</v>
        <stp/>
        <stp>##V3_BDHV12</stp>
        <stp>BPSW15 CMPN Curncy</stp>
        <stp>LAST_PRICE</stp>
        <stp>3/26/2019</stp>
        <stp>3/26/2019</stp>
        <stp>[Live Pricing.xlsm]Rate_History!R94C20</stp>
        <tr r="T94" s="49"/>
      </tp>
      <tp t="e">
        <v>#N/A</v>
        <stp/>
        <stp>##V3_BDHV12</stp>
        <stp>EUSA30 CMPN Curncy</stp>
        <stp>LAST_PRICE</stp>
        <stp>3/26/2019</stp>
        <stp>3/26/2019</stp>
        <stp>[Live Pricing.xlsm]Rate_History!R49C20</stp>
        <tr r="T49" s="49"/>
      </tp>
      <tp t="e">
        <v>#N/A</v>
        <stp/>
        <stp>##V3_BDHV12</stp>
        <stp>EUSA20 CMPN Curncy</stp>
        <stp>LAST_PRICE</stp>
        <stp>3/26/2019</stp>
        <stp>3/26/2019</stp>
        <stp>[Live Pricing.xlsm]Rate_History!R47C20</stp>
        <tr r="T47" s="49"/>
      </tp>
      <tp t="e">
        <v>#N/A</v>
        <stp/>
        <stp>##V3_BDHV12</stp>
        <stp>EUSA40 CMPN Curncy</stp>
        <stp>LAST_PRICE</stp>
        <stp>3/26/2019</stp>
        <stp>3/26/2019</stp>
        <stp>[Live Pricing.xlsm]Rate_History!R50C20</stp>
        <tr r="T50" s="49"/>
      </tp>
      <tp t="e">
        <v>#N/A</v>
        <stp/>
        <stp>##V3_BDHV12</stp>
        <stp>EUSA10 CMPN Curncy</stp>
        <stp>LAST_PRICE</stp>
        <stp>3/26/2019</stp>
        <stp>3/26/2019</stp>
        <stp>[Live Pricing.xlsm]Rate_History!R39C20</stp>
        <tr r="T39" s="49"/>
      </tp>
      <tp t="e">
        <v>#N/A</v>
        <stp/>
        <stp>##V3_BDHV12</stp>
        <stp>GBP10Y BGN Curncy</stp>
        <stp>PX_LAST</stp>
        <stp>3/26/2019</stp>
        <stp>3/26/2019</stp>
        <stp>[Live Pricing.xlsm]FXFR!R65C4</stp>
        <tr r="D65" s="46"/>
      </tp>
      <tp t="e">
        <v>#N/A</v>
        <stp/>
        <stp>##V3_BDHV12</stp>
        <stp>EUNZ107 ICPL Curncy</stp>
        <stp>PX_LAST</stp>
        <stp>3/26/2019</stp>
        <stp>3/26/2019</stp>
        <stp>[Live Pricing.xlsm]Vol_Surface!R29C8</stp>
        <tr r="H29" s="53"/>
      </tp>
      <tp t="e">
        <v>#N/A</v>
        <stp/>
        <stp>##V3_BDHV12</stp>
        <stp>EUSA2 CMPN Curncy</stp>
        <stp>LAST_PRICE</stp>
        <stp>3/26/2019</stp>
        <stp>3/26/2019</stp>
        <stp>[Live Pricing.xlsm]Rate_History!R31C20</stp>
        <tr r="T31" s="49"/>
      </tp>
      <tp t="e">
        <v>#N/A</v>
        <stp/>
        <stp>##V3_BDHV12</stp>
        <stp>BPSW5 CMPN Curncy</stp>
        <stp>LAST_PRICE</stp>
        <stp>3/26/2019</stp>
        <stp>3/26/2019</stp>
        <stp>[Live Pricing.xlsm]Rate_History!R84C20</stp>
        <tr r="T84" s="49"/>
      </tp>
      <tp t="e">
        <v>#N/A</v>
        <stp/>
        <stp>##V3_BDHV12</stp>
        <stp>EUR002m Index</stp>
        <stp>PX_LAST</stp>
        <stp>3/26/2019</stp>
        <stp>3/26/2019</stp>
        <stp>[Live Pricing.xlsm]FX_Curve_History!R33C2</stp>
        <tr r="B33" s="50"/>
      </tp>
      <tp t="e">
        <v>#N/A</v>
        <stp/>
        <stp>##V3_BDHV12</stp>
        <stp>BP0003M Index</stp>
        <stp>PX_LAST</stp>
        <stp>3/26/2019</stp>
        <stp>3/26/2019</stp>
        <stp>[Live Pricing.xlsm]FX_Curve_History!R84C2</stp>
        <tr r="B84" s="50"/>
      </tp>
      <tp t="e">
        <v>#N/A</v>
        <stp/>
        <stp>##V3_BDHV12</stp>
        <stp>EUNE27 ICPL Curncy</stp>
        <stp>PX_LAST</stp>
        <stp>3/26/2019</stp>
        <stp>3/26/2019</stp>
        <stp>[Live Pricing.xlsm]Vol_Surface!R69C8</stp>
        <tr r="H69" s="53"/>
      </tp>
      <tp t="e">
        <v>#N/A</v>
        <stp/>
        <stp>##V3_BDHV12</stp>
        <stp>EUNE26 ICPL Curncy</stp>
        <stp>PX_LAST</stp>
        <stp>3/26/2019</stp>
        <stp>3/26/2019</stp>
        <stp>[Live Pricing.xlsm]Vol_Surface!R69C7</stp>
        <tr r="G69" s="53"/>
      </tp>
      <tp t="e">
        <v>#N/A</v>
        <stp/>
        <stp>##V3_BDPV12</stp>
        <stp>EUBS40 Index</stp>
        <stp>PX_LAST</stp>
        <stp>[Live Pricing.xlsm]FX_Curve_History!R50C13</stp>
        <tr r="M50" s="50"/>
      </tp>
      <tp t="e">
        <v>#N/A</v>
        <stp/>
        <stp>##V3_BDHV12</stp>
        <stp>EUNE25 ICPL Curncy</stp>
        <stp>PX_LAST</stp>
        <stp>3/26/2019</stp>
        <stp>3/26/2019</stp>
        <stp>[Live Pricing.xlsm]Vol_Surface!R69C6</stp>
        <tr r="F69" s="53"/>
      </tp>
      <tp t="e">
        <v>#N/A</v>
        <stp/>
        <stp>##V3_BDHV12</stp>
        <stp>EUNE24 ICPL Curncy</stp>
        <stp>PX_LAST</stp>
        <stp>3/26/2019</stp>
        <stp>3/26/2019</stp>
        <stp>[Live Pricing.xlsm]Vol_Surface!R69C5</stp>
        <tr r="E69" s="53"/>
      </tp>
      <tp t="e">
        <v>#N/A</v>
        <stp/>
        <stp>##V3_BDHV12</stp>
        <stp>EUNE23 ICPL Curncy</stp>
        <stp>PX_LAST</stp>
        <stp>3/26/2019</stp>
        <stp>3/26/2019</stp>
        <stp>[Live Pricing.xlsm]Vol_Surface!R69C4</stp>
        <tr r="D69" s="53"/>
      </tp>
      <tp t="e">
        <v>#N/A</v>
        <stp/>
        <stp>##V3_BDHV12</stp>
        <stp>EUNE22 ICPL Curncy</stp>
        <stp>PX_LAST</stp>
        <stp>3/26/2019</stp>
        <stp>3/26/2019</stp>
        <stp>[Live Pricing.xlsm]Vol_Surface!R69C3</stp>
        <tr r="C69" s="53"/>
      </tp>
      <tp t="e">
        <v>#N/A</v>
        <stp/>
        <stp>##V3_BDHV12</stp>
        <stp>EUNE21 ICPL Curncy</stp>
        <stp>PX_LAST</stp>
        <stp>3/26/2019</stp>
        <stp>3/26/2019</stp>
        <stp>[Live Pricing.xlsm]Vol_Surface!R69C2</stp>
        <tr r="B69" s="53"/>
      </tp>
      <tp t="e">
        <v>#N/A</v>
        <stp/>
        <stp>##V3_BDHV12</stp>
        <stp>ESZ0 Comdty</stp>
        <stp>PX_LAST</stp>
        <stp>3/26/2019</stp>
        <stp>3/26/2019</stp>
        <stp>[Live Pricing.xlsm]Rate_History!R112C4</stp>
        <tr r="D112" s="49"/>
      </tp>
      <tp t="e">
        <v>#N/A</v>
        <stp/>
        <stp>##V3_BDPV12</stp>
        <stp>EDM9 Comdty</stp>
        <stp>PX_LAST</stp>
        <stp>[Live Pricing.xlsm]FX_Curve_Live!R9C4</stp>
        <tr r="D9" s="42"/>
      </tp>
      <tp t="e">
        <v>#N/A</v>
        <stp/>
        <stp>##V3_BDHV12</stp>
        <stp>EUNE28 ICPL Curncy</stp>
        <stp>PX_LAST</stp>
        <stp>3/26/2019</stp>
        <stp>3/26/2019</stp>
        <stp>[Live Pricing.xlsm]Vol_Surface!R69C9</stp>
        <tr r="I69" s="53"/>
      </tp>
      <tp t="e">
        <v>#N/A</v>
        <stp/>
        <stp>##V3_BDHV12</stp>
        <stp>GBP12M BGN Curncy</stp>
        <stp>PX_LAST</stp>
        <stp>3/26/2019</stp>
        <stp>3/26/2019</stp>
        <stp>[Live Pricing.xlsm]FXFR!R56C4</stp>
        <tr r="D56" s="46"/>
      </tp>
      <tp t="e">
        <v>#N/A</v>
        <stp/>
        <stp>##V3_BDHV12</stp>
        <stp>USSW17 CMPN Curncy</stp>
        <stp>LAST_PRICE</stp>
        <stp>3/26/2019</stp>
        <stp>3/26/2019</stp>
        <stp>[Live Pricing.xlsm]Rate_History!R21C20</stp>
        <tr r="T21" s="49"/>
      </tp>
      <tp t="e">
        <v>#N/A</v>
        <stp/>
        <stp>##V3_BDHV12</stp>
        <stp>BPSW14 CMPN Curncy</stp>
        <stp>LAST_PRICE</stp>
        <stp>3/26/2019</stp>
        <stp>3/26/2019</stp>
        <stp>[Live Pricing.xlsm]Rate_History!R93C20</stp>
        <tr r="T93" s="49"/>
      </tp>
      <tp t="e">
        <v>#N/A</v>
        <stp/>
        <stp>##V3_BDHV12</stp>
        <stp>EUSA11 CMPN Curncy</stp>
        <stp>LAST_PRICE</stp>
        <stp>3/26/2019</stp>
        <stp>3/26/2019</stp>
        <stp>[Live Pricing.xlsm]Rate_History!R40C20</stp>
        <tr r="T40" s="49"/>
      </tp>
      <tp t="e">
        <v>#N/A</v>
        <stp/>
        <stp>##V3_BDHV12</stp>
        <stp>BCN10Y BGN Curncy</stp>
        <stp>PX_LAST</stp>
        <stp>3/26/2019</stp>
        <stp>3/26/2019</stp>
        <stp>[Live Pricing.xlsm]FXFR!R21C4</stp>
        <tr r="D21" s="46"/>
      </tp>
      <tp t="e">
        <v>#N/A</v>
        <stp/>
        <stp>##V3_BDHV12</stp>
        <stp>EUR12M BGN Curncy</stp>
        <stp>PX_LAST</stp>
        <stp>3/26/2019</stp>
        <stp>3/26/2019</stp>
        <stp>[Live Pricing.xlsm]FXFR!R34C4</stp>
        <tr r="D34" s="46"/>
      </tp>
      <tp t="e">
        <v>#N/A</v>
        <stp/>
        <stp>##V3_BDHV12</stp>
        <stp>EUNZ105 ICPL Curncy</stp>
        <stp>PX_LAST</stp>
        <stp>3/26/2019</stp>
        <stp>3/26/2019</stp>
        <stp>[Live Pricing.xlsm]Vol_Surface!R28C8</stp>
        <tr r="H28" s="53"/>
      </tp>
      <tp t="e">
        <v>#N/A</v>
        <stp/>
        <stp>##V3_BDHV12</stp>
        <stp>SF00S/N Index</stp>
        <stp>PX_LAST</stp>
        <stp>3/26/2019</stp>
        <stp>3/26/2019</stp>
        <stp>[Live Pricing.xlsm]Rate_History!R106C2</stp>
        <tr r="B106" s="49"/>
      </tp>
      <tp t="e">
        <v>#N/A</v>
        <stp/>
        <stp>##V3_BDHV12</stp>
        <stp>L Z0 Comdty</stp>
        <stp>PX_LAST</stp>
        <stp>3/26/2019</stp>
        <stp>3/26/2019</stp>
        <stp>[Live Pricing.xlsm]Rate_History!R87C4</stp>
        <tr r="D87" s="49"/>
      </tp>
      <tp t="e">
        <v>#N/A</v>
        <stp/>
        <stp>##V3_BDHV12</stp>
        <stp>ERZ0 Comdty</stp>
        <stp>PX_LAST</stp>
        <stp>3/26/2019</stp>
        <stp>3/26/2019</stp>
        <stp>[Live Pricing.xlsm]Rate_History!R37C4</stp>
        <tr r="D37" s="49"/>
      </tp>
      <tp t="e">
        <v>#N/A</v>
        <stp/>
        <stp>##V3_BDHV12</stp>
        <stp>EUSA3 CMPN Curncy</stp>
        <stp>LAST_PRICE</stp>
        <stp>3/26/2019</stp>
        <stp>3/26/2019</stp>
        <stp>[Live Pricing.xlsm]Rate_History!R32C20</stp>
        <tr r="T32" s="49"/>
      </tp>
      <tp t="e">
        <v>#N/A</v>
        <stp/>
        <stp>##V3_BDHV12</stp>
        <stp>BPSW4 CMPN Curncy</stp>
        <stp>LAST_PRICE</stp>
        <stp>3/26/2019</stp>
        <stp>3/26/2019</stp>
        <stp>[Live Pricing.xlsm]Rate_History!R83C20</stp>
        <tr r="T83" s="49"/>
      </tp>
      <tp t="e">
        <v>#N/A</v>
        <stp/>
        <stp>##V3_BDHV12</stp>
        <stp>BP0006M Index</stp>
        <stp>PX_LAST</stp>
        <stp>3/26/2019</stp>
        <stp>3/26/2019</stp>
        <stp>[Live Pricing.xlsm]FX_Curve_History!R85C2</stp>
        <tr r="B85" s="50"/>
      </tp>
      <tp t="e">
        <v>#N/A</v>
        <stp/>
        <stp>##V3_BDHV12</stp>
        <stp>EUR001m Index</stp>
        <stp>PX_LAST</stp>
        <stp>3/26/2019</stp>
        <stp>3/26/2019</stp>
        <stp>[Live Pricing.xlsm]FX_Curve_History!R32C2</stp>
        <tr r="B32" s="50"/>
      </tp>
      <tp t="e">
        <v>#N/A</v>
        <stp/>
        <stp>##V3_BDPV12</stp>
        <stp>BPBS25 Index</stp>
        <stp>PX_LAST</stp>
        <stp>[Live Pricing.xlsm]FX_Curve_History!R98C13</stp>
        <tr r="M98" s="50"/>
      </tp>
      <tp t="e">
        <v>#N/A</v>
        <stp/>
        <stp>##V3_BDPV12</stp>
        <stp>BPBS20 Index</stp>
        <stp>PX_LAST</stp>
        <stp>[Live Pricing.xlsm]FX_Curve_History!R97C13</stp>
        <tr r="M97" s="50"/>
      </tp>
      <tp t="e">
        <v>#N/A</v>
        <stp/>
        <stp>##V3_BDHV12</stp>
        <stp>ESH0 Comdty</stp>
        <stp>PX_LAST</stp>
        <stp>3/26/2019</stp>
        <stp>3/26/2019</stp>
        <stp>[Live Pricing.xlsm]Rate_History!R113C4</stp>
        <tr r="D113" s="49"/>
      </tp>
      <tp t="e">
        <v>#N/A</v>
        <stp/>
        <stp>##V3_BDPV12</stp>
        <stp>US0003m Index</stp>
        <stp>PX_LAST</stp>
        <stp>[Live Pricing.xlsm]Rate_Live!R9C2</stp>
        <tr r="B9" s="39"/>
      </tp>
      <tp t="e">
        <v>#N/A</v>
        <stp/>
        <stp>##V3_BDHV12</stp>
        <stp>USSW14 CMPN Curncy</stp>
        <stp>LAST_PRICE</stp>
        <stp>3/26/2019</stp>
        <stp>3/26/2019</stp>
        <stp>[Live Pricing.xlsm]Rate_History!R18C20</stp>
        <tr r="T18" s="49"/>
      </tp>
      <tp t="e">
        <v>#N/A</v>
        <stp/>
        <stp>##V3_BDHV12</stp>
        <stp>BPSW17 CMPN Curncy</stp>
        <stp>LAST_PRICE</stp>
        <stp>3/26/2019</stp>
        <stp>3/26/2019</stp>
        <stp>[Live Pricing.xlsm]Rate_History!R96C20</stp>
        <tr r="T96" s="49"/>
      </tp>
      <tp t="e">
        <v>#N/A</v>
        <stp/>
        <stp>##V3_BDHV12</stp>
        <stp>EUSA12 CMPN Curncy</stp>
        <stp>LAST_PRICE</stp>
        <stp>3/26/2019</stp>
        <stp>3/26/2019</stp>
        <stp>[Live Pricing.xlsm]Rate_History!R41C20</stp>
        <tr r="T41" s="49"/>
      </tp>
      <tp t="e">
        <v>#N/A</v>
        <stp/>
        <stp>##V3_BDHV12</stp>
        <stp>JPY12M BGN Curncy</stp>
        <stp>PX_LAST</stp>
        <stp>3/26/2019</stp>
        <stp>3/26/2019</stp>
        <stp>[Live Pricing.xlsm]FXFR!R78C4</stp>
        <tr r="D78" s="46"/>
      </tp>
      <tp t="e">
        <v>#N/A</v>
        <stp/>
        <stp>##V3_BDHV12</stp>
        <stp>SFSW5 Index</stp>
        <stp>PX_LAST</stp>
        <stp>3/26/2019</stp>
        <stp>3/26/2019</stp>
        <stp>[Live Pricing.xlsm]FX_Curve_History!R109C6</stp>
        <tr r="F109" s="50"/>
      </tp>
      <tp t="e">
        <v>#N/A</v>
        <stp/>
        <stp>##V3_BDHV12</stp>
        <stp>USSN038 CMPN Curncy</stp>
        <stp>PX_LAST</stp>
        <stp>3/26/2019</stp>
        <stp>3/26/2019</stp>
        <stp>[Live Pricing.xlsm]Vol_Surface!R50C9</stp>
        <tr r="I50" s="53"/>
      </tp>
      <tp t="e">
        <v>#N/A</v>
        <stp/>
        <stp>##V3_BDHV12</stp>
        <stp>USSN035 CMPN Curncy</stp>
        <stp>PX_LAST</stp>
        <stp>3/26/2019</stp>
        <stp>3/26/2019</stp>
        <stp>[Live Pricing.xlsm]Vol_Surface!R50C6</stp>
        <tr r="F50" s="53"/>
      </tp>
      <tp t="e">
        <v>#N/A</v>
        <stp/>
        <stp>##V3_BDHV12</stp>
        <stp>USSN034 CMPN Curncy</stp>
        <stp>PX_LAST</stp>
        <stp>3/26/2019</stp>
        <stp>3/26/2019</stp>
        <stp>[Live Pricing.xlsm]Vol_Surface!R50C5</stp>
        <tr r="E50" s="53"/>
      </tp>
      <tp t="e">
        <v>#N/A</v>
        <stp/>
        <stp>##V3_BDHV12</stp>
        <stp>USSN037 CMPN Curncy</stp>
        <stp>PX_LAST</stp>
        <stp>3/26/2019</stp>
        <stp>3/26/2019</stp>
        <stp>[Live Pricing.xlsm]Vol_Surface!R50C8</stp>
        <tr r="H50" s="53"/>
      </tp>
      <tp t="e">
        <v>#N/A</v>
        <stp/>
        <stp>##V3_BDHV12</stp>
        <stp>USSN036 CMPN Curncy</stp>
        <stp>PX_LAST</stp>
        <stp>3/26/2019</stp>
        <stp>3/26/2019</stp>
        <stp>[Live Pricing.xlsm]Vol_Surface!R50C7</stp>
        <tr r="G50" s="53"/>
      </tp>
      <tp t="e">
        <v>#N/A</v>
        <stp/>
        <stp>##V3_BDHV12</stp>
        <stp>USSN031 CMPN Curncy</stp>
        <stp>PX_LAST</stp>
        <stp>3/26/2019</stp>
        <stp>3/26/2019</stp>
        <stp>[Live Pricing.xlsm]Vol_Surface!R50C2</stp>
        <tr r="B50" s="53"/>
      </tp>
      <tp t="e">
        <v>#N/A</v>
        <stp/>
        <stp>##V3_BDHV12</stp>
        <stp>USSN033 CMPN Curncy</stp>
        <stp>PX_LAST</stp>
        <stp>3/26/2019</stp>
        <stp>3/26/2019</stp>
        <stp>[Live Pricing.xlsm]Vol_Surface!R50C4</stp>
        <tr r="D50" s="53"/>
      </tp>
      <tp t="e">
        <v>#N/A</v>
        <stp/>
        <stp>##V3_BDHV12</stp>
        <stp>USSN032 CMPN Curncy</stp>
        <stp>PX_LAST</stp>
        <stp>3/26/2019</stp>
        <stp>3/26/2019</stp>
        <stp>[Live Pricing.xlsm]Vol_Surface!R50C3</stp>
        <tr r="C50" s="53"/>
      </tp>
      <tp t="e">
        <v>#N/A</v>
        <stp/>
        <stp>##V3_BDHV12</stp>
        <stp>BPSW7 CMPN Curncy</stp>
        <stp>LAST_PRICE</stp>
        <stp>3/26/2019</stp>
        <stp>3/26/2019</stp>
        <stp>[Live Pricing.xlsm]Rate_History!R86C20</stp>
        <tr r="T86" s="49"/>
      </tp>
      <tp t="e">
        <v>#N/A</v>
        <stp/>
        <stp>##V3_BDHV12</stp>
        <stp>EUNE17 ICPL Curncy</stp>
        <stp>PX_LAST</stp>
        <stp>3/26/2019</stp>
        <stp>3/26/2019</stp>
        <stp>[Live Pricing.xlsm]Vol_Surface!R68C8</stp>
        <tr r="H68" s="53"/>
      </tp>
      <tp t="e">
        <v>#N/A</v>
        <stp/>
        <stp>##V3_BDHV12</stp>
        <stp>EUNE16 ICPL Curncy</stp>
        <stp>PX_LAST</stp>
        <stp>3/26/2019</stp>
        <stp>3/26/2019</stp>
        <stp>[Live Pricing.xlsm]Vol_Surface!R68C7</stp>
        <tr r="G68" s="53"/>
      </tp>
      <tp t="e">
        <v>#N/A</v>
        <stp/>
        <stp>##V3_BDPV12</stp>
        <stp>BPBS15 Index</stp>
        <stp>PX_LAST</stp>
        <stp>[Live Pricing.xlsm]FX_Curve_History!R94C13</stp>
        <tr r="M94" s="50"/>
      </tp>
      <tp t="e">
        <v>#N/A</v>
        <stp/>
        <stp>##V3_BDHV12</stp>
        <stp>EUNE15 ICPL Curncy</stp>
        <stp>PX_LAST</stp>
        <stp>3/26/2019</stp>
        <stp>3/26/2019</stp>
        <stp>[Live Pricing.xlsm]Vol_Surface!R68C6</stp>
        <tr r="F68" s="53"/>
      </tp>
      <tp t="e">
        <v>#N/A</v>
        <stp/>
        <stp>##V3_BDHV12</stp>
        <stp>EUNE14 ICPL Curncy</stp>
        <stp>PX_LAST</stp>
        <stp>3/26/2019</stp>
        <stp>3/26/2019</stp>
        <stp>[Live Pricing.xlsm]Vol_Surface!R68C5</stp>
        <tr r="E68" s="53"/>
      </tp>
      <tp t="e">
        <v>#N/A</v>
        <stp/>
        <stp>##V3_BDHV12</stp>
        <stp>EUNE13 ICPL Curncy</stp>
        <stp>PX_LAST</stp>
        <stp>3/26/2019</stp>
        <stp>3/26/2019</stp>
        <stp>[Live Pricing.xlsm]Vol_Surface!R68C4</stp>
        <tr r="D68" s="53"/>
      </tp>
      <tp t="e">
        <v>#N/A</v>
        <stp/>
        <stp>##V3_BDPV12</stp>
        <stp>BPBS10 Index</stp>
        <stp>PX_LAST</stp>
        <stp>[Live Pricing.xlsm]FX_Curve_History!R89C13</stp>
        <tr r="M89" s="50"/>
      </tp>
      <tp t="e">
        <v>#N/A</v>
        <stp/>
        <stp>##V3_BDHV12</stp>
        <stp>EUNE12 ICPL Curncy</stp>
        <stp>PX_LAST</stp>
        <stp>3/26/2019</stp>
        <stp>3/26/2019</stp>
        <stp>[Live Pricing.xlsm]Vol_Surface!R68C3</stp>
        <tr r="C68" s="53"/>
      </tp>
      <tp t="e">
        <v>#N/A</v>
        <stp/>
        <stp>##V3_BDPV12</stp>
        <stp>BPBS11 Index</stp>
        <stp>PX_LAST</stp>
        <stp>[Live Pricing.xlsm]FX_Curve_History!R90C13</stp>
        <tr r="M90" s="50"/>
      </tp>
      <tp t="e">
        <v>#N/A</v>
        <stp/>
        <stp>##V3_BDHV12</stp>
        <stp>EUNE11 ICPL Curncy</stp>
        <stp>PX_LAST</stp>
        <stp>3/26/2019</stp>
        <stp>3/26/2019</stp>
        <stp>[Live Pricing.xlsm]Vol_Surface!R68C2</stp>
        <tr r="B68" s="53"/>
      </tp>
      <tp t="e">
        <v>#N/A</v>
        <stp/>
        <stp>##V3_BDPV12</stp>
        <stp>BPBS12 Index</stp>
        <stp>PX_LAST</stp>
        <stp>[Live Pricing.xlsm]FX_Curve_History!R91C13</stp>
        <tr r="M91" s="50"/>
      </tp>
      <tp t="e">
        <v>#N/A</v>
        <stp/>
        <stp>##V3_BDHV12</stp>
        <stp>ESM0 Comdty</stp>
        <stp>PX_LAST</stp>
        <stp>3/26/2019</stp>
        <stp>3/26/2019</stp>
        <stp>[Live Pricing.xlsm]Rate_History!R110C4</stp>
        <tr r="D110" s="49"/>
      </tp>
      <tp t="e">
        <v>#N/A</v>
        <stp/>
        <stp>##V3_BDHV12</stp>
        <stp>EUNE18 ICPL Curncy</stp>
        <stp>PX_LAST</stp>
        <stp>3/26/2019</stp>
        <stp>3/26/2019</stp>
        <stp>[Live Pricing.xlsm]Vol_Surface!R68C9</stp>
        <tr r="I68" s="53"/>
      </tp>
      <tp t="e">
        <v>#N/A</v>
        <stp/>
        <stp>##V3_BDPV12</stp>
        <stp>US0002m Index</stp>
        <stp>PX_LAST</stp>
        <stp>[Live Pricing.xlsm]Rate_Live!R8C2</stp>
        <tr r="B8" s="39"/>
      </tp>
      <tp t="e">
        <v>#N/A</v>
        <stp/>
        <stp>##V3_BDHV12</stp>
        <stp>USSW15 CMPN Curncy</stp>
        <stp>LAST_PRICE</stp>
        <stp>3/26/2019</stp>
        <stp>3/26/2019</stp>
        <stp>[Live Pricing.xlsm]Rate_History!R19C20</stp>
        <tr r="T19" s="49"/>
      </tp>
      <tp t="e">
        <v>#N/A</v>
        <stp/>
        <stp>##V3_BDHV12</stp>
        <stp>USSW25 CMPN Curncy</stp>
        <stp>LAST_PRICE</stp>
        <stp>3/26/2019</stp>
        <stp>3/26/2019</stp>
        <stp>[Live Pricing.xlsm]Rate_History!R23C20</stp>
        <tr r="T23" s="49"/>
      </tp>
      <tp t="e">
        <v>#N/A</v>
        <stp/>
        <stp>##V3_BDHV12</stp>
        <stp>BPSW16 CMPN Curncy</stp>
        <stp>LAST_PRICE</stp>
        <stp>3/26/2019</stp>
        <stp>3/26/2019</stp>
        <stp>[Live Pricing.xlsm]Rate_History!R95C20</stp>
        <tr r="T95" s="49"/>
      </tp>
      <tp t="e">
        <v>#N/A</v>
        <stp/>
        <stp>##V3_BDHV12</stp>
        <stp>EUSA13 CMPN Curncy</stp>
        <stp>LAST_PRICE</stp>
        <stp>3/26/2019</stp>
        <stp>3/26/2019</stp>
        <stp>[Live Pricing.xlsm]Rate_History!R42C20</stp>
        <tr r="T42" s="49"/>
      </tp>
      <tp t="e">
        <v>#N/A</v>
        <stp/>
        <stp>##V3_BDHV12</stp>
        <stp>SFSW4 Index</stp>
        <stp>PX_LAST</stp>
        <stp>3/26/2019</stp>
        <stp>3/26/2019</stp>
        <stp>[Live Pricing.xlsm]FX_Curve_History!R108C6</stp>
        <tr r="F108" s="50"/>
      </tp>
      <tp t="e">
        <v>#N/A</v>
        <stp/>
        <stp>##V3_BDHV12</stp>
        <stp>CDSW9 Index</stp>
        <stp>PX_LAST</stp>
        <stp>3/26/2019</stp>
        <stp>3/26/2019</stp>
        <stp>[Live Pricing.xlsm]FX_Curve_History!R138C6</stp>
        <tr r="F138" s="50"/>
      </tp>
      <tp t="e">
        <v>#N/A</v>
        <stp/>
        <stp>##V3_BDHV12</stp>
        <stp>BPSW6 CMPN Curncy</stp>
        <stp>LAST_PRICE</stp>
        <stp>3/26/2019</stp>
        <stp>3/26/2019</stp>
        <stp>[Live Pricing.xlsm]Rate_History!R85C20</stp>
        <tr r="T85" s="49"/>
      </tp>
      <tp t="e">
        <v>#N/A</v>
        <stp/>
        <stp>##V3_BDPV12</stp>
        <stp>USDJPY Curncy</stp>
        <stp>PX_LAST</stp>
        <stp>[Live Pricing.xlsm]FX_Live!R9C5</stp>
        <tr r="E9" s="44"/>
      </tp>
      <tp t="e">
        <v>#N/A</v>
        <stp/>
        <stp>##V3_BDHV12</stp>
        <stp>BP0012M Index</stp>
        <stp>PX_LAST</stp>
        <stp>3/26/2019</stp>
        <stp>3/26/2019</stp>
        <stp>[Live Pricing.xlsm]FX_Curve_History!R86C2</stp>
        <tr r="B86" s="50"/>
      </tp>
      <tp t="e">
        <v>#N/A</v>
        <stp/>
        <stp>##V3_BDHV12</stp>
        <stp>ESU0 Comdty</stp>
        <stp>PX_LAST</stp>
        <stp>3/26/2019</stp>
        <stp>3/26/2019</stp>
        <stp>[Live Pricing.xlsm]Rate_History!R111C4</stp>
        <tr r="D111" s="49"/>
      </tp>
      <tp t="e">
        <v>#N/A</v>
        <stp/>
        <stp>##V3_BDHV12</stp>
        <stp>ESZ9 Comdty</stp>
        <stp>PX_LAST</stp>
        <stp>3/26/2019</stp>
        <stp>3/26/2019</stp>
        <stp>[Live Pricing.xlsm]Rate_History!R108C4</stp>
        <tr r="D108" s="49"/>
      </tp>
      <tp t="e">
        <v>#N/A</v>
        <stp/>
        <stp>##V3_BDHV12</stp>
        <stp>BCN9M BGN Curncy</stp>
        <stp>PX_LAST</stp>
        <stp>3/26/2019</stp>
        <stp>3/26/2019</stp>
        <stp>[Live Pricing.xlsm]FXFR!R11C4</stp>
        <tr r="D11" s="46"/>
      </tp>
      <tp t="e">
        <v>#N/A</v>
        <stp/>
        <stp>##V3_BDHV12</stp>
        <stp>GBP1M BGN Curncy</stp>
        <stp>PX_LAST</stp>
        <stp>3/26/2019</stp>
        <stp>3/26/2019</stp>
        <stp>[Live Pricing.xlsm]FXFR!R49C4</stp>
        <tr r="D49" s="46"/>
      </tp>
      <tp t="e">
        <v>#N/A</v>
        <stp/>
        <stp>##V3_BDHV12</stp>
        <stp>L H0 Comdty</stp>
        <stp>PX_LAST</stp>
        <stp>3/26/2019</stp>
        <stp>3/26/2019</stp>
        <stp>[Live Pricing.xlsm]Rate_History!R88C4</stp>
        <tr r="D88" s="49"/>
      </tp>
      <tp t="e">
        <v>#N/A</v>
        <stp/>
        <stp>##V3_BDHV12</stp>
        <stp>ERH0 Comdty</stp>
        <stp>PX_LAST</stp>
        <stp>3/26/2019</stp>
        <stp>3/26/2019</stp>
        <stp>[Live Pricing.xlsm]Rate_History!R38C4</stp>
        <tr r="D38" s="49"/>
      </tp>
      <tp t="e">
        <v>#N/A</v>
        <stp/>
        <stp>##V3_BDHV12</stp>
        <stp>GBP1W BGN Curncy</stp>
        <stp>PX_LAST</stp>
        <stp>3/26/2019</stp>
        <stp>3/26/2019</stp>
        <stp>[Live Pricing.xlsm]FXFR!R48C4</stp>
        <tr r="D48" s="46"/>
      </tp>
      <tp t="e">
        <v>#N/A</v>
        <stp/>
        <stp>##V3_BDHV12</stp>
        <stp>EUR8Y BGN Curncy</stp>
        <stp>PX_LAST</stp>
        <stp>3/26/2019</stp>
        <stp>3/26/2019</stp>
        <stp>[Live Pricing.xlsm]FXFR!R41C4</stp>
        <tr r="D41" s="46"/>
      </tp>
      <tp t="e">
        <v>#N/A</v>
        <stp/>
        <stp>##V3_BDHV12</stp>
        <stp>BCN9Y BGN Curncy</stp>
        <stp>PX_LAST</stp>
        <stp>3/26/2019</stp>
        <stp>3/26/2019</stp>
        <stp>[Live Pricing.xlsm]FXFR!R20C4</stp>
        <tr r="D20" s="46"/>
      </tp>
      <tp t="e">
        <v>#N/A</v>
        <stp/>
        <stp>##V3_BDPV12</stp>
        <stp>CLSWIBA Index</stp>
        <stp>PX_LAST</stp>
        <stp>[Live Pricing.xlsm]FX_Curve_Live!R182C2</stp>
        <tr r="B182" s="42"/>
      </tp>
      <tp t="e">
        <v>#N/A</v>
        <stp/>
        <stp>##V3_BDHV12</stp>
        <stp>YEH0 Comdty</stp>
        <stp>PX_LAST</stp>
        <stp>3/26/2019</stp>
        <stp>3/26/2019</stp>
        <stp>[Live Pricing.xlsm]Rate_History!R59C4</stp>
        <tr r="D59" s="49"/>
      </tp>
      <tp t="e">
        <v>#N/A</v>
        <stp/>
        <stp>##V3_BDHV12</stp>
        <stp>CDSW30 CMPN Curncy</stp>
        <stp>Close</stp>
        <stp>03/26/2019 15:00:00</stp>
        <stp>03/26/2019 15:01:00</stp>
        <stp>[Live Pricing.xlsm]Rate_History!R144C18</stp>
        <stp>BarType</stp>
        <stp>T</stp>
        <stp>Dir=V</stp>
        <stp>cols=2;rows=1</stp>
        <tr r="R144" s="49"/>
      </tp>
      <tp t="e">
        <v>#N/A</v>
        <stp/>
        <stp>##V3_BDHV12</stp>
        <stp>CDSW20 CMPN Curncy</stp>
        <stp>Close</stp>
        <stp>03/26/2019 15:00:00</stp>
        <stp>03/26/2019 15:01:00</stp>
        <stp>[Live Pricing.xlsm]Rate_History!R142C18</stp>
        <stp>BarType</stp>
        <stp>T</stp>
        <stp>Dir=V</stp>
        <stp>cols=2;rows=1</stp>
        <tr r="R142" s="49"/>
      </tp>
      <tp t="e">
        <v>#N/A</v>
        <stp/>
        <stp>##V3_BDHV12</stp>
        <stp>CDSW15 CMPN Curncy</stp>
        <stp>Close</stp>
        <stp>03/26/2019 15:00:00</stp>
        <stp>03/26/2019 15:01:00</stp>
        <stp>[Live Pricing.xlsm]Rate_History!R141C18</stp>
        <stp>BarType</stp>
        <stp>T</stp>
        <stp>Dir=V</stp>
        <stp>cols=2;rows=1</stp>
        <tr r="R141" s="49"/>
      </tp>
      <tp t="e">
        <v>#N/A</v>
        <stp/>
        <stp>##V3_BDHV12</stp>
        <stp>CDSW12 CMPN Curncy</stp>
        <stp>Close</stp>
        <stp>03/26/2019 15:00:00</stp>
        <stp>03/26/2019 15:01:00</stp>
        <stp>[Live Pricing.xlsm]Rate_History!R140C18</stp>
        <stp>BarType</stp>
        <stp>T</stp>
        <stp>Dir=V</stp>
        <stp>cols=2;rows=1</stp>
        <tr r="R140" s="49"/>
      </tp>
      <tp t="e">
        <v>#N/A</v>
        <stp/>
        <stp>##V3_BDHV12</stp>
        <stp>CDSW40 CMPN Curncy</stp>
        <stp>Close</stp>
        <stp>03/26/2019 15:00:00</stp>
        <stp>03/26/2019 15:01:00</stp>
        <stp>[Live Pricing.xlsm]Rate_History!R145C18</stp>
        <stp>BarType</stp>
        <stp>T</stp>
        <stp>Dir=V</stp>
        <stp>cols=2;rows=1</stp>
        <tr r="R145" s="49"/>
      </tp>
      <tp t="e">
        <v>#N/A</v>
        <stp/>
        <stp>##V3_BDHV12</stp>
        <stp>CDSW25 CMPN Curncy</stp>
        <stp>Close</stp>
        <stp>03/26/2019 15:00:00</stp>
        <stp>03/26/2019 15:01:00</stp>
        <stp>[Live Pricing.xlsm]Rate_History!R143C18</stp>
        <stp>BarType</stp>
        <stp>T</stp>
        <stp>Dir=V</stp>
        <stp>cols=2;rows=1</stp>
        <tr r="R143" s="49"/>
      </tp>
      <tp t="e">
        <v>#N/A</v>
        <stp/>
        <stp>##V3_BDHV12</stp>
        <stp>EUR2M BGN Curncy</stp>
        <stp>PX_LAST</stp>
        <stp>3/26/2019</stp>
        <stp>3/26/2019</stp>
        <stp>[Live Pricing.xlsm]FXFR!R28C4</stp>
        <tr r="D28" s="46"/>
      </tp>
      <tp t="e">
        <v>#N/A</v>
        <stp/>
        <stp>##V3_BDHV12</stp>
        <stp>EUR3M BGN Curncy</stp>
        <stp>PX_LAST</stp>
        <stp>3/26/2019</stp>
        <stp>3/26/2019</stp>
        <stp>[Live Pricing.xlsm]FXFR!R29C4</stp>
        <tr r="D29" s="46"/>
      </tp>
      <tp t="e">
        <v>#N/A</v>
        <stp/>
        <stp>##V3_BDHV12</stp>
        <stp>EUR9M BGN Curncy</stp>
        <stp>PX_LAST</stp>
        <stp>3/26/2019</stp>
        <stp>3/26/2019</stp>
        <stp>[Live Pricing.xlsm]FXFR!R33C4</stp>
        <tr r="D33" s="46"/>
      </tp>
      <tp t="e">
        <v>#N/A</v>
        <stp/>
        <stp>##V3_BDHV12</stp>
        <stp>SF0001M Index</stp>
        <stp>PX_LAST</stp>
        <stp>3/26/2019</stp>
        <stp>3/26/2019</stp>
        <stp>[Live Pricing.xlsm]Rate_History!R107C2</stp>
        <tr r="B107" s="49"/>
      </tp>
      <tp t="e">
        <v>#N/A</v>
        <stp/>
        <stp>##V3_BDHV12</stp>
        <stp>SF0006M Index</stp>
        <stp>PX_LAST</stp>
        <stp>3/26/2019</stp>
        <stp>3/26/2019</stp>
        <stp>[Live Pricing.xlsm]Rate_History!R110C2</stp>
        <tr r="B110" s="49"/>
      </tp>
      <tp t="e">
        <v>#N/A</v>
        <stp/>
        <stp>##V3_BDHV12</stp>
        <stp>USSW4 CMPN Curncy</stp>
        <stp>Close</stp>
        <stp>03/26/2019 15:00:00</stp>
        <stp>03/26/2019 15:01:00</stp>
        <stp>[Live Pricing.xlsm]Rate_History!R8C18</stp>
        <stp>BarType</stp>
        <stp>T</stp>
        <stp>Dir=V</stp>
        <stp>cols=2;rows=1</stp>
        <tr r="R8" s="49"/>
      </tp>
      <tp t="e">
        <v>#N/A</v>
        <stp/>
        <stp>##V3_BDPV12</stp>
        <stp>BPBS1 curncy</stp>
        <stp>PX_LAST</stp>
        <stp>[Live Pricing.xlsm]FX_Curve_History!R81C16</stp>
        <tr r="P81" s="50"/>
      </tp>
      <tp t="e">
        <v>#N/A</v>
        <stp/>
        <stp>##V3_BDHV12</stp>
        <stp>JPY2Y BGN Curncy</stp>
        <stp>PX_LAST</stp>
        <stp>3/26/2019</stp>
        <stp>3/26/2019</stp>
        <stp>[Live Pricing.xlsm]FXFR!R79C4</stp>
        <tr r="D79" s="46"/>
      </tp>
      <tp t="e">
        <v>#N/A</v>
        <stp/>
        <stp>##V3_BDHV12</stp>
        <stp>EUR9Y BGN Curncy</stp>
        <stp>PX_LAST</stp>
        <stp>3/26/2019</stp>
        <stp>3/26/2019</stp>
        <stp>[Live Pricing.xlsm]FXFR!R42C4</stp>
        <tr r="D42" s="46"/>
      </tp>
      <tp t="e">
        <v>#N/A</v>
        <stp/>
        <stp>##V3_BDHV12</stp>
        <stp>GBP3Y BGN Curncy</stp>
        <stp>PX_LAST</stp>
        <stp>3/26/2019</stp>
        <stp>3/26/2019</stp>
        <stp>[Live Pricing.xlsm]FXFR!R58C4</stp>
        <tr r="D58" s="46"/>
      </tp>
      <tp t="e">
        <v>#N/A</v>
        <stp/>
        <stp>##V3_BDHV12</stp>
        <stp>GBP8Y BGN Curncy</stp>
        <stp>PX_LAST</stp>
        <stp>3/26/2019</stp>
        <stp>3/26/2019</stp>
        <stp>[Live Pricing.xlsm]FXFR!R63C4</stp>
        <tr r="D63" s="46"/>
      </tp>
      <tp t="e">
        <v>#N/A</v>
        <stp/>
        <stp>##V3_BDHV12</stp>
        <stp>USSW5 CMPN Curncy</stp>
        <stp>Close</stp>
        <stp>03/26/2019 15:00:00</stp>
        <stp>03/26/2019 15:01:00</stp>
        <stp>[Live Pricing.xlsm]Rate_History!R9C18</stp>
        <stp>BarType</stp>
        <stp>T</stp>
        <stp>Dir=V</stp>
        <stp>cols=2;rows=1</stp>
        <tr r="R9" s="49"/>
      </tp>
      <tp t="e">
        <v>#N/A</v>
        <stp/>
        <stp>##V3_BDHV12</stp>
        <stp>GBP9M BGN Curncy</stp>
        <stp>PX_LAST</stp>
        <stp>3/26/2019</stp>
        <stp>3/26/2019</stp>
        <stp>[Live Pricing.xlsm]FXFR!R55C4</stp>
        <tr r="D55" s="46"/>
      </tp>
      <tp t="e">
        <v>#N/A</v>
        <stp/>
        <stp>##V3_BDHV12</stp>
        <stp>USSW2 CMPN Curncy</stp>
        <stp>Close</stp>
        <stp>03/26/2019 15:00:00</stp>
        <stp>03/26/2019 15:01:00</stp>
        <stp>[Live Pricing.xlsm]Rate_History!R6C18</stp>
        <stp>BarType</stp>
        <stp>T</stp>
        <stp>Dir=V</stp>
        <stp>cols=2;rows=1</stp>
        <tr r="R6" s="49"/>
      </tp>
      <tp t="e">
        <v>#N/A</v>
        <stp/>
        <stp>##V3_BDHV12</stp>
        <stp>JPY8Y BGN Curncy</stp>
        <stp>PX_LAST</stp>
        <stp>3/26/2019</stp>
        <stp>3/26/2019</stp>
        <stp>[Live Pricing.xlsm]FXFR!R85C4</stp>
        <tr r="D85" s="46"/>
      </tp>
      <tp t="e">
        <v>#N/A</v>
        <stp/>
        <stp>##V3_BDHV12</stp>
        <stp>EUR5Y BGN Curncy</stp>
        <stp>PX_LAST</stp>
        <stp>3/26/2019</stp>
        <stp>3/26/2019</stp>
        <stp>[Live Pricing.xlsm]FXFR!R38C4</stp>
        <tr r="D38" s="46"/>
      </tp>
      <tp t="e">
        <v>#N/A</v>
        <stp/>
        <stp>##V3_BDHV12</stp>
        <stp>GBP4Y BGN Curncy</stp>
        <stp>PX_LAST</stp>
        <stp>3/26/2019</stp>
        <stp>3/26/2019</stp>
        <stp>[Live Pricing.xlsm]FXFR!R59C4</stp>
        <tr r="D59" s="46"/>
      </tp>
      <tp t="e">
        <v>#N/A</v>
        <stp/>
        <stp>##V3_BDHV12</stp>
        <stp>GBP9Y BGN Curncy</stp>
        <stp>PX_LAST</stp>
        <stp>3/26/2019</stp>
        <stp>3/26/2019</stp>
        <stp>[Live Pricing.xlsm]FXFR!R64C4</stp>
        <tr r="D64" s="46"/>
      </tp>
      <tp t="e">
        <v>#N/A</v>
        <stp/>
        <stp>##V3_BDPV12</stp>
        <stp>CLSWIBC Index</stp>
        <stp>PX_LAST</stp>
        <stp>[Live Pricing.xlsm]FX_Curve_Live!R184C2</stp>
        <tr r="B184" s="42"/>
      </tp>
      <tp t="e">
        <v>#N/A</v>
        <stp/>
        <stp>##V3_BDPV12</stp>
        <stp>EDZ8 Comdty</stp>
        <stp>PX_LAST</stp>
        <stp>[Live Pricing.xlsm]FX_Curve_Live!R7C4</stp>
        <tr r="D7" s="42"/>
      </tp>
      <tp t="e">
        <v>#N/A</v>
        <stp/>
        <stp>##V3_BDHV12</stp>
        <stp>BPSW40 CMPN Curncy</stp>
        <stp>Close</stp>
        <stp>03/26/2019 11:15:00</stp>
        <stp>03/26/2019 11:16:00</stp>
        <stp>[Live Pricing.xlsm]Rate_History!R100C18</stp>
        <stp>BarType</stp>
        <stp>T</stp>
        <stp>Dir=V</stp>
        <stp>cols=2;rows=1</stp>
        <tr r="R100" s="49"/>
      </tp>
      <tp t="e">
        <v>#N/A</v>
        <stp/>
        <stp>##V3_BDHV12</stp>
        <stp>USSW3 CMPN Curncy</stp>
        <stp>Close</stp>
        <stp>03/26/2019 15:00:00</stp>
        <stp>03/26/2019 15:01:00</stp>
        <stp>[Live Pricing.xlsm]Rate_History!R7C18</stp>
        <stp>BarType</stp>
        <stp>T</stp>
        <stp>Dir=V</stp>
        <stp>cols=2;rows=1</stp>
        <tr r="R7" s="49"/>
      </tp>
      <tp t="e">
        <v>#N/A</v>
        <stp/>
        <stp>##V3_BDHV12</stp>
        <stp>JPY9M BGN Curncy</stp>
        <stp>PX_LAST</stp>
        <stp>3/26/2019</stp>
        <stp>3/26/2019</stp>
        <stp>[Live Pricing.xlsm]FXFR!R77C4</stp>
        <tr r="D77" s="46"/>
      </tp>
      <tp t="e">
        <v>#N/A</v>
        <stp/>
        <stp>##V3_BDHV12</stp>
        <stp>CAD6M BGN Curncy</stp>
        <stp>PX_LAST</stp>
        <stp>3/26/2019</stp>
        <stp>3/26/2019</stp>
        <stp>[Live Pricing.xlsm]FXFR!R98C4</stp>
        <tr r="D98" s="46"/>
      </tp>
      <tp t="e">
        <v>#N/A</v>
        <stp/>
        <stp>##V3_BDHV12</stp>
        <stp>USSW8 CMPN Curncy</stp>
        <stp>LAST_PRICE</stp>
        <stp>3/26/2019</stp>
        <stp>3/26/2019</stp>
        <stp>[Live Pricing.xlsm]Rate_History!R12C20</stp>
        <tr r="T12" s="49"/>
      </tp>
      <tp t="e">
        <v>#N/A</v>
        <stp/>
        <stp>##V3_BDHV12</stp>
        <stp>CDSW10 CMPN Curncy</stp>
        <stp>Close</stp>
        <stp>03/26/2019 15:00:00</stp>
        <stp>03/26/2019 15:01:00</stp>
        <stp>[Live Pricing.xlsm]Rate_History!R139C18</stp>
        <stp>BarType</stp>
        <stp>T</stp>
        <stp>Dir=V</stp>
        <stp>cols=2;rows=1</stp>
        <tr r="R139" s="49"/>
      </tp>
      <tp t="e">
        <v>#N/A</v>
        <stp/>
        <stp>##V3_BDHV12</stp>
        <stp>JPY9Y BGN Curncy</stp>
        <stp>PX_LAST</stp>
        <stp>3/26/2019</stp>
        <stp>3/26/2019</stp>
        <stp>[Live Pricing.xlsm]FXFR!R86C4</stp>
        <tr r="D86" s="46"/>
      </tp>
      <tp t="e">
        <v>#N/A</v>
        <stp/>
        <stp>##V3_BDHV12</stp>
        <stp>EUR6Y BGN Curncy</stp>
        <stp>PX_LAST</stp>
        <stp>3/26/2019</stp>
        <stp>3/26/2019</stp>
        <stp>[Live Pricing.xlsm]FXFR!R39C4</stp>
        <tr r="D39" s="46"/>
      </tp>
      <tp t="e">
        <v>#N/A</v>
        <stp/>
        <stp>##V3_BDHV12</stp>
        <stp>BCN7Y BGN Curncy</stp>
        <stp>PX_LAST</stp>
        <stp>3/26/2019</stp>
        <stp>3/26/2019</stp>
        <stp>[Live Pricing.xlsm]FXFR!R18C4</stp>
        <tr r="D18" s="46"/>
      </tp>
      <tp t="e">
        <v>#N/A</v>
        <stp/>
        <stp>##V3_BDHV12</stp>
        <stp>SF0012M Index</stp>
        <stp>PX_LAST</stp>
        <stp>3/26/2019</stp>
        <stp>3/26/2019</stp>
        <stp>[Live Pricing.xlsm]Rate_History!R111C2</stp>
        <tr r="B111" s="49"/>
      </tp>
      <tp t="e">
        <v>#N/A</v>
        <stp/>
        <stp>##V3_BDHV12</stp>
        <stp>USSW9 CMPN Curncy</stp>
        <stp>LAST_PRICE</stp>
        <stp>3/26/2019</stp>
        <stp>3/26/2019</stp>
        <stp>[Live Pricing.xlsm]Rate_History!R13C20</stp>
        <tr r="T13" s="49"/>
      </tp>
      <tp t="e">
        <v>#N/A</v>
        <stp/>
        <stp>##V3_BDPV12</stp>
        <stp>JYSSTL1 index</stp>
        <stp>PX_LAST</stp>
        <stp>[Live Pricing.xlsm]Rate_History!R57C14</stp>
        <tr r="N57" s="49"/>
      </tp>
      <tp t="e">
        <v>#N/A</v>
        <stp/>
        <stp>##V3_BDPV12</stp>
        <stp>JYSSTL2 index</stp>
        <stp>PX_LAST</stp>
        <stp>[Live Pricing.xlsm]Rate_History!R58C14</stp>
        <tr r="N58" s="49"/>
      </tp>
      <tp t="e">
        <v>#N/A</v>
        <stp/>
        <stp>##V3_BDHV12</stp>
        <stp>JPY1M BGN Curncy</stp>
        <stp>PX_LAST</stp>
        <stp>3/26/2019</stp>
        <stp>3/26/2019</stp>
        <stp>[Live Pricing.xlsm]FXFR!R71C4</stp>
        <tr r="D71" s="46"/>
      </tp>
      <tp t="e">
        <v>#N/A</v>
        <stp/>
        <stp>##V3_BDHV12</stp>
        <stp>JPY2M BGN Curncy</stp>
        <stp>PX_LAST</stp>
        <stp>3/26/2019</stp>
        <stp>3/26/2019</stp>
        <stp>[Live Pricing.xlsm]FXFR!R72C4</stp>
        <tr r="D72" s="46"/>
      </tp>
      <tp t="e">
        <v>#N/A</v>
        <stp/>
        <stp>##V3_BDHV12</stp>
        <stp>JPY3M BGN Curncy</stp>
        <stp>PX_LAST</stp>
        <stp>3/26/2019</stp>
        <stp>3/26/2019</stp>
        <stp>[Live Pricing.xlsm]FXFR!R73C4</stp>
        <tr r="D73" s="46"/>
      </tp>
      <tp t="e">
        <v>#N/A</v>
        <stp/>
        <stp>##V3_BDHV12</stp>
        <stp>JPY4M BGN Curncy</stp>
        <stp>PX_LAST</stp>
        <stp>3/26/2019</stp>
        <stp>3/26/2019</stp>
        <stp>[Live Pricing.xlsm]FXFR!R74C4</stp>
        <tr r="D74" s="46"/>
      </tp>
      <tp t="e">
        <v>#N/A</v>
        <stp/>
        <stp>##V3_BDHV12</stp>
        <stp>JPY5M BGN Curncy</stp>
        <stp>PX_LAST</stp>
        <stp>3/26/2019</stp>
        <stp>3/26/2019</stp>
        <stp>[Live Pricing.xlsm]FXFR!R75C4</stp>
        <tr r="D75" s="46"/>
      </tp>
      <tp t="e">
        <v>#N/A</v>
        <stp/>
        <stp>##V3_BDHV12</stp>
        <stp>JPY6M BGN Curncy</stp>
        <stp>PX_LAST</stp>
        <stp>3/26/2019</stp>
        <stp>3/26/2019</stp>
        <stp>[Live Pricing.xlsm]FXFR!R76C4</stp>
        <tr r="D76" s="46"/>
      </tp>
      <tp t="e">
        <v>#N/A</v>
        <stp/>
        <stp>##V3_BDHV12</stp>
        <stp>CAD9M BGN Curncy</stp>
        <stp>PX_LAST</stp>
        <stp>3/26/2019</stp>
        <stp>3/26/2019</stp>
        <stp>[Live Pricing.xlsm]FXFR!R99C4</stp>
        <tr r="D99" s="46"/>
      </tp>
      <tp t="e">
        <v>#N/A</v>
        <stp/>
        <stp>##V3_BDHV12</stp>
        <stp>L M0 Comdty</stp>
        <stp>PX_LAST</stp>
        <stp>3/26/2019</stp>
        <stp>3/26/2019</stp>
        <stp>[Live Pricing.xlsm]Rate_History!R85C4</stp>
        <tr r="D85" s="49"/>
      </tp>
      <tp t="e">
        <v>#N/A</v>
        <stp/>
        <stp>##V3_BDHV12</stp>
        <stp>ERM0 Comdty</stp>
        <stp>PX_LAST</stp>
        <stp>3/26/2019</stp>
        <stp>3/26/2019</stp>
        <stp>[Live Pricing.xlsm]Rate_History!R35C4</stp>
        <tr r="D35" s="49"/>
      </tp>
      <tp t="e">
        <v>#N/A</v>
        <stp/>
        <stp>##V3_BDHV12</stp>
        <stp>USSW6 CMPN Curncy</stp>
        <stp>LAST_PRICE</stp>
        <stp>3/26/2019</stp>
        <stp>3/26/2019</stp>
        <stp>[Live Pricing.xlsm]Rate_History!R10C20</stp>
        <tr r="T10" s="49"/>
      </tp>
      <tp t="e">
        <v>#N/A</v>
        <stp/>
        <stp>##V3_BDHV12</stp>
        <stp>JPY1W BGN Curncy</stp>
        <stp>PX_LAST</stp>
        <stp>3/26/2019</stp>
        <stp>3/26/2019</stp>
        <stp>[Live Pricing.xlsm]FXFR!R70C4</stp>
        <tr r="D70" s="46"/>
      </tp>
      <tp t="e">
        <v>#N/A</v>
        <stp/>
        <stp>##V3_BDHV12</stp>
        <stp>BCN2Y BGN Curncy</stp>
        <stp>PX_LAST</stp>
        <stp>3/26/2019</stp>
        <stp>3/26/2019</stp>
        <stp>[Live Pricing.xlsm]FXFR!R13C4</stp>
        <tr r="D13" s="46"/>
      </tp>
      <tp t="e">
        <v>#N/A</v>
        <stp/>
        <stp>##V3_BDHV12</stp>
        <stp>BCN4Y BGN Curncy</stp>
        <stp>PX_LAST</stp>
        <stp>3/26/2019</stp>
        <stp>3/26/2019</stp>
        <stp>[Live Pricing.xlsm]FXFR!R15C4</stp>
        <tr r="D15" s="46"/>
      </tp>
      <tp t="e">
        <v>#N/A</v>
        <stp/>
        <stp>##V3_BDHV12</stp>
        <stp>BCN6Y BGN Curncy</stp>
        <stp>PX_LAST</stp>
        <stp>3/26/2019</stp>
        <stp>3/26/2019</stp>
        <stp>[Live Pricing.xlsm]FXFR!R17C4</stp>
        <tr r="D17" s="46"/>
      </tp>
      <tp t="e">
        <v>#N/A</v>
        <stp/>
        <stp>##V3_BDHV12</stp>
        <stp>BCN8Y BGN Curncy</stp>
        <stp>PX_LAST</stp>
        <stp>3/26/2019</stp>
        <stp>3/26/2019</stp>
        <stp>[Live Pricing.xlsm]FXFR!R19C4</stp>
        <tr r="D19" s="46"/>
      </tp>
      <tp t="e">
        <v>#N/A</v>
        <stp/>
        <stp>##V3_BDHV12</stp>
        <stp>USSW7 CMPN Curncy</stp>
        <stp>LAST_PRICE</stp>
        <stp>3/26/2019</stp>
        <stp>3/26/2019</stp>
        <stp>[Live Pricing.xlsm]Rate_History!R11C20</stp>
        <tr r="T11" s="49"/>
      </tp>
      <tp t="e">
        <v>#N/A</v>
        <stp/>
        <stp>##V3_BDHV12</stp>
        <stp>CAD1M BGN Curncy</stp>
        <stp>PX_LAST</stp>
        <stp>3/26/2019</stp>
        <stp>3/26/2019</stp>
        <stp>[Live Pricing.xlsm]FXFR!R93C4</stp>
        <tr r="D93" s="46"/>
      </tp>
      <tp t="e">
        <v>#N/A</v>
        <stp/>
        <stp>##V3_BDHV12</stp>
        <stp>CAD4M BGN Curncy</stp>
        <stp>PX_LAST</stp>
        <stp>3/26/2019</stp>
        <stp>3/26/2019</stp>
        <stp>[Live Pricing.xlsm]FXFR!R96C4</stp>
        <tr r="D96" s="46"/>
      </tp>
      <tp t="e">
        <v>#N/A</v>
        <stp/>
        <stp>##V3_BDHV12</stp>
        <stp>CAD5M BGN Curncy</stp>
        <stp>PX_LAST</stp>
        <stp>3/26/2019</stp>
        <stp>3/26/2019</stp>
        <stp>[Live Pricing.xlsm]FXFR!R97C4</stp>
        <tr r="D97" s="46"/>
      </tp>
      <tp t="e">
        <v>#N/A</v>
        <stp/>
        <stp>##V3_BDHV12</stp>
        <stp>GBP2M BGN Curncy</stp>
        <stp>PX_LAST</stp>
        <stp>3/26/2019</stp>
        <stp>3/26/2019</stp>
        <stp>[Live Pricing.xlsm]FXFR!R50C4</stp>
        <tr r="D50" s="46"/>
      </tp>
      <tp t="e">
        <v>#N/A</v>
        <stp/>
        <stp>##V3_BDHV12</stp>
        <stp>GBP3M BGN Curncy</stp>
        <stp>PX_LAST</stp>
        <stp>3/26/2019</stp>
        <stp>3/26/2019</stp>
        <stp>[Live Pricing.xlsm]FXFR!R51C4</stp>
        <tr r="D51" s="46"/>
      </tp>
      <tp t="e">
        <v>#N/A</v>
        <stp/>
        <stp>##V3_BDHV12</stp>
        <stp>GBP6M BGN Curncy</stp>
        <stp>PX_LAST</stp>
        <stp>3/26/2019</stp>
        <stp>3/26/2019</stp>
        <stp>[Live Pricing.xlsm]FXFR!R54C4</stp>
        <tr r="D54" s="46"/>
      </tp>
      <tp t="e">
        <v>#N/A</v>
        <stp/>
        <stp>##V3_BDHV12</stp>
        <stp>CAD1W BGN Curncy</stp>
        <stp>PX_LAST</stp>
        <stp>3/26/2019</stp>
        <stp>3/26/2019</stp>
        <stp>[Live Pricing.xlsm]FXFR!R92C4</stp>
        <tr r="D92" s="46"/>
      </tp>
      <tp t="e">
        <v>#N/A</v>
        <stp/>
        <stp>##V3_BDHV12</stp>
        <stp>JPY3Y BGN Curncy</stp>
        <stp>PX_LAST</stp>
        <stp>3/26/2019</stp>
        <stp>3/26/2019</stp>
        <stp>[Live Pricing.xlsm]FXFR!R80C4</stp>
        <tr r="D80" s="46"/>
      </tp>
      <tp t="e">
        <v>#N/A</v>
        <stp/>
        <stp>##V3_BDHV12</stp>
        <stp>JPY7Y BGN Curncy</stp>
        <stp>PX_LAST</stp>
        <stp>3/26/2019</stp>
        <stp>3/26/2019</stp>
        <stp>[Live Pricing.xlsm]FXFR!R84C4</stp>
        <tr r="D84" s="46"/>
      </tp>
      <tp t="e">
        <v>#N/A</v>
        <stp/>
        <stp>##V3_BDHV12</stp>
        <stp>EUR4Y BGN Curncy</stp>
        <stp>PX_LAST</stp>
        <stp>3/26/2019</stp>
        <stp>3/26/2019</stp>
        <stp>[Live Pricing.xlsm]FXFR!R37C4</stp>
        <tr r="D37" s="46"/>
      </tp>
      <tp t="e">
        <v>#N/A</v>
        <stp/>
        <stp>##V3_BDHV12</stp>
        <stp>BCN5Y BGN Curncy</stp>
        <stp>PX_LAST</stp>
        <stp>3/26/2019</stp>
        <stp>3/26/2019</stp>
        <stp>[Live Pricing.xlsm]FXFR!R16C4</stp>
        <tr r="D16" s="46"/>
      </tp>
      <tp t="e">
        <v>#N/A</v>
        <stp/>
        <stp>##V3_BDHV12</stp>
        <stp>YEM9 Comdty</stp>
        <stp>PX_LAST</stp>
        <stp>3/26/2019</stp>
        <stp>3/26/2019</stp>
        <stp>[Live Pricing.xlsm]Rate_History!R56C4</stp>
        <tr r="D56" s="49"/>
        <tr r="D56" s="49"/>
      </tp>
      <tp t="e">
        <v>#N/A</v>
        <stp/>
        <stp>##V3_BDHV12</stp>
        <stp>YEH0 Comdty</stp>
        <stp>PX_LAST</stp>
        <stp>3/26/2019</stp>
        <stp>3/26/2019</stp>
        <stp>[Live Pricing.xlsm]Rate_History!R63C4</stp>
        <tr r="D63" s="49"/>
      </tp>
      <tp t="e">
        <v>#N/A</v>
        <stp/>
        <stp>##V3_BDHV12</stp>
        <stp>EDH0 Comdty</stp>
        <stp>PX_LAST</stp>
        <stp>3/26/2019</stp>
        <stp>3/26/2019</stp>
        <stp>[Live Pricing.xlsm]Rate_History!R13C4</stp>
        <tr r="D13" s="49"/>
      </tp>
      <tp t="e">
        <v>#N/A</v>
        <stp/>
        <stp>##V3_BDPV12</stp>
        <stp>EDU8 Comdty</stp>
        <stp>PX_LAST</stp>
        <stp>[Live Pricing.xlsm]FX_Curve_Live!R6C4</stp>
        <tr r="D6" s="42"/>
        <tr r="D6" s="42"/>
      </tp>
      <tp t="e">
        <v>#N/A</v>
        <stp/>
        <stp>##V3_BDHV12</stp>
        <stp>EUR4M BGN Curncy</stp>
        <stp>PX_LAST</stp>
        <stp>3/26/2019</stp>
        <stp>3/26/2019</stp>
        <stp>[Live Pricing.xlsm]FXFR!R30C4</stp>
        <tr r="D30" s="46"/>
      </tp>
      <tp t="e">
        <v>#N/A</v>
        <stp/>
        <stp>##V3_BDHV12</stp>
        <stp>EUR5M BGN Curncy</stp>
        <stp>PX_LAST</stp>
        <stp>3/26/2019</stp>
        <stp>3/26/2019</stp>
        <stp>[Live Pricing.xlsm]FXFR!R31C4</stp>
        <tr r="D31" s="46"/>
      </tp>
      <tp t="e">
        <v>#N/A</v>
        <stp/>
        <stp>##V3_BDHV12</stp>
        <stp>EUR6M BGN Curncy</stp>
        <stp>PX_LAST</stp>
        <stp>3/26/2019</stp>
        <stp>3/26/2019</stp>
        <stp>[Live Pricing.xlsm]FXFR!R32C4</stp>
        <tr r="D32" s="46"/>
      </tp>
      <tp t="e">
        <v>#N/A</v>
        <stp/>
        <stp>##V3_BDPV12</stp>
        <stp>HASWDI5Y CMPN Curncy</stp>
        <stp>PX_LAST</stp>
        <stp>[Live Pricing.xlsm]Rate_History!R160C21</stp>
        <tr r="U160" s="49"/>
      </tp>
      <tp t="e">
        <v>#N/A</v>
        <stp/>
        <stp>##V3_BDPV12</stp>
        <stp>HASWDI4Y CMPN Curncy</stp>
        <stp>PX_LAST</stp>
        <stp>[Live Pricing.xlsm]Rate_History!R159C21</stp>
        <tr r="U159" s="49"/>
      </tp>
      <tp t="e">
        <v>#N/A</v>
        <stp/>
        <stp>##V3_BDPV12</stp>
        <stp>HASWDI7Y CMPN Curncy</stp>
        <stp>PX_LAST</stp>
        <stp>[Live Pricing.xlsm]Rate_History!R162C21</stp>
        <tr r="U162" s="49"/>
      </tp>
      <tp t="e">
        <v>#N/A</v>
        <stp/>
        <stp>##V3_BDPV12</stp>
        <stp>HASWDI6Y CMPN Curncy</stp>
        <stp>PX_LAST</stp>
        <stp>[Live Pricing.xlsm]Rate_History!R161C21</stp>
        <tr r="U161" s="49"/>
      </tp>
      <tp t="e">
        <v>#N/A</v>
        <stp/>
        <stp>##V3_BDPV12</stp>
        <stp>HASWDI1Y CMPN Curncy</stp>
        <stp>PX_LAST</stp>
        <stp>[Live Pricing.xlsm]Rate_History!R156C21</stp>
        <tr r="U156" s="49"/>
      </tp>
      <tp t="e">
        <v>#N/A</v>
        <stp/>
        <stp>##V3_BDPV12</stp>
        <stp>HASWDI3Y CMPN Curncy</stp>
        <stp>PX_LAST</stp>
        <stp>[Live Pricing.xlsm]Rate_History!R158C21</stp>
        <tr r="U158" s="49"/>
      </tp>
      <tp t="e">
        <v>#N/A</v>
        <stp/>
        <stp>##V3_BDPV12</stp>
        <stp>HASWDI2Y CMPN Curncy</stp>
        <stp>PX_LAST</stp>
        <stp>[Live Pricing.xlsm]Rate_History!R157C21</stp>
        <tr r="U157" s="49"/>
      </tp>
      <tp t="e">
        <v>#N/A</v>
        <stp/>
        <stp>##V3_BDPV12</stp>
        <stp>HASWDI9Y CMPN Curncy</stp>
        <stp>PX_LAST</stp>
        <stp>[Live Pricing.xlsm]Rate_History!R164C21</stp>
        <tr r="U164" s="49"/>
      </tp>
      <tp t="e">
        <v>#N/A</v>
        <stp/>
        <stp>##V3_BDPV12</stp>
        <stp>HASWDI8Y CMPN Curncy</stp>
        <stp>PX_LAST</stp>
        <stp>[Live Pricing.xlsm]Rate_History!R163C21</stp>
        <tr r="U163" s="49"/>
      </tp>
      <tp t="e">
        <v>#N/A</v>
        <stp/>
        <stp>##V3_BDHV12</stp>
        <stp>L M9 Comdty</stp>
        <stp>PX_LAST</stp>
        <stp>3/26/2019</stp>
        <stp>3/26/2019</stp>
        <stp>[Live Pricing.xlsm]Rate_History!R81C4</stp>
        <tr r="D81" s="49"/>
        <tr r="D81" s="49"/>
      </tp>
      <tp t="e">
        <v>#N/A</v>
        <stp/>
        <stp>##V3_BDHV12</stp>
        <stp>ERM9 Comdty</stp>
        <stp>PX_LAST</stp>
        <stp>3/26/2019</stp>
        <stp>3/26/2019</stp>
        <stp>[Live Pricing.xlsm]Rate_History!R31C4</stp>
        <tr r="D31" s="49"/>
        <tr r="D31" s="49"/>
      </tp>
      <tp t="e">
        <v>#N/A</v>
        <stp/>
        <stp>##V3_BDHV12</stp>
        <stp>L H0 Comdty</stp>
        <stp>PX_LAST</stp>
        <stp>3/26/2019</stp>
        <stp>3/26/2019</stp>
        <stp>[Live Pricing.xlsm]Rate_History!R84C4</stp>
        <tr r="D84" s="49"/>
      </tp>
      <tp t="e">
        <v>#N/A</v>
        <stp/>
        <stp>##V3_BDHV12</stp>
        <stp>ERH0 Comdty</stp>
        <stp>PX_LAST</stp>
        <stp>3/26/2019</stp>
        <stp>3/26/2019</stp>
        <stp>[Live Pricing.xlsm]Rate_History!R34C4</stp>
        <tr r="D34" s="49"/>
      </tp>
      <tp t="e">
        <v>#N/A</v>
        <stp/>
        <stp>##V3_BDHV12</stp>
        <stp>JPY4Y BGN Curncy</stp>
        <stp>PX_LAST</stp>
        <stp>3/26/2019</stp>
        <stp>3/26/2019</stp>
        <stp>[Live Pricing.xlsm]FXFR!R81C4</stp>
        <tr r="D81" s="46"/>
      </tp>
      <tp t="e">
        <v>#N/A</v>
        <stp/>
        <stp>##V3_BDHV12</stp>
        <stp>JPY6Y BGN Curncy</stp>
        <stp>PX_LAST</stp>
        <stp>3/26/2019</stp>
        <stp>3/26/2019</stp>
        <stp>[Live Pricing.xlsm]FXFR!R83C4</stp>
        <tr r="D83" s="46"/>
      </tp>
      <tp t="e">
        <v>#N/A</v>
        <stp/>
        <stp>##V3_BDHV12</stp>
        <stp>EUR3Y BGN Curncy</stp>
        <stp>PX_LAST</stp>
        <stp>3/26/2019</stp>
        <stp>3/26/2019</stp>
        <stp>[Live Pricing.xlsm]FXFR!R36C4</stp>
        <tr r="D36" s="46"/>
      </tp>
      <tp t="e">
        <v>#N/A</v>
        <stp/>
        <stp>##V3_BDHV12</stp>
        <stp>GBP2Y BGN Curncy</stp>
        <stp>PX_LAST</stp>
        <stp>3/26/2019</stp>
        <stp>3/26/2019</stp>
        <stp>[Live Pricing.xlsm]FXFR!R57C4</stp>
        <tr r="D57" s="46"/>
      </tp>
      <tp t="e">
        <v>#N/A</v>
        <stp/>
        <stp>##V3_BDHV12</stp>
        <stp>GBP5Y BGN Curncy</stp>
        <stp>PX_LAST</stp>
        <stp>3/26/2019</stp>
        <stp>3/26/2019</stp>
        <stp>[Live Pricing.xlsm]FXFR!R60C4</stp>
        <tr r="D60" s="46"/>
      </tp>
      <tp t="e">
        <v>#N/A</v>
        <stp/>
        <stp>##V3_BDHV12</stp>
        <stp>GBP7Y BGN Curncy</stp>
        <stp>PX_LAST</stp>
        <stp>3/26/2019</stp>
        <stp>3/26/2019</stp>
        <stp>[Live Pricing.xlsm]FXFR!R62C4</stp>
        <tr r="D62" s="46"/>
      </tp>
      <tp t="e">
        <v>#N/A</v>
        <stp/>
        <stp>##V3_BDHV12</stp>
        <stp>YEM0 Comdty</stp>
        <stp>PX_LAST</stp>
        <stp>3/26/2019</stp>
        <stp>3/26/2019</stp>
        <stp>[Live Pricing.xlsm]Rate_History!R60C4</stp>
        <tr r="D60" s="49"/>
      </tp>
      <tp t="e">
        <v>#N/A</v>
        <stp/>
        <stp>##V3_BDHV12</stp>
        <stp>EDM0 Comdty</stp>
        <stp>PX_LAST</stp>
        <stp>3/26/2019</stp>
        <stp>3/26/2019</stp>
        <stp>[Live Pricing.xlsm]Rate_History!R10C4</stp>
        <tr r="D10" s="49"/>
      </tp>
      <tp t="e">
        <v>#N/A</v>
        <stp/>
        <stp>##V3_BDPV12</stp>
        <stp>US00o/n Index</stp>
        <stp>PX_LAST</stp>
        <stp>[Live Pricing.xlsm]FX_Curve_Live!R6C2</stp>
        <tr r="B6" s="42"/>
      </tp>
      <tp t="e">
        <v>#N/A</v>
        <stp/>
        <stp>##V3_BDPV12</stp>
        <stp>CABROVER Index</stp>
        <stp>PX_LAST</stp>
        <stp>[Live Pricing.xlsm]FX_Curve_Live!R131C2</stp>
        <tr r="B131" s="42"/>
      </tp>
      <tp t="e">
        <v>#N/A</v>
        <stp/>
        <stp>##V3_BDPV12</stp>
        <stp>CLSWIBI Index</stp>
        <stp>PX_LAST</stp>
        <stp>[Live Pricing.xlsm]FX_Curve_Live!R185C2</stp>
        <tr r="B185" s="42"/>
      </tp>
      <tp t="e">
        <v>#N/A</v>
        <stp/>
        <stp>##V3_BDHV12</stp>
        <stp>BCN6M BGN Curncy</stp>
        <stp>PX_LAST</stp>
        <stp>3/26/2019</stp>
        <stp>3/26/2019</stp>
        <stp>[Live Pricing.xlsm]FXFR!R10C4</stp>
        <tr r="D10" s="46"/>
      </tp>
      <tp t="e">
        <v>#N/A</v>
        <stp/>
        <stp>##V3_BDHV12</stp>
        <stp>CAD2M BGN Curncy</stp>
        <stp>PX_LAST</stp>
        <stp>3/26/2019</stp>
        <stp>3/26/2019</stp>
        <stp>[Live Pricing.xlsm]FXFR!R94C4</stp>
        <tr r="D94" s="46"/>
      </tp>
      <tp t="e">
        <v>#N/A</v>
        <stp/>
        <stp>##V3_BDHV12</stp>
        <stp>CAD3M BGN Curncy</stp>
        <stp>PX_LAST</stp>
        <stp>3/26/2019</stp>
        <stp>3/26/2019</stp>
        <stp>[Live Pricing.xlsm]FXFR!R95C4</stp>
        <tr r="D95" s="46"/>
      </tp>
      <tp t="e">
        <v>#N/A</v>
        <stp/>
        <stp>##V3_BDHV12</stp>
        <stp>EUR1M BGN Curncy</stp>
        <stp>PX_LAST</stp>
        <stp>3/26/2019</stp>
        <stp>3/26/2019</stp>
        <stp>[Live Pricing.xlsm]FXFR!R27C4</stp>
        <tr r="D27" s="46"/>
      </tp>
      <tp t="e">
        <v>#N/A</v>
        <stp/>
        <stp>##V3_BDHV12</stp>
        <stp>GBP4M BGN Curncy</stp>
        <stp>PX_LAST</stp>
        <stp>3/26/2019</stp>
        <stp>3/26/2019</stp>
        <stp>[Live Pricing.xlsm]FXFR!R52C4</stp>
        <tr r="D52" s="46"/>
      </tp>
      <tp t="e">
        <v>#N/A</v>
        <stp/>
        <stp>##V3_BDHV12</stp>
        <stp>GBP5M BGN Curncy</stp>
        <stp>PX_LAST</stp>
        <stp>3/26/2019</stp>
        <stp>3/26/2019</stp>
        <stp>[Live Pricing.xlsm]FXFR!R53C4</stp>
        <tr r="D53" s="46"/>
      </tp>
      <tp t="e">
        <v>#N/A</v>
        <stp/>
        <stp>##V3_BDHV12</stp>
        <stp>SF0002M Index</stp>
        <stp>PX_LAST</stp>
        <stp>3/26/2019</stp>
        <stp>3/26/2019</stp>
        <stp>[Live Pricing.xlsm]Rate_History!R108C2</stp>
        <tr r="B108" s="49"/>
        <tr r="B108" s="49"/>
      </tp>
      <tp t="e">
        <v>#N/A</v>
        <stp/>
        <stp>##V3_BDHV12</stp>
        <stp>SF0003M Index</stp>
        <stp>PX_LAST</stp>
        <stp>3/26/2019</stp>
        <stp>3/26/2019</stp>
        <stp>[Live Pricing.xlsm]Rate_History!R109C2</stp>
        <tr r="B109" s="49"/>
      </tp>
      <tp t="e">
        <v>#N/A</v>
        <stp/>
        <stp>##V3_BDHV12</stp>
        <stp>JPY5Y BGN Curncy</stp>
        <stp>PX_LAST</stp>
        <stp>3/26/2019</stp>
        <stp>3/26/2019</stp>
        <stp>[Live Pricing.xlsm]FXFR!R82C4</stp>
        <tr r="D82" s="46"/>
      </tp>
      <tp t="e">
        <v>#N/A</v>
        <stp/>
        <stp>##V3_BDHV12</stp>
        <stp>EUR1W BGN Curncy</stp>
        <stp>PX_LAST</stp>
        <stp>3/26/2019</stp>
        <stp>3/26/2019</stp>
        <stp>[Live Pricing.xlsm]FXFR!R26C4</stp>
        <tr r="D26" s="46"/>
      </tp>
      <tp t="e">
        <v>#N/A</v>
        <stp/>
        <stp>##V3_BDHV12</stp>
        <stp>EUR2Y BGN Curncy</stp>
        <stp>PX_LAST</stp>
        <stp>3/26/2019</stp>
        <stp>3/26/2019</stp>
        <stp>[Live Pricing.xlsm]FXFR!R35C4</stp>
        <tr r="D35" s="46"/>
      </tp>
      <tp t="e">
        <v>#N/A</v>
        <stp/>
        <stp>##V3_BDHV12</stp>
        <stp>EUR7Y BGN Curncy</stp>
        <stp>PX_LAST</stp>
        <stp>3/26/2019</stp>
        <stp>3/26/2019</stp>
        <stp>[Live Pricing.xlsm]FXFR!R40C4</stp>
        <tr r="D40" s="46"/>
      </tp>
      <tp t="e">
        <v>#N/A</v>
        <stp/>
        <stp>##V3_BDHV12</stp>
        <stp>GBP6Y BGN Curncy</stp>
        <stp>PX_LAST</stp>
        <stp>3/26/2019</stp>
        <stp>3/26/2019</stp>
        <stp>[Live Pricing.xlsm]FXFR!R61C4</stp>
        <tr r="D61" s="46"/>
      </tp>
      <tp t="e">
        <v>#N/A</v>
        <stp/>
        <stp>##V3_BDHV12</stp>
        <stp>BCN3Y BGN Curncy</stp>
        <stp>PX_LAST</stp>
        <stp>3/26/2019</stp>
        <stp>3/26/2019</stp>
        <stp>[Live Pricing.xlsm]FXFR!R14C4</stp>
        <tr r="D14" s="46"/>
      </tp>
      <tp t="e">
        <v>#N/A</v>
        <stp/>
        <stp>##V3_BDHV12</stp>
        <stp>US0006m Index</stp>
        <stp>PX_LAST</stp>
        <stp>3/26/2019</stp>
        <stp>3/26/2019</stp>
        <stp>[Live Pricing.xlsm]FX_Curve_History!R10C2</stp>
        <tr r="B10" s="50"/>
      </tp>
      <tp t="e">
        <v>#N/A</v>
        <stp/>
        <stp>##V3_BDHV12</stp>
        <stp>US0012m Index</stp>
        <stp>PX_LAST</stp>
        <stp>3/26/2019</stp>
        <stp>3/26/2019</stp>
        <stp>[Live Pricing.xlsm]FX_Curve_History!R11C2</stp>
        <tr r="B11" s="50"/>
      </tp>
      <tp t="e">
        <v>#N/A</v>
        <stp/>
        <stp>##V3_BDPV12</stp>
        <stp>CDSW10 Index</stp>
        <stp>PX_LAST</stp>
        <stp>[Live Pricing.xlsm]FX_Curve_Live!R139C6</stp>
        <tr r="F139" s="42"/>
      </tp>
      <tp t="e">
        <v>#N/A</v>
        <stp/>
        <stp>##V3_BDPV12</stp>
        <stp>EUSA7 Index</stp>
        <stp>PX_LAST</stp>
        <stp>[Live Pricing.xlsm]FX_Curve_Live!R36C6</stp>
        <tr r="F36" s="42"/>
      </tp>
      <tp t="e">
        <v>#N/A</v>
        <stp/>
        <stp>##V3_BDHV12</stp>
        <stp>USONC15 ICPL curncy</stp>
        <stp>PX_LAST</stp>
        <stp>3/26/2019</stp>
        <stp>3/26/2019</stp>
        <stp>[Live Pricing.xlsm]Vol_Surface!R12C7</stp>
        <tr r="G12" s="53"/>
      </tp>
      <tp t="e">
        <v>#N/A</v>
        <stp/>
        <stp>##V3_BDHV12</stp>
        <stp>USONB15 ICPL curncy</stp>
        <stp>PX_LAST</stp>
        <stp>3/26/2019</stp>
        <stp>3/26/2019</stp>
        <stp>[Live Pricing.xlsm]Vol_Surface!R12C6</stp>
        <tr r="F12" s="53"/>
      </tp>
      <tp t="e">
        <v>#N/A</v>
        <stp/>
        <stp>##V3_BDHV12</stp>
        <stp>USONA15 ICPL curncy</stp>
        <stp>PX_LAST</stp>
        <stp>3/26/2019</stp>
        <stp>3/26/2019</stp>
        <stp>[Live Pricing.xlsm]Vol_Surface!R12C5</stp>
        <tr r="E12" s="53"/>
      </tp>
      <tp t="e">
        <v>#N/A</v>
        <stp/>
        <stp>##V3_BDHV12</stp>
        <stp>USONZ15 ICPL curncy</stp>
        <stp>PX_LAST</stp>
        <stp>3/26/2019</stp>
        <stp>3/26/2019</stp>
        <stp>[Live Pricing.xlsm]Vol_Surface!R12C4</stp>
        <tr r="D12" s="53"/>
      </tp>
      <tp t="e">
        <v>#N/A</v>
        <stp/>
        <stp>##V3_BDHV12</stp>
        <stp>USONY15 ICPL curncy</stp>
        <stp>PX_LAST</stp>
        <stp>3/26/2019</stp>
        <stp>3/26/2019</stp>
        <stp>[Live Pricing.xlsm]Vol_Surface!R12C3</stp>
        <tr r="C12" s="53"/>
      </tp>
      <tp t="e">
        <v>#N/A</v>
        <stp/>
        <stp>##V3_BDHV12</stp>
        <stp>USONX15 ICPL curncy</stp>
        <stp>PX_LAST</stp>
        <stp>3/26/2019</stp>
        <stp>3/26/2019</stp>
        <stp>[Live Pricing.xlsm]Vol_Surface!R12C2</stp>
        <tr r="B12" s="53"/>
      </tp>
      <tp t="e">
        <v>#N/A</v>
        <stp/>
        <stp>##V3_BDHV12</stp>
        <stp>USONE15 ICPL curncy</stp>
        <stp>PX_LAST</stp>
        <stp>3/26/2019</stp>
        <stp>3/26/2019</stp>
        <stp>[Live Pricing.xlsm]Vol_Surface!R12C9</stp>
        <tr r="I12" s="53"/>
      </tp>
      <tp t="e">
        <v>#N/A</v>
        <stp/>
        <stp>##V3_BDHV12</stp>
        <stp>USOND15 ICPL curncy</stp>
        <stp>PX_LAST</stp>
        <stp>3/26/2019</stp>
        <stp>3/26/2019</stp>
        <stp>[Live Pricing.xlsm]Vol_Surface!R12C8</stp>
        <tr r="H12" s="53"/>
      </tp>
      <tp t="e">
        <v>#N/A</v>
        <stp/>
        <stp>##V3_BDPV12</stp>
        <stp>US0006m Index</stp>
        <stp>PX_LAST</stp>
        <stp>[Live Pricing.xlsm]Rate_Live!R10C2</stp>
        <tr r="B10" s="39"/>
      </tp>
      <tp t="e">
        <v>#N/A</v>
        <stp/>
        <stp>##V3_BDPV12</stp>
        <stp>BPSW15 Index</stp>
        <stp>PX_LAST</stp>
        <stp>[Live Pricing.xlsm]Rate_Live!R94C6</stp>
        <tr r="F94" s="39"/>
      </tp>
      <tp t="e">
        <v>#N/A</v>
        <stp/>
        <stp>##V3_BDPV12</stp>
        <stp>EUSA14 Index</stp>
        <stp>PX_LAST</stp>
        <stp>[Live Pricing.xlsm]Rate_Live!R43C6</stp>
        <tr r="F43" s="39"/>
      </tp>
      <tp t="e">
        <v>#N/A</v>
        <stp/>
        <stp>##V3_BDPV12</stp>
        <stp>BPSW20 Index</stp>
        <stp>PX_LAST</stp>
        <stp>[Live Pricing.xlsm]Rate_Live!R97C6</stp>
        <tr r="F97" s="39"/>
      </tp>
      <tp t="e">
        <v>#N/A</v>
        <stp/>
        <stp>##V3_BDPV12</stp>
        <stp>SFSW4 Index</stp>
        <stp>PX_LAST</stp>
        <stp>[Live Pricing.xlsm]FX_Curve_Live!R108C6</stp>
        <tr r="F108" s="42"/>
      </tp>
      <tp t="e">
        <v>#N/A</v>
        <stp/>
        <stp>##V3_BDPV12</stp>
        <stp>SFSW5 Index</stp>
        <stp>PX_LAST</stp>
        <stp>[Live Pricing.xlsm]FX_Curve_Live!R109C6</stp>
        <tr r="F109" s="42"/>
      </tp>
      <tp t="e">
        <v>#N/A</v>
        <stp/>
        <stp>##V3_BDPV12</stp>
        <stp>EUSA8 Index</stp>
        <stp>PX_LAST</stp>
        <stp>[Live Pricing.xlsm]FX_Curve_Live!R37C6</stp>
        <tr r="F37" s="42"/>
      </tp>
      <tp t="e">
        <v>#N/A</v>
        <stp/>
        <stp>##V3_BDPV12</stp>
        <stp>BP0012M Index</stp>
        <stp>PX_LAST</stp>
        <stp>[Live Pricing.xlsm]Rate_Live!R86C2</stp>
        <tr r="B86" s="39"/>
      </tp>
      <tp t="e">
        <v>#N/A</v>
        <stp/>
        <stp>##V3_BDPV12</stp>
        <stp>BPSW16 Index</stp>
        <stp>PX_LAST</stp>
        <stp>[Live Pricing.xlsm]Rate_Live!R95C6</stp>
        <tr r="F95" s="39"/>
      </tp>
      <tp t="e">
        <v>#N/A</v>
        <stp/>
        <stp>##V3_BDPV12</stp>
        <stp>EUSA13 Index</stp>
        <stp>PX_LAST</stp>
        <stp>[Live Pricing.xlsm]Rate_Live!R42C6</stp>
        <tr r="F42" s="39"/>
      </tp>
      <tp t="e">
        <v>#N/A</v>
        <stp/>
        <stp>##V3_BDPV12</stp>
        <stp>EUR002m Index</stp>
        <stp>PX_LAST</stp>
        <stp>[Live Pricing.xlsm]Rate_Live!R33C2</stp>
        <tr r="B33" s="39"/>
        <tr r="B33" s="39"/>
      </tp>
      <tp t="e">
        <v>#N/A</v>
        <stp/>
        <stp>##V3_BDPV12</stp>
        <stp>BP0003M Index</stp>
        <stp>PX_LAST</stp>
        <stp>[Live Pricing.xlsm]Rate_Live!R84C2</stp>
        <tr r="B84" s="39"/>
      </tp>
      <tp t="e">
        <v>#N/A</v>
        <stp/>
        <stp>##V3_BDPV12</stp>
        <stp>EUSA5 Index</stp>
        <stp>PX_LAST</stp>
        <stp>[Live Pricing.xlsm]FX_Curve_Live!R34C6</stp>
        <tr r="F34" s="42"/>
      </tp>
      <tp t="e">
        <v>#N/A</v>
        <stp/>
        <stp>##V3_BDHV12</stp>
        <stp>USONC10 ICPL curncy</stp>
        <stp>PX_LAST</stp>
        <stp>3/26/2019</stp>
        <stp>3/26/2019</stp>
        <stp>[Live Pricing.xlsm]Vol_Surface!R10C7</stp>
        <tr r="G10" s="53"/>
      </tp>
      <tp t="e">
        <v>#N/A</v>
        <stp/>
        <stp>##V3_BDHV12</stp>
        <stp>USONC20 ICPL curncy</stp>
        <stp>PX_LAST</stp>
        <stp>3/26/2019</stp>
        <stp>3/26/2019</stp>
        <stp>[Live Pricing.xlsm]Vol_Surface!R13C7</stp>
        <tr r="G13" s="53"/>
      </tp>
      <tp t="e">
        <v>#N/A</v>
        <stp/>
        <stp>##V3_BDHV12</stp>
        <stp>USONB10 ICPL curncy</stp>
        <stp>PX_LAST</stp>
        <stp>3/26/2019</stp>
        <stp>3/26/2019</stp>
        <stp>[Live Pricing.xlsm]Vol_Surface!R10C6</stp>
        <tr r="F10" s="53"/>
      </tp>
      <tp t="e">
        <v>#N/A</v>
        <stp/>
        <stp>##V3_BDHV12</stp>
        <stp>USONB20 ICPL curncy</stp>
        <stp>PX_LAST</stp>
        <stp>3/26/2019</stp>
        <stp>3/26/2019</stp>
        <stp>[Live Pricing.xlsm]Vol_Surface!R13C6</stp>
        <tr r="F13" s="53"/>
      </tp>
      <tp t="e">
        <v>#N/A</v>
        <stp/>
        <stp>##V3_BDHV12</stp>
        <stp>USONA10 ICPL curncy</stp>
        <stp>PX_LAST</stp>
        <stp>3/26/2019</stp>
        <stp>3/26/2019</stp>
        <stp>[Live Pricing.xlsm]Vol_Surface!R10C5</stp>
        <tr r="E10" s="53"/>
      </tp>
      <tp t="e">
        <v>#N/A</v>
        <stp/>
        <stp>##V3_BDHV12</stp>
        <stp>USONA20 ICPL curncy</stp>
        <stp>PX_LAST</stp>
        <stp>3/26/2019</stp>
        <stp>3/26/2019</stp>
        <stp>[Live Pricing.xlsm]Vol_Surface!R13C5</stp>
        <tr r="E13" s="53"/>
      </tp>
      <tp t="e">
        <v>#N/A</v>
        <stp/>
        <stp>##V3_BDHV12</stp>
        <stp>USONZ10 ICPL curncy</stp>
        <stp>PX_LAST</stp>
        <stp>3/26/2019</stp>
        <stp>3/26/2019</stp>
        <stp>[Live Pricing.xlsm]Vol_Surface!R10C4</stp>
        <tr r="D10" s="53"/>
      </tp>
      <tp t="e">
        <v>#N/A</v>
        <stp/>
        <stp>##V3_BDHV12</stp>
        <stp>USONZ20 ICPL curncy</stp>
        <stp>PX_LAST</stp>
        <stp>3/26/2019</stp>
        <stp>3/26/2019</stp>
        <stp>[Live Pricing.xlsm]Vol_Surface!R13C4</stp>
        <tr r="D13" s="53"/>
      </tp>
      <tp t="e">
        <v>#N/A</v>
        <stp/>
        <stp>##V3_BDHV12</stp>
        <stp>USONY10 ICPL curncy</stp>
        <stp>PX_LAST</stp>
        <stp>3/26/2019</stp>
        <stp>3/26/2019</stp>
        <stp>[Live Pricing.xlsm]Vol_Surface!R10C3</stp>
        <tr r="C10" s="53"/>
      </tp>
      <tp t="e">
        <v>#N/A</v>
        <stp/>
        <stp>##V3_BDHV12</stp>
        <stp>USONY20 ICPL curncy</stp>
        <stp>PX_LAST</stp>
        <stp>3/26/2019</stp>
        <stp>3/26/2019</stp>
        <stp>[Live Pricing.xlsm]Vol_Surface!R13C3</stp>
        <tr r="C13" s="53"/>
      </tp>
      <tp t="e">
        <v>#N/A</v>
        <stp/>
        <stp>##V3_BDHV12</stp>
        <stp>USONX10 ICPL curncy</stp>
        <stp>PX_LAST</stp>
        <stp>3/26/2019</stp>
        <stp>3/26/2019</stp>
        <stp>[Live Pricing.xlsm]Vol_Surface!R10C2</stp>
        <tr r="B10" s="53"/>
      </tp>
      <tp t="e">
        <v>#N/A</v>
        <stp/>
        <stp>##V3_BDHV12</stp>
        <stp>USONX20 ICPL curncy</stp>
        <stp>PX_LAST</stp>
        <stp>3/26/2019</stp>
        <stp>3/26/2019</stp>
        <stp>[Live Pricing.xlsm]Vol_Surface!R13C2</stp>
        <tr r="B13" s="53"/>
      </tp>
      <tp t="e">
        <v>#N/A</v>
        <stp/>
        <stp>##V3_BDHV12</stp>
        <stp>USONE10 ICPL curncy</stp>
        <stp>PX_LAST</stp>
        <stp>3/26/2019</stp>
        <stp>3/26/2019</stp>
        <stp>[Live Pricing.xlsm]Vol_Surface!R10C9</stp>
        <tr r="I10" s="53"/>
      </tp>
      <tp t="e">
        <v>#N/A</v>
        <stp/>
        <stp>##V3_BDHV12</stp>
        <stp>USONE20 ICPL curncy</stp>
        <stp>PX_LAST</stp>
        <stp>3/26/2019</stp>
        <stp>3/26/2019</stp>
        <stp>[Live Pricing.xlsm]Vol_Surface!R13C9</stp>
        <tr r="I13" s="53"/>
      </tp>
      <tp t="e">
        <v>#N/A</v>
        <stp/>
        <stp>##V3_BDHV12</stp>
        <stp>USOND10 ICPL curncy</stp>
        <stp>PX_LAST</stp>
        <stp>3/26/2019</stp>
        <stp>3/26/2019</stp>
        <stp>[Live Pricing.xlsm]Vol_Surface!R10C8</stp>
        <tr r="H10" s="53"/>
      </tp>
      <tp t="e">
        <v>#N/A</v>
        <stp/>
        <stp>##V3_BDHV12</stp>
        <stp>USOND20 ICPL curncy</stp>
        <stp>PX_LAST</stp>
        <stp>3/26/2019</stp>
        <stp>3/26/2019</stp>
        <stp>[Live Pricing.xlsm]Vol_Surface!R13C8</stp>
        <tr r="H13" s="53"/>
      </tp>
      <tp t="e">
        <v>#N/A</v>
        <stp/>
        <stp>##V3_BDPV12</stp>
        <stp>ESH9 Comdty</stp>
        <stp>PX_LAST</stp>
        <stp>[Live Pricing.xlsm]FX_Curve_Live!R108C4</stp>
        <tr r="D108" s="42"/>
      </tp>
      <tp t="e">
        <v>#N/A</v>
        <stp/>
        <stp>##V3_BDPV12</stp>
        <stp>BPSW17 Index</stp>
        <stp>PX_LAST</stp>
        <stp>[Live Pricing.xlsm]Rate_Live!R96C6</stp>
        <tr r="F96" s="39"/>
      </tp>
      <tp t="e">
        <v>#N/A</v>
        <stp/>
        <stp>##V3_BDPV12</stp>
        <stp>EUSA12 Index</stp>
        <stp>PX_LAST</stp>
        <stp>[Live Pricing.xlsm]Rate_Live!R41C6</stp>
        <tr r="F41" s="39"/>
      </tp>
      <tp t="e">
        <v>#N/A</v>
        <stp/>
        <stp>##V3_BDHV12</stp>
        <stp>CHF5M BGN Curncy</stp>
        <stp>PX_LAST</stp>
        <stp>3/26/2019</stp>
        <stp>3/26/2019</stp>
        <stp>[Live Pricing.xlsm]FXFR!R119C4</stp>
        <tr r="D119" s="46"/>
      </tp>
      <tp t="e">
        <v>#N/A</v>
        <stp/>
        <stp>##V3_BDPV12</stp>
        <stp>EUSA6 Index</stp>
        <stp>PX_LAST</stp>
        <stp>[Live Pricing.xlsm]FX_Curve_Live!R35C6</stp>
        <tr r="F35" s="42"/>
      </tp>
      <tp t="e">
        <v>#N/A</v>
        <stp/>
        <stp>##V3_BDHV12</stp>
        <stp>USONC12 ICPL curncy</stp>
        <stp>PX_LAST</stp>
        <stp>3/26/2019</stp>
        <stp>3/26/2019</stp>
        <stp>[Live Pricing.xlsm]Vol_Surface!R11C7</stp>
        <tr r="G11" s="53"/>
      </tp>
      <tp t="e">
        <v>#N/A</v>
        <stp/>
        <stp>##V3_BDHV12</stp>
        <stp>USONB12 ICPL curncy</stp>
        <stp>PX_LAST</stp>
        <stp>3/26/2019</stp>
        <stp>3/26/2019</stp>
        <stp>[Live Pricing.xlsm]Vol_Surface!R11C6</stp>
        <tr r="F11" s="53"/>
      </tp>
      <tp t="e">
        <v>#N/A</v>
        <stp/>
        <stp>##V3_BDHV12</stp>
        <stp>USONA12 ICPL curncy</stp>
        <stp>PX_LAST</stp>
        <stp>3/26/2019</stp>
        <stp>3/26/2019</stp>
        <stp>[Live Pricing.xlsm]Vol_Surface!R11C5</stp>
        <tr r="E11" s="53"/>
      </tp>
      <tp t="e">
        <v>#N/A</v>
        <stp/>
        <stp>##V3_BDHV12</stp>
        <stp>USONZ12 ICPL curncy</stp>
        <stp>PX_LAST</stp>
        <stp>3/26/2019</stp>
        <stp>3/26/2019</stp>
        <stp>[Live Pricing.xlsm]Vol_Surface!R11C4</stp>
        <tr r="D11" s="53"/>
      </tp>
      <tp t="e">
        <v>#N/A</v>
        <stp/>
        <stp>##V3_BDHV12</stp>
        <stp>USONY12 ICPL curncy</stp>
        <stp>PX_LAST</stp>
        <stp>3/26/2019</stp>
        <stp>3/26/2019</stp>
        <stp>[Live Pricing.xlsm]Vol_Surface!R11C3</stp>
        <tr r="C11" s="53"/>
      </tp>
      <tp t="e">
        <v>#N/A</v>
        <stp/>
        <stp>##V3_BDHV12</stp>
        <stp>USONX12 ICPL curncy</stp>
        <stp>PX_LAST</stp>
        <stp>3/26/2019</stp>
        <stp>3/26/2019</stp>
        <stp>[Live Pricing.xlsm]Vol_Surface!R11C2</stp>
        <tr r="B11" s="53"/>
      </tp>
      <tp t="e">
        <v>#N/A</v>
        <stp/>
        <stp>##V3_BDHV12</stp>
        <stp>USONE12 ICPL curncy</stp>
        <stp>PX_LAST</stp>
        <stp>3/26/2019</stp>
        <stp>3/26/2019</stp>
        <stp>[Live Pricing.xlsm]Vol_Surface!R11C9</stp>
        <tr r="I11" s="53"/>
      </tp>
      <tp t="e">
        <v>#N/A</v>
        <stp/>
        <stp>##V3_BDHV12</stp>
        <stp>USOND12 ICPL curncy</stp>
        <stp>PX_LAST</stp>
        <stp>3/26/2019</stp>
        <stp>3/26/2019</stp>
        <stp>[Live Pricing.xlsm]Vol_Surface!R11C8</stp>
        <tr r="H11" s="53"/>
      </tp>
      <tp t="e">
        <v>#N/A</v>
        <stp/>
        <stp>##V3_BDHV12</stp>
        <stp>CLSWIB15 CMPN Index</stp>
        <stp>LAST_PRICE</stp>
        <stp>3/26/2019</stp>
        <stp>3/26/2019</stp>
        <stp>[Live Pricing.xlsm]Rate_History!R194C20</stp>
        <tr r="T194" s="49"/>
      </tp>
      <tp t="e">
        <v>#N/A</v>
        <stp/>
        <stp>##V3_BDPV12</stp>
        <stp>ESM9 Comdty</stp>
        <stp>PX_LAST</stp>
        <stp>[Live Pricing.xlsm]FX_Curve_Live!R109C4</stp>
        <tr r="D109" s="42"/>
      </tp>
      <tp t="e">
        <v>#N/A</v>
        <stp/>
        <stp>##V3_BDPV12</stp>
        <stp>EUSA11 Index</stp>
        <stp>PX_LAST</stp>
        <stp>[Live Pricing.xlsm]Rate_Live!R40C6</stp>
        <tr r="F40" s="39"/>
      </tp>
      <tp t="e">
        <v>#N/A</v>
        <stp/>
        <stp>##V3_BDHV12</stp>
        <stp>CHF4M BGN Curncy</stp>
        <stp>PX_LAST</stp>
        <stp>3/26/2019</stp>
        <stp>3/26/2019</stp>
        <stp>[Live Pricing.xlsm]FXFR!R118C4</stp>
        <tr r="D118" s="46"/>
      </tp>
      <tp t="e">
        <v>#N/A</v>
        <stp/>
        <stp>##V3_BDPV12</stp>
        <stp>EUR001m Index</stp>
        <stp>PX_LAST</stp>
        <stp>[Live Pricing.xlsm]Rate_Live!R32C2</stp>
        <tr r="B32" s="39"/>
      </tp>
      <tp t="e">
        <v>#N/A</v>
        <stp/>
        <stp>##V3_BDPV12</stp>
        <stp>EUR006m Index</stp>
        <stp>PX_LAST</stp>
        <stp>[Live Pricing.xlsm]Rate_Live!R35C2</stp>
        <tr r="B35" s="39"/>
      </tp>
      <tp t="e">
        <v>#N/A</v>
        <stp/>
        <stp>##V3_BDPV12</stp>
        <stp>BP0002M Index</stp>
        <stp>PX_LAST</stp>
        <stp>[Live Pricing.xlsm]Rate_Live!R83C2</stp>
        <tr r="B83" s="39"/>
      </tp>
      <tp t="e">
        <v>#N/A</v>
        <stp/>
        <stp>##V3_BDPV12</stp>
        <stp>EUSA3 Index</stp>
        <stp>PX_LAST</stp>
        <stp>[Live Pricing.xlsm]FX_Curve_Live!R32C6</stp>
        <tr r="F32" s="42"/>
      </tp>
      <tp t="e">
        <v>#N/A</v>
        <stp/>
        <stp>##V3_BDHV12</stp>
        <stp>CLSWIB12 CMPN Index</stp>
        <stp>LAST_PRICE</stp>
        <stp>3/26/2019</stp>
        <stp>3/26/2019</stp>
        <stp>[Live Pricing.xlsm]Rate_History!R191C20</stp>
        <tr r="T191" s="49"/>
      </tp>
      <tp t="e">
        <v>#N/A</v>
        <stp/>
        <stp>##V3_BDPV12</stp>
        <stp>BPSW11 Index</stp>
        <stp>PX_LAST</stp>
        <stp>[Live Pricing.xlsm]Rate_Live!R90C6</stp>
        <tr r="F90" s="39"/>
      </tp>
      <tp t="e">
        <v>#N/A</v>
        <stp/>
        <stp>##V3_BDPV12</stp>
        <stp>EUR012m Index</stp>
        <stp>PX_LAST</stp>
        <stp>[Live Pricing.xlsm]Rate_Live!R36C2</stp>
        <tr r="B36" s="39"/>
      </tp>
      <tp t="e">
        <v>#N/A</v>
        <stp/>
        <stp>##V3_BDPV12</stp>
        <stp>JYSW14 Index</stp>
        <stp>PX_LAST</stp>
        <stp>[Live Pricing.xlsm]Rate_Live!R68C6</stp>
        <tr r="F68" s="39"/>
      </tp>
      <tp t="e">
        <v>#N/A</v>
        <stp/>
        <stp>##V3_BDHV12</stp>
        <stp>BPSW9 CMPN Curncy</stp>
        <stp>Close</stp>
        <stp>03/26/2019 11:15:00</stp>
        <stp>03/26/2019 11:16:00</stp>
        <stp>[Live Pricing.xlsm]Rate_History!R88C18</stp>
        <stp>BarType</stp>
        <stp>T</stp>
        <stp>Dir=V</stp>
        <stp>cols=2;rows=1</stp>
        <tr r="R88" s="49"/>
      </tp>
      <tp t="e">
        <v>#N/A</v>
        <stp/>
        <stp>##V3_BDHV12</stp>
        <stp>BPSW2 CMPN Curncy</stp>
        <stp>Close</stp>
        <stp>03/26/2019 11:15:00</stp>
        <stp>03/26/2019 11:16:00</stp>
        <stp>[Live Pricing.xlsm]Rate_History!R81C18</stp>
        <stp>BarType</stp>
        <stp>T</stp>
        <stp>Dir=V</stp>
        <stp>cols=2;rows=1</stp>
        <tr r="R81" s="49"/>
      </tp>
      <tp t="e">
        <v>#N/A</v>
        <stp/>
        <stp>##V3_BDHV12</stp>
        <stp>BPSW3 CMPN Curncy</stp>
        <stp>Close</stp>
        <stp>03/26/2019 11:15:00</stp>
        <stp>03/26/2019 11:16:00</stp>
        <stp>[Live Pricing.xlsm]Rate_History!R82C18</stp>
        <stp>BarType</stp>
        <stp>T</stp>
        <stp>Dir=V</stp>
        <stp>cols=2;rows=1</stp>
        <tr r="R82" s="49"/>
      </tp>
      <tp t="e">
        <v>#N/A</v>
        <stp/>
        <stp>##V3_BDHV12</stp>
        <stp>BPSW4 CMPN Curncy</stp>
        <stp>Close</stp>
        <stp>03/26/2019 11:15:00</stp>
        <stp>03/26/2019 11:16:00</stp>
        <stp>[Live Pricing.xlsm]Rate_History!R83C18</stp>
        <stp>BarType</stp>
        <stp>T</stp>
        <stp>Dir=V</stp>
        <stp>cols=2;rows=1</stp>
        <tr r="R83" s="49"/>
      </tp>
      <tp t="e">
        <v>#N/A</v>
        <stp/>
        <stp>##V3_BDHV12</stp>
        <stp>CORRRMIN Index</stp>
        <stp>PX_LAST</stp>
        <stp>3/26/2019</stp>
        <stp>3/26/2019</stp>
        <stp>[Live Pricing.xlsm]Rate_History!R181C2</stp>
        <tr r="B181" s="49"/>
      </tp>
      <tp t="e">
        <v>#N/A</v>
        <stp/>
        <stp>##V3_BDHV12</stp>
        <stp>BPSW5 CMPN Curncy</stp>
        <stp>Close</stp>
        <stp>03/26/2019 11:15:00</stp>
        <stp>03/26/2019 11:16:00</stp>
        <stp>[Live Pricing.xlsm]Rate_History!R84C18</stp>
        <stp>BarType</stp>
        <stp>T</stp>
        <stp>Dir=V</stp>
        <stp>cols=2;rows=1</stp>
        <tr r="R84" s="49"/>
      </tp>
      <tp t="e">
        <v>#N/A</v>
        <stp/>
        <stp>##V3_BDHV12</stp>
        <stp>BPSW6 CMPN Curncy</stp>
        <stp>Close</stp>
        <stp>03/26/2019 11:15:00</stp>
        <stp>03/26/2019 11:16:00</stp>
        <stp>[Live Pricing.xlsm]Rate_History!R85C18</stp>
        <stp>BarType</stp>
        <stp>T</stp>
        <stp>Dir=V</stp>
        <stp>cols=2;rows=1</stp>
        <tr r="R85" s="49"/>
      </tp>
      <tp t="e">
        <v>#N/A</v>
        <stp/>
        <stp>##V3_BDHV12</stp>
        <stp>BPSW7 CMPN Curncy</stp>
        <stp>Close</stp>
        <stp>03/26/2019 11:15:00</stp>
        <stp>03/26/2019 11:16:00</stp>
        <stp>[Live Pricing.xlsm]Rate_History!R86C18</stp>
        <stp>BarType</stp>
        <stp>T</stp>
        <stp>Dir=V</stp>
        <stp>cols=2;rows=1</stp>
        <tr r="R86" s="49"/>
      </tp>
      <tp t="e">
        <v>#N/A</v>
        <stp/>
        <stp>##V3_BDHV12</stp>
        <stp>BPSW8 CMPN Curncy</stp>
        <stp>Close</stp>
        <stp>03/26/2019 11:15:00</stp>
        <stp>03/26/2019 11:16:00</stp>
        <stp>[Live Pricing.xlsm]Rate_History!R87C18</stp>
        <stp>BarType</stp>
        <stp>T</stp>
        <stp>Dir=V</stp>
        <stp>cols=2;rows=1</stp>
        <tr r="R87" s="49"/>
      </tp>
      <tp t="e">
        <v>#N/A</v>
        <stp/>
        <stp>##V3_BDPV12</stp>
        <stp>EUSA4 Index</stp>
        <stp>PX_LAST</stp>
        <stp>[Live Pricing.xlsm]FX_Curve_Live!R33C6</stp>
        <tr r="F33" s="42"/>
      </tp>
      <tp t="e">
        <v>#N/A</v>
        <stp/>
        <stp>##V3_BDPV12</stp>
        <stp>US0012m Index</stp>
        <stp>PX_LAST</stp>
        <stp>[Live Pricing.xlsm]Rate_Live!R11C2</stp>
        <tr r="B11" s="39"/>
      </tp>
      <tp t="e">
        <v>#N/A</v>
        <stp/>
        <stp>##V3_BDPV12</stp>
        <stp>HASWDI9M Index</stp>
        <stp>PX_LAST</stp>
        <stp>[Live Pricing.xlsm]Rate_History!R161C16</stp>
        <tr r="P161" s="49"/>
      </tp>
      <tp t="e">
        <v>#N/A</v>
        <stp/>
        <stp>##V3_BDPV12</stp>
        <stp>HASWDI6M Index</stp>
        <stp>PX_LAST</stp>
        <stp>[Live Pricing.xlsm]Rate_History!R160C16</stp>
        <tr r="P160" s="49"/>
      </tp>
      <tp t="e">
        <v>#N/A</v>
        <stp/>
        <stp>##V3_BDPV12</stp>
        <stp>HASWDI3M Index</stp>
        <stp>PX_LAST</stp>
        <stp>[Live Pricing.xlsm]Rate_History!R159C16</stp>
        <tr r="P159" s="49"/>
      </tp>
      <tp t="e">
        <v>#N/A</v>
        <stp/>
        <stp>##V3_BDPV12</stp>
        <stp>HASWDI1M Index</stp>
        <stp>PX_LAST</stp>
        <stp>[Live Pricing.xlsm]Rate_History!R157C16</stp>
        <tr r="P157" s="49"/>
      </tp>
      <tp t="e">
        <v>#N/A</v>
        <stp/>
        <stp>##V3_BDPV12</stp>
        <stp>BAM0 Comdty</stp>
        <stp>PX_LAST</stp>
        <stp>[Live Pricing.xlsm]FX_Curve_Live!R138C4</stp>
        <tr r="D138" s="42"/>
      </tp>
      <tp t="e">
        <v>#N/A</v>
        <stp/>
        <stp>##V3_BDPV12</stp>
        <stp>BPSW12 Index</stp>
        <stp>PX_LAST</stp>
        <stp>[Live Pricing.xlsm]Rate_Live!R91C6</stp>
        <tr r="F91" s="39"/>
      </tp>
      <tp t="e">
        <v>#N/A</v>
        <stp/>
        <stp>##V3_BDPV12</stp>
        <stp>EUSA17 Index</stp>
        <stp>PX_LAST</stp>
        <stp>[Live Pricing.xlsm]Rate_Live!R46C6</stp>
        <tr r="F46" s="39"/>
      </tp>
      <tp t="e">
        <v>#N/A</v>
        <stp/>
        <stp>##V3_BDPV12</stp>
        <stp>JYSW15 Index</stp>
        <stp>PX_LAST</stp>
        <stp>[Live Pricing.xlsm]Rate_Live!R69C6</stp>
        <tr r="F69" s="39"/>
      </tp>
      <tp t="e">
        <v>#N/A</v>
        <stp/>
        <stp>##V3_BDPV12</stp>
        <stp>BP0001M Index</stp>
        <stp>PX_LAST</stp>
        <stp>[Live Pricing.xlsm]Rate_Live!R82C2</stp>
        <tr r="B82" s="39"/>
      </tp>
      <tp t="e">
        <v>#N/A</v>
        <stp/>
        <stp>##V3_BDPV12</stp>
        <stp>BP0006M Index</stp>
        <stp>PX_LAST</stp>
        <stp>[Live Pricing.xlsm]Rate_Live!R85C2</stp>
        <tr r="B85" s="39"/>
      </tp>
      <tp t="e">
        <v>#N/A</v>
        <stp/>
        <stp>##V3_BDPV12</stp>
        <stp>JY0002M Index</stp>
        <stp>PX_LAST</stp>
        <stp>[Live Pricing.xlsm]Rate_Live!R58C2</stp>
        <tr r="B58" s="39"/>
      </tp>
      <tp t="e">
        <v>#N/A</v>
        <stp/>
        <stp>##V3_BDPV12</stp>
        <stp>JY0003M Index</stp>
        <stp>PX_LAST</stp>
        <stp>[Live Pricing.xlsm]Rate_Live!R59C2</stp>
        <tr r="B59" s="39"/>
      </tp>
      <tp t="e">
        <v>#N/A</v>
        <stp/>
        <stp>##V3_BDHV12</stp>
        <stp>CAD10Y BGN Curncy</stp>
        <stp>PX_LAST</stp>
        <stp>3/26/2019</stp>
        <stp>3/26/2019</stp>
        <stp>[Live Pricing.xlsm]FXFR!R109C4</stp>
        <tr r="D109" s="46"/>
      </tp>
      <tp t="e">
        <v>#N/A</v>
        <stp/>
        <stp>##V3_BDHV12</stp>
        <stp>JY00S/N Index</stp>
        <stp>PX_LAST</stp>
        <stp>3/26/2019</stp>
        <stp>3/26/2019</stp>
        <stp>[Live Pricing.xlsm]Rate_History!R56C2</stp>
        <tr r="B56" s="49"/>
      </tp>
      <tp t="e">
        <v>#N/A</v>
        <stp/>
        <stp>##V3_BDHV12</stp>
        <stp>CLSWIB20 CMPN Index</stp>
        <stp>LAST_PRICE</stp>
        <stp>3/26/2019</stp>
        <stp>3/26/2019</stp>
        <stp>[Live Pricing.xlsm]Rate_History!R197C20</stp>
        <tr r="T197" s="49"/>
      </tp>
      <tp t="e">
        <v>#N/A</v>
        <stp/>
        <stp>##V3_BDHV12</stp>
        <stp>CLSWIB10 CMPN Index</stp>
        <stp>LAST_PRICE</stp>
        <stp>3/26/2019</stp>
        <stp>3/26/2019</stp>
        <stp>[Live Pricing.xlsm]Rate_History!R189C20</stp>
        <tr r="T189" s="49"/>
      </tp>
      <tp t="e">
        <v>#N/A</v>
        <stp/>
        <stp>##V3_BDPV12</stp>
        <stp>EUSA40 Index</stp>
        <stp>PX_LAST</stp>
        <stp>[Live Pricing.xlsm]Rate_Live!R50C6</stp>
        <tr r="F50" s="39"/>
      </tp>
      <tp t="e">
        <v>#N/A</v>
        <stp/>
        <stp>##V3_BDPV12</stp>
        <stp>CLSWIB8 Index</stp>
        <stp>PX_LAST</stp>
        <stp>[Live Pricing.xlsm]Rate_Live!R187C6</stp>
        <tr r="F187" s="39"/>
      </tp>
      <tp t="e">
        <v>#N/A</v>
        <stp/>
        <stp>##V3_BDPV12</stp>
        <stp>BPSW13 Index</stp>
        <stp>PX_LAST</stp>
        <stp>[Live Pricing.xlsm]Rate_Live!R92C6</stp>
        <tr r="F92" s="39"/>
      </tp>
      <tp t="e">
        <v>#N/A</v>
        <stp/>
        <stp>##V3_BDPV12</stp>
        <stp>EUSA16 Index</stp>
        <stp>PX_LAST</stp>
        <stp>[Live Pricing.xlsm]Rate_Live!R45C6</stp>
        <tr r="F45" s="39"/>
      </tp>
      <tp t="e">
        <v>#N/A</v>
        <stp/>
        <stp>##V3_BDPV12</stp>
        <stp>SFSW8 Index</stp>
        <stp>PX_LAST</stp>
        <stp>[Live Pricing.xlsm]FX_Curve_Live!R112C6</stp>
        <tr r="F112" s="42"/>
      </tp>
      <tp t="e">
        <v>#N/A</v>
        <stp/>
        <stp>##V3_BDPV12</stp>
        <stp>SFSW9 Index</stp>
        <stp>PX_LAST</stp>
        <stp>[Live Pricing.xlsm]FX_Curve_Live!R113C6</stp>
        <tr r="F113" s="42"/>
      </tp>
      <tp t="e">
        <v>#N/A</v>
        <stp/>
        <stp>##V3_BDHV12</stp>
        <stp>USOND7 ICPL curncy</stp>
        <stp>PX_LAST</stp>
        <stp>3/26/2019</stp>
        <stp>3/26/2019</stp>
        <stp>[Live Pricing.xlsm]Vol_Surface!R9C8</stp>
        <tr r="H9" s="53"/>
      </tp>
      <tp t="e">
        <v>#N/A</v>
        <stp/>
        <stp>##V3_BDHV12</stp>
        <stp>USONE7 ICPL curncy</stp>
        <stp>PX_LAST</stp>
        <stp>3/26/2019</stp>
        <stp>3/26/2019</stp>
        <stp>[Live Pricing.xlsm]Vol_Surface!R9C9</stp>
        <tr r="I9" s="53"/>
      </tp>
      <tp t="e">
        <v>#N/A</v>
        <stp/>
        <stp>##V3_BDHV12</stp>
        <stp>USONA7 ICPL curncy</stp>
        <stp>PX_LAST</stp>
        <stp>3/26/2019</stp>
        <stp>3/26/2019</stp>
        <stp>[Live Pricing.xlsm]Vol_Surface!R9C5</stp>
        <tr r="E9" s="53"/>
      </tp>
      <tp t="e">
        <v>#N/A</v>
        <stp/>
        <stp>##V3_BDHV12</stp>
        <stp>USONB7 ICPL curncy</stp>
        <stp>PX_LAST</stp>
        <stp>3/26/2019</stp>
        <stp>3/26/2019</stp>
        <stp>[Live Pricing.xlsm]Vol_Surface!R9C6</stp>
        <tr r="F9" s="53"/>
      </tp>
      <tp t="e">
        <v>#N/A</v>
        <stp/>
        <stp>##V3_BDHV12</stp>
        <stp>USONC7 ICPL curncy</stp>
        <stp>PX_LAST</stp>
        <stp>3/26/2019</stp>
        <stp>3/26/2019</stp>
        <stp>[Live Pricing.xlsm]Vol_Surface!R9C7</stp>
        <tr r="G9" s="53"/>
      </tp>
      <tp t="e">
        <v>#N/A</v>
        <stp/>
        <stp>##V3_BDPV12</stp>
        <stp>SFSW14 Index</stp>
        <stp>PX_LAST</stp>
        <stp>[Live Pricing.xlsm]FX_Curve_Live!R118C6</stp>
        <tr r="F118" s="42"/>
      </tp>
      <tp t="e">
        <v>#N/A</v>
        <stp/>
        <stp>##V3_BDPV12</stp>
        <stp>SFSW15 Index</stp>
        <stp>PX_LAST</stp>
        <stp>[Live Pricing.xlsm]FX_Curve_Live!R119C6</stp>
        <tr r="F119" s="42"/>
      </tp>
      <tp t="e">
        <v>#N/A</v>
        <stp/>
        <stp>##V3_BDPV12</stp>
        <stp>EUSA2 Index</stp>
        <stp>PX_LAST</stp>
        <stp>[Live Pricing.xlsm]FX_Curve_Live!R31C6</stp>
        <tr r="F31" s="42"/>
      </tp>
      <tp t="e">
        <v>#N/A</v>
        <stp/>
        <stp>##V3_BDHV12</stp>
        <stp>CHF10Y BGN Curncy</stp>
        <stp>PX_LAST</stp>
        <stp>3/26/2019</stp>
        <stp>3/26/2019</stp>
        <stp>[Live Pricing.xlsm]FXFR!R131C4</stp>
        <tr r="D131" s="46"/>
      </tp>
      <tp t="e">
        <v>#N/A</v>
        <stp/>
        <stp>##V3_BDPV12</stp>
        <stp>EUSA20 Index</stp>
        <stp>PX_LAST</stp>
        <stp>[Live Pricing.xlsm]Rate_Live!R47C6</stp>
        <tr r="F47" s="39"/>
      </tp>
      <tp t="e">
        <v>#N/A</v>
        <stp/>
        <stp>##V3_BDPV12</stp>
        <stp>BPSW14 Index</stp>
        <stp>PX_LAST</stp>
        <stp>[Live Pricing.xlsm]Rate_Live!R93C6</stp>
        <tr r="F93" s="39"/>
      </tp>
      <tp t="e">
        <v>#N/A</v>
        <stp/>
        <stp>##V3_BDPV12</stp>
        <stp>EUSA15 Index</stp>
        <stp>PX_LAST</stp>
        <stp>[Live Pricing.xlsm]Rate_Live!R44C6</stp>
        <tr r="F44" s="39"/>
      </tp>
      <tp t="e">
        <v>#N/A</v>
        <stp/>
        <stp>##V3_BDPV12</stp>
        <stp>EUR003m Index</stp>
        <stp>PX_LAST</stp>
        <stp>[Live Pricing.xlsm]Rate_Live!R34C2</stp>
        <tr r="B34" s="39"/>
      </tp>
      <tp t="e">
        <v>#N/A</v>
        <stp/>
        <stp>##V3_BDHV12</stp>
        <stp>USOND5 ICPL curncy</stp>
        <stp>PX_LAST</stp>
        <stp>3/26/2019</stp>
        <stp>3/26/2019</stp>
        <stp>[Live Pricing.xlsm]Vol_Surface!R8C8</stp>
        <tr r="H8" s="53"/>
      </tp>
      <tp t="e">
        <v>#N/A</v>
        <stp/>
        <stp>##V3_BDHV12</stp>
        <stp>USONE5 ICPL curncy</stp>
        <stp>PX_LAST</stp>
        <stp>3/26/2019</stp>
        <stp>3/26/2019</stp>
        <stp>[Live Pricing.xlsm]Vol_Surface!R8C9</stp>
        <tr r="I8" s="53"/>
      </tp>
      <tp t="e">
        <v>#N/A</v>
        <stp/>
        <stp>##V3_BDHV12</stp>
        <stp>USONA5 ICPL curncy</stp>
        <stp>PX_LAST</stp>
        <stp>3/26/2019</stp>
        <stp>3/26/2019</stp>
        <stp>[Live Pricing.xlsm]Vol_Surface!R8C5</stp>
        <tr r="E8" s="53"/>
      </tp>
      <tp t="e">
        <v>#N/A</v>
        <stp/>
        <stp>##V3_BDHV12</stp>
        <stp>USONB5 ICPL curncy</stp>
        <stp>PX_LAST</stp>
        <stp>3/26/2019</stp>
        <stp>3/26/2019</stp>
        <stp>[Live Pricing.xlsm]Vol_Surface!R8C6</stp>
        <tr r="F8" s="53"/>
      </tp>
      <tp t="e">
        <v>#N/A</v>
        <stp/>
        <stp>##V3_BDHV12</stp>
        <stp>USONC5 ICPL curncy</stp>
        <stp>PX_LAST</stp>
        <stp>3/26/2019</stp>
        <stp>3/26/2019</stp>
        <stp>[Live Pricing.xlsm]Vol_Surface!R8C7</stp>
        <tr r="G8" s="53"/>
      </tp>
      <tp t="e">
        <v>#N/A</v>
        <stp/>
        <stp>##V3_BDPV12</stp>
        <stp>SFSW40 Index</stp>
        <stp>PX_LAST</stp>
        <stp>[Live Pricing.xlsm]FX_Curve_Live!R123C6</stp>
        <tr r="F123" s="42"/>
      </tp>
      <tp t="e">
        <v>#N/A</v>
        <stp/>
        <stp>##V3_BDPV12</stp>
        <stp>CDOR02 Index</stp>
        <stp>PX_LAST</stp>
        <stp>[Live Pricing.xlsm]FX_Curve_Live!R133C2</stp>
        <tr r="B133" s="42"/>
      </tp>
      <tp t="e">
        <v>#N/A</v>
        <stp/>
        <stp>##V3_BDPV12</stp>
        <stp>ESH0 Comdty</stp>
        <stp>PX_LAST</stp>
        <stp>[Live Pricing.xlsm]FX_Curve_Live!R112C4</stp>
        <tr r="D112" s="42"/>
      </tp>
      <tp t="e">
        <v>#N/A</v>
        <stp/>
        <stp>##V3_BDPV12</stp>
        <stp>BAU9 Comdty</stp>
        <stp>PX_LAST</stp>
        <stp>[Live Pricing.xlsm]FX_Curve_Live!R135C4</stp>
        <tr r="D135" s="42"/>
      </tp>
      <tp t="e">
        <v>#N/A</v>
        <stp/>
        <stp>##V3_BDPV12</stp>
        <stp>EUSA30 Index</stp>
        <stp>PX_LAST</stp>
        <stp>[Live Pricing.xlsm]Rate_Live!R49C6</stp>
        <tr r="F49" s="39"/>
      </tp>
      <tp t="e">
        <v>#N/A</v>
        <stp/>
        <stp>##V3_BDHV12</stp>
        <stp>JYSW8 CMPN Curncy</stp>
        <stp>Close</stp>
        <stp>03/26/2019 15:00:00</stp>
        <stp>03/26/2019 15:01:00</stp>
        <stp>[Live Pricing.xlsm]Rate_History!R62C18</stp>
        <stp>BarType</stp>
        <stp>T</stp>
        <stp>Dir=V</stp>
        <tr r="R62" s="49"/>
      </tp>
      <tp t="e">
        <v>#N/A</v>
        <stp/>
        <stp>##V3_BDHV12</stp>
        <stp>JYSW9 CMPN Curncy</stp>
        <stp>Close</stp>
        <stp>03/26/2019 15:00:00</stp>
        <stp>03/26/2019 15:01:00</stp>
        <stp>[Live Pricing.xlsm]Rate_History!R63C18</stp>
        <stp>BarType</stp>
        <stp>T</stp>
        <stp>Dir=V</stp>
        <tr r="R63" s="49"/>
      </tp>
      <tp t="e">
        <v>#N/A</v>
        <stp/>
        <stp>##V3_BDPV12</stp>
        <stp>CLSWIB3 Index</stp>
        <stp>PX_LAST</stp>
        <stp>[Live Pricing.xlsm]Rate_Live!R182C6</stp>
        <tr r="F182" s="39"/>
      </tp>
      <tp t="e">
        <v>#N/A</v>
        <stp/>
        <stp>##V3_BDPV12</stp>
        <stp>CLSWIB5 Index</stp>
        <stp>PX_LAST</stp>
        <stp>[Live Pricing.xlsm]Rate_Live!R184C6</stp>
        <tr r="F184" s="39"/>
      </tp>
      <tp t="e">
        <v>#N/A</v>
        <stp/>
        <stp>##V3_BDPV12</stp>
        <stp>CLSWIB7 Index</stp>
        <stp>PX_LAST</stp>
        <stp>[Live Pricing.xlsm]Rate_Live!R186C6</stp>
        <tr r="F186" s="39"/>
      </tp>
      <tp t="e">
        <v>#N/A</v>
        <stp/>
        <stp>##V3_BDPV12</stp>
        <stp>CLSWIB9 Index</stp>
        <stp>PX_LAST</stp>
        <stp>[Live Pricing.xlsm]Rate_Live!R188C6</stp>
        <tr r="F188" s="39"/>
      </tp>
      <tp t="e">
        <v>#N/A</v>
        <stp/>
        <stp>##V3_BDPV12</stp>
        <stp>EUSA25 Index</stp>
        <stp>PX_LAST</stp>
        <stp>[Live Pricing.xlsm]Rate_Live!R48C6</stp>
        <tr r="F48" s="39"/>
      </tp>
      <tp t="e">
        <v>#N/A</v>
        <stp/>
        <stp>##V3_BDPV12</stp>
        <stp>SFSW2 Index</stp>
        <stp>PX_LAST</stp>
        <stp>[Live Pricing.xlsm]FX_Curve_Live!R106C6</stp>
        <tr r="F106" s="42"/>
      </tp>
      <tp t="e">
        <v>#N/A</v>
        <stp/>
        <stp>##V3_BDPV12</stp>
        <stp>SFSW3 Index</stp>
        <stp>PX_LAST</stp>
        <stp>[Live Pricing.xlsm]FX_Curve_Live!R107C6</stp>
        <tr r="F107" s="42"/>
      </tp>
      <tp t="e">
        <v>#N/A</v>
        <stp/>
        <stp>##V3_BDHV12</stp>
        <stp>JYSW2 CMPN Curncy</stp>
        <stp>Close</stp>
        <stp>03/26/2019 15:00:00</stp>
        <stp>03/26/2019 15:01:00</stp>
        <stp>[Live Pricing.xlsm]Rate_History!R56C18</stp>
        <stp>BarType</stp>
        <stp>T</stp>
        <stp>Dir=V</stp>
        <tr r="R56" s="49"/>
      </tp>
      <tp t="e">
        <v>#N/A</v>
        <stp/>
        <stp>##V3_BDHV12</stp>
        <stp>JYSW3 CMPN Curncy</stp>
        <stp>Close</stp>
        <stp>03/26/2019 15:00:00</stp>
        <stp>03/26/2019 15:01:00</stp>
        <stp>[Live Pricing.xlsm]Rate_History!R57C18</stp>
        <stp>BarType</stp>
        <stp>T</stp>
        <stp>Dir=V</stp>
        <tr r="R57" s="49"/>
      </tp>
      <tp t="e">
        <v>#N/A</v>
        <stp/>
        <stp>##V3_BDPV12</stp>
        <stp>JYSW10 Index</stp>
        <stp>PX_LAST</stp>
        <stp>[Live Pricing.xlsm]Rate_Live!R64C6</stp>
        <tr r="F64" s="39"/>
      </tp>
      <tp t="e">
        <v>#N/A</v>
        <stp/>
        <stp>##V3_BDHV12</stp>
        <stp>JYSW4 CMPN Curncy</stp>
        <stp>Close</stp>
        <stp>03/26/2019 15:00:00</stp>
        <stp>03/26/2019 15:01:00</stp>
        <stp>[Live Pricing.xlsm]Rate_History!R58C18</stp>
        <stp>BarType</stp>
        <stp>T</stp>
        <stp>Dir=V</stp>
        <tr r="R58" s="49"/>
      </tp>
      <tp t="e">
        <v>#N/A</v>
        <stp/>
        <stp>##V3_BDHV12</stp>
        <stp>JYSW5 CMPN Curncy</stp>
        <stp>Close</stp>
        <stp>03/26/2019 15:00:00</stp>
        <stp>03/26/2019 15:01:00</stp>
        <stp>[Live Pricing.xlsm]Rate_History!R59C18</stp>
        <stp>BarType</stp>
        <stp>T</stp>
        <stp>Dir=V</stp>
        <tr r="R59" s="49"/>
      </tp>
      <tp t="e">
        <v>#N/A</v>
        <stp/>
        <stp>##V3_BDHV12</stp>
        <stp>JYSW6 CMPN Curncy</stp>
        <stp>Close</stp>
        <stp>03/26/2019 15:00:00</stp>
        <stp>03/26/2019 15:01:00</stp>
        <stp>[Live Pricing.xlsm]Rate_History!R60C18</stp>
        <stp>BarType</stp>
        <stp>T</stp>
        <stp>Dir=V</stp>
        <tr r="R60" s="49"/>
      </tp>
      <tp t="e">
        <v>#N/A</v>
        <stp/>
        <stp>##V3_BDHV12</stp>
        <stp>JYSW7 CMPN Curncy</stp>
        <stp>Close</stp>
        <stp>03/26/2019 15:00:00</stp>
        <stp>03/26/2019 15:01:00</stp>
        <stp>[Live Pricing.xlsm]Rate_History!R61C18</stp>
        <stp>BarType</stp>
        <stp>T</stp>
        <stp>Dir=V</stp>
        <tr r="R61" s="49"/>
      </tp>
      <tp t="e">
        <v>#N/A</v>
        <stp/>
        <stp>##V3_BDHV12</stp>
        <stp>USOND4 ICPL curncy</stp>
        <stp>PX_LAST</stp>
        <stp>3/26/2019</stp>
        <stp>3/26/2019</stp>
        <stp>[Live Pricing.xlsm]Vol_Surface!R7C8</stp>
        <tr r="H7" s="53"/>
      </tp>
      <tp t="e">
        <v>#N/A</v>
        <stp/>
        <stp>##V3_BDHV12</stp>
        <stp>USONE4 ICPL curncy</stp>
        <stp>PX_LAST</stp>
        <stp>3/26/2019</stp>
        <stp>3/26/2019</stp>
        <stp>[Live Pricing.xlsm]Vol_Surface!R7C9</stp>
        <tr r="I7" s="53"/>
      </tp>
      <tp t="e">
        <v>#N/A</v>
        <stp/>
        <stp>##V3_BDHV12</stp>
        <stp>USONA4 ICPL curncy</stp>
        <stp>PX_LAST</stp>
        <stp>3/26/2019</stp>
        <stp>3/26/2019</stp>
        <stp>[Live Pricing.xlsm]Vol_Surface!R7C5</stp>
        <tr r="E7" s="53"/>
      </tp>
      <tp t="e">
        <v>#N/A</v>
        <stp/>
        <stp>##V3_BDHV12</stp>
        <stp>USONB4 ICPL curncy</stp>
        <stp>PX_LAST</stp>
        <stp>3/26/2019</stp>
        <stp>3/26/2019</stp>
        <stp>[Live Pricing.xlsm]Vol_Surface!R7C6</stp>
        <tr r="F7" s="53"/>
      </tp>
      <tp t="e">
        <v>#N/A</v>
        <stp/>
        <stp>##V3_BDHV12</stp>
        <stp>USONC4 ICPL curncy</stp>
        <stp>PX_LAST</stp>
        <stp>3/26/2019</stp>
        <stp>3/26/2019</stp>
        <stp>[Live Pricing.xlsm]Vol_Surface!R7C7</stp>
        <tr r="G7" s="53"/>
      </tp>
      <tp t="e">
        <v>#N/A</v>
        <stp/>
        <stp>##V3_BDPV12</stp>
        <stp>SFSW30 Index</stp>
        <stp>PX_LAST</stp>
        <stp>[Live Pricing.xlsm]FX_Curve_Live!R122C6</stp>
        <tr r="F122" s="42"/>
      </tp>
      <tp t="e">
        <v>#N/A</v>
        <stp/>
        <stp>##V3_BDPV12</stp>
        <stp>ESM0 Comdty</stp>
        <stp>PX_LAST</stp>
        <stp>[Live Pricing.xlsm]FX_Curve_Live!R113C4</stp>
        <tr r="D113" s="42"/>
      </tp>
      <tp t="e">
        <v>#N/A</v>
        <stp/>
        <stp>##V3_BDPV12</stp>
        <stp>BAM9 Comdty</stp>
        <stp>PX_LAST</stp>
        <stp>[Live Pricing.xlsm]FX_Curve_Live!R134C4</stp>
        <tr r="D134" s="42"/>
      </tp>
      <tp t="e">
        <v>#N/A</v>
        <stp/>
        <stp>##V3_BDPV12</stp>
        <stp>JYSW11 Index</stp>
        <stp>PX_LAST</stp>
        <stp>[Live Pricing.xlsm]Rate_Live!R65C6</stp>
        <tr r="F65" s="39"/>
      </tp>
      <tp t="e">
        <v>#N/A</v>
        <stp/>
        <stp>##V3_BDHV12</stp>
        <stp>USOND3 ICPL curncy</stp>
        <stp>PX_LAST</stp>
        <stp>3/26/2019</stp>
        <stp>3/26/2019</stp>
        <stp>[Live Pricing.xlsm]Vol_Surface!R6C8</stp>
        <tr r="H6" s="53"/>
      </tp>
      <tp t="e">
        <v>#N/A</v>
        <stp/>
        <stp>##V3_BDHV12</stp>
        <stp>USONE3 ICPL curncy</stp>
        <stp>PX_LAST</stp>
        <stp>3/26/2019</stp>
        <stp>3/26/2019</stp>
        <stp>[Live Pricing.xlsm]Vol_Surface!R6C9</stp>
        <tr r="I6" s="53"/>
      </tp>
      <tp t="e">
        <v>#N/A</v>
        <stp/>
        <stp>##V3_BDHV12</stp>
        <stp>USONA3 ICPL curncy</stp>
        <stp>PX_LAST</stp>
        <stp>3/26/2019</stp>
        <stp>3/26/2019</stp>
        <stp>[Live Pricing.xlsm]Vol_Surface!R6C5</stp>
        <tr r="E6" s="53"/>
      </tp>
      <tp t="e">
        <v>#N/A</v>
        <stp/>
        <stp>##V3_BDHV12</stp>
        <stp>USONB3 ICPL curncy</stp>
        <stp>PX_LAST</stp>
        <stp>3/26/2019</stp>
        <stp>3/26/2019</stp>
        <stp>[Live Pricing.xlsm]Vol_Surface!R6C6</stp>
        <tr r="F6" s="53"/>
      </tp>
      <tp t="e">
        <v>#N/A</v>
        <stp/>
        <stp>##V3_BDHV12</stp>
        <stp>USONC3 ICPL curncy</stp>
        <stp>PX_LAST</stp>
        <stp>3/26/2019</stp>
        <stp>3/26/2019</stp>
        <stp>[Live Pricing.xlsm]Vol_Surface!R6C7</stp>
        <tr r="G6" s="53"/>
      </tp>
      <tp t="e">
        <v>#N/A</v>
        <stp/>
        <stp>##V3_BDPV12</stp>
        <stp>JY0001M Index</stp>
        <stp>PX_LAST</stp>
        <stp>[Live Pricing.xlsm]Rate_Live!R57C2</stp>
        <tr r="B57" s="39"/>
      </tp>
      <tp t="e">
        <v>#N/A</v>
        <stp/>
        <stp>##V3_BDPV12</stp>
        <stp>JY0006M Index</stp>
        <stp>PX_LAST</stp>
        <stp>[Live Pricing.xlsm]Rate_Live!R60C2</stp>
        <tr r="B60" s="39"/>
      </tp>
      <tp t="e">
        <v>#N/A</v>
        <stp/>
        <stp>##V3_BDPV12</stp>
        <stp>CDOR01 Index</stp>
        <stp>PX_LAST</stp>
        <stp>[Live Pricing.xlsm]FX_Curve_Live!R132C2</stp>
        <tr r="B132" s="42"/>
      </tp>
      <tp t="e">
        <v>#N/A</v>
        <stp/>
        <stp>##V3_BDPV12</stp>
        <stp>CDOR06 Index</stp>
        <stp>PX_LAST</stp>
        <stp>[Live Pricing.xlsm]FX_Curve_Live!R135C2</stp>
        <tr r="B135" s="42"/>
      </tp>
      <tp t="e">
        <v>#N/A</v>
        <stp/>
        <stp>##V3_BDPV12</stp>
        <stp>HASWDI10Y CMPN Curncy</stp>
        <stp>PX_LAST</stp>
        <stp>[Live Pricing.xlsm]Rate_History!R172C21</stp>
        <tr r="U172" s="49"/>
      </tp>
      <tp t="e">
        <v>#N/A</v>
        <stp/>
        <stp>##V3_BDPV12</stp>
        <stp>HASWDI10Y CMPN Curncy</stp>
        <stp>PX_LAST</stp>
        <stp>[Live Pricing.xlsm]Rate_History!R170C21</stp>
        <tr r="U170" s="49"/>
      </tp>
      <tp t="e">
        <v>#N/A</v>
        <stp/>
        <stp>##V3_BDPV12</stp>
        <stp>HASWDI10Y CMPN Curncy</stp>
        <stp>PX_LAST</stp>
        <stp>[Live Pricing.xlsm]Rate_History!R171C21</stp>
        <tr r="U171" s="49"/>
      </tp>
      <tp t="e">
        <v>#N/A</v>
        <stp/>
        <stp>##V3_BDPV12</stp>
        <stp>HASWDI10Y CMPN Curncy</stp>
        <stp>PX_LAST</stp>
        <stp>[Live Pricing.xlsm]Rate_History!R168C21</stp>
        <tr r="U168" s="49"/>
      </tp>
      <tp t="e">
        <v>#N/A</v>
        <stp/>
        <stp>##V3_BDPV12</stp>
        <stp>HASWDI10Y CMPN Curncy</stp>
        <stp>PX_LAST</stp>
        <stp>[Live Pricing.xlsm]Rate_History!R169C21</stp>
        <tr r="U169" s="49"/>
      </tp>
      <tp t="e">
        <v>#N/A</v>
        <stp/>
        <stp>##V3_BDPV12</stp>
        <stp>HASWDI10Y CMPN Curncy</stp>
        <stp>PX_LAST</stp>
        <stp>[Live Pricing.xlsm]Rate_History!R166C21</stp>
        <tr r="U166" s="49"/>
      </tp>
      <tp t="e">
        <v>#N/A</v>
        <stp/>
        <stp>##V3_BDPV12</stp>
        <stp>HASWDI10Y CMPN Curncy</stp>
        <stp>PX_LAST</stp>
        <stp>[Live Pricing.xlsm]Rate_History!R167C21</stp>
        <tr r="U167" s="49"/>
      </tp>
      <tp t="e">
        <v>#N/A</v>
        <stp/>
        <stp>##V3_BDPV12</stp>
        <stp>HASWDI10Y CMPN Curncy</stp>
        <stp>PX_LAST</stp>
        <stp>[Live Pricing.xlsm]Rate_History!R165C21</stp>
        <tr r="U165" s="49"/>
      </tp>
      <tp t="e">
        <v>#N/A</v>
        <stp/>
        <stp>##V3_BDPV12</stp>
        <stp>ESU9 Comdty</stp>
        <stp>PX_LAST</stp>
        <stp>[Live Pricing.xlsm]FX_Curve_Live!R110C4</stp>
        <tr r="D110" s="42"/>
      </tp>
      <tp t="e">
        <v>#N/A</v>
        <stp/>
        <stp>##V3_BDPV12</stp>
        <stp>BAH0 Comdty</stp>
        <stp>PX_LAST</stp>
        <stp>[Live Pricing.xlsm]FX_Curve_Live!R137C4</stp>
        <tr r="D137" s="42"/>
      </tp>
      <tp t="e">
        <v>#N/A</v>
        <stp/>
        <stp>##V3_BDPV12</stp>
        <stp>EUSA10 Index</stp>
        <stp>PX_LAST</stp>
        <stp>[Live Pricing.xlsm]Rate_Live!R39C6</stp>
        <tr r="F39" s="39"/>
      </tp>
      <tp t="e">
        <v>#N/A</v>
        <stp/>
        <stp>##V3_BDPV12</stp>
        <stp>CLSWIB2 Index</stp>
        <stp>PX_LAST</stp>
        <stp>[Live Pricing.xlsm]Rate_Live!R181C6</stp>
        <tr r="F181" s="39"/>
      </tp>
      <tp t="e">
        <v>#N/A</v>
        <stp/>
        <stp>##V3_BDPV12</stp>
        <stp>CLSWIB6 Index</stp>
        <stp>PX_LAST</stp>
        <stp>[Live Pricing.xlsm]Rate_Live!R185C6</stp>
        <tr r="F185" s="39"/>
      </tp>
      <tp t="e">
        <v>#N/A</v>
        <stp/>
        <stp>##V3_BDHV12</stp>
        <stp>CHF9M BGN Curncy</stp>
        <stp>PX_LAST</stp>
        <stp>3/26/2019</stp>
        <stp>3/26/2019</stp>
        <stp>[Live Pricing.xlsm]FXFR!R121C4</stp>
        <tr r="D121" s="46"/>
      </tp>
      <tp t="e">
        <v>#N/A</v>
        <stp/>
        <stp>##V3_BDPV12</stp>
        <stp>SFSW6 Index</stp>
        <stp>PX_LAST</stp>
        <stp>[Live Pricing.xlsm]FX_Curve_Live!R110C6</stp>
        <tr r="F110" s="42"/>
      </tp>
      <tp t="e">
        <v>#N/A</v>
        <stp/>
        <stp>##V3_BDPV12</stp>
        <stp>SFSW7 Index</stp>
        <stp>PX_LAST</stp>
        <stp>[Live Pricing.xlsm]FX_Curve_Live!R111C6</stp>
        <tr r="F111" s="42"/>
      </tp>
      <tp t="e">
        <v>#N/A</v>
        <stp/>
        <stp>##V3_BDPV12</stp>
        <stp>JYSW30 Index</stp>
        <stp>PX_LAST</stp>
        <stp>[Live Pricing.xlsm]Rate_Live!R74C6</stp>
        <tr r="F74" s="39"/>
      </tp>
      <tp t="e">
        <v>#N/A</v>
        <stp/>
        <stp>##V3_BDPV12</stp>
        <stp>JYSW12 Index</stp>
        <stp>PX_LAST</stp>
        <stp>[Live Pricing.xlsm]Rate_Live!R66C6</stp>
        <tr r="F66" s="39"/>
      </tp>
      <tp t="e">
        <v>#N/A</v>
        <stp/>
        <stp>##V3_BDHV12</stp>
        <stp>EUSA9 CMPN Curncy</stp>
        <stp>Close</stp>
        <stp>03/26/2019 11:15:00</stp>
        <stp>03/26/2019 11:16:00</stp>
        <stp>[Live Pricing.xlsm]Rate_History!R38C18</stp>
        <stp>BarType</stp>
        <stp>T</stp>
        <stp>Dir=V</stp>
        <stp>cols=2;rows=1</stp>
        <tr r="R38" s="49"/>
      </tp>
      <tp t="e">
        <v>#N/A</v>
        <stp/>
        <stp>##V3_BDHV12</stp>
        <stp>EUSA4 CMPN Curncy</stp>
        <stp>Close</stp>
        <stp>03/26/2019 11:15:00</stp>
        <stp>03/26/2019 11:16:00</stp>
        <stp>[Live Pricing.xlsm]Rate_History!R33C18</stp>
        <stp>BarType</stp>
        <stp>T</stp>
        <stp>Dir=V</stp>
        <stp>cols=2;rows=1</stp>
        <tr r="R33" s="49"/>
      </tp>
      <tp t="e">
        <v>#N/A</v>
        <stp/>
        <stp>##V3_BDHV12</stp>
        <stp>EUSA5 CMPN Curncy</stp>
        <stp>Close</stp>
        <stp>03/26/2019 11:15:00</stp>
        <stp>03/26/2019 11:16:00</stp>
        <stp>[Live Pricing.xlsm]Rate_History!R34C18</stp>
        <stp>BarType</stp>
        <stp>T</stp>
        <stp>Dir=V</stp>
        <stp>cols=2;rows=1</stp>
        <tr r="R34" s="49"/>
      </tp>
      <tp t="e">
        <v>#N/A</v>
        <stp/>
        <stp>##V3_BDHV12</stp>
        <stp>EUSA6 CMPN Curncy</stp>
        <stp>Close</stp>
        <stp>03/26/2019 11:15:00</stp>
        <stp>03/26/2019 11:16:00</stp>
        <stp>[Live Pricing.xlsm]Rate_History!R35C18</stp>
        <stp>BarType</stp>
        <stp>T</stp>
        <stp>Dir=V</stp>
        <stp>cols=2;rows=1</stp>
        <tr r="R35" s="49"/>
      </tp>
      <tp t="e">
        <v>#N/A</v>
        <stp/>
        <stp>##V3_BDHV12</stp>
        <stp>EUSA7 CMPN Curncy</stp>
        <stp>Close</stp>
        <stp>03/26/2019 11:15:00</stp>
        <stp>03/26/2019 11:16:00</stp>
        <stp>[Live Pricing.xlsm]Rate_History!R36C18</stp>
        <stp>BarType</stp>
        <stp>T</stp>
        <stp>Dir=V</stp>
        <stp>cols=2;rows=1</stp>
        <tr r="R36" s="49"/>
      </tp>
      <tp t="e">
        <v>#N/A</v>
        <stp/>
        <stp>##V3_BDHV12</stp>
        <stp>EUSA8 CMPN Curncy</stp>
        <stp>Close</stp>
        <stp>03/26/2019 11:15:00</stp>
        <stp>03/26/2019 11:16:00</stp>
        <stp>[Live Pricing.xlsm]Rate_History!R37C18</stp>
        <stp>BarType</stp>
        <stp>T</stp>
        <stp>Dir=V</stp>
        <stp>cols=2;rows=1</stp>
        <tr r="R37" s="49"/>
      </tp>
      <tp t="e">
        <v>#N/A</v>
        <stp/>
        <stp>##V3_BDHV12</stp>
        <stp>USOND2 ICPL curncy</stp>
        <stp>PX_LAST</stp>
        <stp>3/26/2019</stp>
        <stp>3/26/2019</stp>
        <stp>[Live Pricing.xlsm]Vol_Surface!R5C8</stp>
        <tr r="H5" s="53"/>
      </tp>
      <tp t="e">
        <v>#N/A</v>
        <stp/>
        <stp>##V3_BDHV12</stp>
        <stp>USONE2 ICPL curncy</stp>
        <stp>PX_LAST</stp>
        <stp>3/26/2019</stp>
        <stp>3/26/2019</stp>
        <stp>[Live Pricing.xlsm]Vol_Surface!R5C9</stp>
        <tr r="I5" s="53"/>
      </tp>
      <tp t="e">
        <v>#N/A</v>
        <stp/>
        <stp>##V3_BDHV12</stp>
        <stp>USONA2 ICPL curncy</stp>
        <stp>PX_LAST</stp>
        <stp>3/26/2019</stp>
        <stp>3/26/2019</stp>
        <stp>[Live Pricing.xlsm]Vol_Surface!R5C5</stp>
        <tr r="E5" s="53"/>
      </tp>
      <tp t="e">
        <v>#N/A</v>
        <stp/>
        <stp>##V3_BDHV12</stp>
        <stp>USONB2 ICPL curncy</stp>
        <stp>PX_LAST</stp>
        <stp>3/26/2019</stp>
        <stp>3/26/2019</stp>
        <stp>[Live Pricing.xlsm]Vol_Surface!R5C6</stp>
        <tr r="F5" s="53"/>
      </tp>
      <tp t="e">
        <v>#N/A</v>
        <stp/>
        <stp>##V3_BDHV12</stp>
        <stp>USONC2 ICPL curncy</stp>
        <stp>PX_LAST</stp>
        <stp>3/26/2019</stp>
        <stp>3/26/2019</stp>
        <stp>[Live Pricing.xlsm]Vol_Surface!R5C7</stp>
        <tr r="G5" s="53"/>
      </tp>
      <tp t="e">
        <v>#N/A</v>
        <stp/>
        <stp>##V3_BDPV12</stp>
        <stp>CDSW12 Index</stp>
        <stp>PX_LAST</stp>
        <stp>[Live Pricing.xlsm]FX_Curve_Live!R140C6</stp>
        <tr r="F140" s="42"/>
      </tp>
      <tp t="e">
        <v>#N/A</v>
        <stp/>
        <stp>##V3_BDPV12</stp>
        <stp>CDSW20 Index</stp>
        <stp>PX_LAST</stp>
        <stp>[Live Pricing.xlsm]FX_Curve_Live!R142C6</stp>
        <tr r="F142" s="42"/>
      </tp>
      <tp t="e">
        <v>#N/A</v>
        <stp/>
        <stp>##V3_BDPV12</stp>
        <stp>SFSW20 Index</stp>
        <stp>PX_LAST</stp>
        <stp>[Live Pricing.xlsm]FX_Curve_Live!R120C6</stp>
        <tr r="F120" s="42"/>
      </tp>
      <tp t="e">
        <v>#N/A</v>
        <stp/>
        <stp>##V3_BDHV12</stp>
        <stp>SFSW30 CMPN Curncy</stp>
        <stp>LAST_PRICE</stp>
        <stp>3/26/2019</stp>
        <stp>3/26/2019</stp>
        <stp>[Live Pricing.xlsm]Rate_History!R122C20</stp>
        <tr r="T122" s="49"/>
      </tp>
      <tp t="e">
        <v>#N/A</v>
        <stp/>
        <stp>##V3_BDHV12</stp>
        <stp>SFSW14 CMPN Curncy</stp>
        <stp>LAST_PRICE</stp>
        <stp>3/26/2019</stp>
        <stp>3/26/2019</stp>
        <stp>[Live Pricing.xlsm]Rate_History!R118C20</stp>
        <tr r="T118" s="49"/>
      </tp>
      <tp t="e">
        <v>#N/A</v>
        <stp/>
        <stp>##V3_BDHV12</stp>
        <stp>SFSW15 CMPN Curncy</stp>
        <stp>LAST_PRICE</stp>
        <stp>3/26/2019</stp>
        <stp>3/26/2019</stp>
        <stp>[Live Pricing.xlsm]Rate_History!R119C20</stp>
        <tr r="T119" s="49"/>
      </tp>
      <tp t="e">
        <v>#N/A</v>
        <stp/>
        <stp>##V3_BDHV12</stp>
        <stp>SFSW10 CMPN Curncy</stp>
        <stp>LAST_PRICE</stp>
        <stp>3/26/2019</stp>
        <stp>3/26/2019</stp>
        <stp>[Live Pricing.xlsm]Rate_History!R114C20</stp>
        <tr r="T114" s="49"/>
      </tp>
      <tp t="e">
        <v>#N/A</v>
        <stp/>
        <stp>##V3_BDHV12</stp>
        <stp>SFSW11 CMPN Curncy</stp>
        <stp>LAST_PRICE</stp>
        <stp>3/26/2019</stp>
        <stp>3/26/2019</stp>
        <stp>[Live Pricing.xlsm]Rate_History!R115C20</stp>
        <tr r="T115" s="49"/>
      </tp>
      <tp t="e">
        <v>#N/A</v>
        <stp/>
        <stp>##V3_BDHV12</stp>
        <stp>SFSW12 CMPN Curncy</stp>
        <stp>LAST_PRICE</stp>
        <stp>3/26/2019</stp>
        <stp>3/26/2019</stp>
        <stp>[Live Pricing.xlsm]Rate_History!R116C20</stp>
        <tr r="T116" s="49"/>
      </tp>
      <tp t="e">
        <v>#N/A</v>
        <stp/>
        <stp>##V3_BDHV12</stp>
        <stp>SFSW13 CMPN Curncy</stp>
        <stp>LAST_PRICE</stp>
        <stp>3/26/2019</stp>
        <stp>3/26/2019</stp>
        <stp>[Live Pricing.xlsm]Rate_History!R117C20</stp>
        <tr r="T117" s="49"/>
      </tp>
      <tp t="e">
        <v>#N/A</v>
        <stp/>
        <stp>##V3_BDHV12</stp>
        <stp>SFSW25 CMPN Curncy</stp>
        <stp>LAST_PRICE</stp>
        <stp>3/26/2019</stp>
        <stp>3/26/2019</stp>
        <stp>[Live Pricing.xlsm]Rate_History!R121C20</stp>
        <tr r="T121" s="49"/>
      </tp>
      <tp t="e">
        <v>#N/A</v>
        <stp/>
        <stp>##V3_BDHV12</stp>
        <stp>SFSW20 CMPN Curncy</stp>
        <stp>LAST_PRICE</stp>
        <stp>3/26/2019</stp>
        <stp>3/26/2019</stp>
        <stp>[Live Pricing.xlsm]Rate_History!R120C20</stp>
        <tr r="T120" s="49"/>
      </tp>
      <tp t="e">
        <v>#N/A</v>
        <stp/>
        <stp>##V3_BDHV12</stp>
        <stp>SFSW40 CMPN Curncy</stp>
        <stp>LAST_PRICE</stp>
        <stp>3/26/2019</stp>
        <stp>3/26/2019</stp>
        <stp>[Live Pricing.xlsm]Rate_History!R123C20</stp>
        <tr r="T123" s="49"/>
      </tp>
      <tp t="e">
        <v>#N/A</v>
        <stp/>
        <stp>##V3_BDHV12</stp>
        <stp>CDSW40 CMPN Curncy</stp>
        <stp>LAST_PRICE</stp>
        <stp>3/26/2019</stp>
        <stp>3/26/2019</stp>
        <stp>[Live Pricing.xlsm]Rate_History!R145C20</stp>
        <tr r="T145" s="49"/>
      </tp>
      <tp t="e">
        <v>#N/A</v>
        <stp/>
        <stp>##V3_BDHV12</stp>
        <stp>CDSW10 CMPN Curncy</stp>
        <stp>LAST_PRICE</stp>
        <stp>3/26/2019</stp>
        <stp>3/26/2019</stp>
        <stp>[Live Pricing.xlsm]Rate_History!R139C20</stp>
        <tr r="T139" s="49"/>
      </tp>
      <tp t="e">
        <v>#N/A</v>
        <stp/>
        <stp>##V3_BDHV12</stp>
        <stp>CDSW15 CMPN Curncy</stp>
        <stp>LAST_PRICE</stp>
        <stp>3/26/2019</stp>
        <stp>3/26/2019</stp>
        <stp>[Live Pricing.xlsm]Rate_History!R141C20</stp>
        <tr r="T141" s="49"/>
      </tp>
      <tp t="e">
        <v>#N/A</v>
        <stp/>
        <stp>##V3_BDHV12</stp>
        <stp>CDSW12 CMPN Curncy</stp>
        <stp>LAST_PRICE</stp>
        <stp>3/26/2019</stp>
        <stp>3/26/2019</stp>
        <stp>[Live Pricing.xlsm]Rate_History!R140C20</stp>
        <tr r="T140" s="49"/>
      </tp>
      <tp t="e">
        <v>#N/A</v>
        <stp/>
        <stp>##V3_BDHV12</stp>
        <stp>BPSW40 CMPN Curncy</stp>
        <stp>LAST_PRICE</stp>
        <stp>3/26/2019</stp>
        <stp>3/26/2019</stp>
        <stp>[Live Pricing.xlsm]Rate_History!R100C20</stp>
        <tr r="T100" s="49"/>
      </tp>
      <tp t="e">
        <v>#N/A</v>
        <stp/>
        <stp>##V3_BDHV12</stp>
        <stp>CDSW30 CMPN Curncy</stp>
        <stp>LAST_PRICE</stp>
        <stp>3/26/2019</stp>
        <stp>3/26/2019</stp>
        <stp>[Live Pricing.xlsm]Rate_History!R144C20</stp>
        <tr r="T144" s="49"/>
      </tp>
      <tp t="e">
        <v>#N/A</v>
        <stp/>
        <stp>##V3_BDHV12</stp>
        <stp>CDSW25 CMPN Curncy</stp>
        <stp>LAST_PRICE</stp>
        <stp>3/26/2019</stp>
        <stp>3/26/2019</stp>
        <stp>[Live Pricing.xlsm]Rate_History!R143C20</stp>
        <tr r="T143" s="49"/>
      </tp>
      <tp t="e">
        <v>#N/A</v>
        <stp/>
        <stp>##V3_BDHV12</stp>
        <stp>CDSW20 CMPN Curncy</stp>
        <stp>LAST_PRICE</stp>
        <stp>3/26/2019</stp>
        <stp>3/26/2019</stp>
        <stp>[Live Pricing.xlsm]Rate_History!R142C20</stp>
        <tr r="T142" s="49"/>
      </tp>
      <tp t="e">
        <v>#N/A</v>
        <stp/>
        <stp>##V3_BDPV12</stp>
        <stp>ESZ9 Comdty</stp>
        <stp>PX_LAST</stp>
        <stp>[Live Pricing.xlsm]FX_Curve_Live!R111C4</stp>
        <tr r="D111" s="42"/>
      </tp>
      <tp t="e">
        <v>#N/A</v>
        <stp/>
        <stp>##V3_BDPV12</stp>
        <stp>BAZ9 Comdty</stp>
        <stp>PX_LAST</stp>
        <stp>[Live Pricing.xlsm]FX_Curve_Live!R136C4</stp>
        <tr r="D136" s="42"/>
      </tp>
      <tp t="e">
        <v>#N/A</v>
        <stp/>
        <stp>##V3_BDHV12</stp>
        <stp>CHF6M BGN Curncy</stp>
        <stp>PX_LAST</stp>
        <stp>3/26/2019</stp>
        <stp>3/26/2019</stp>
        <stp>[Live Pricing.xlsm]FXFR!R120C4</stp>
        <tr r="D120" s="46"/>
      </tp>
      <tp t="e">
        <v>#N/A</v>
        <stp/>
        <stp>##V3_BDPV12</stp>
        <stp>EUSWEC Curncy</stp>
        <stp>PX_LAST</stp>
        <stp>[Live Pricing.xlsm]FX_Curve_Live!R31C2</stp>
        <tr r="B31" s="42"/>
      </tp>
      <tp t="e">
        <v>#N/A</v>
        <stp/>
        <stp>##V3_BDPV12</stp>
        <stp>JYSW13 Index</stp>
        <stp>PX_LAST</stp>
        <stp>[Live Pricing.xlsm]Rate_Live!R67C6</stp>
        <tr r="F67" s="39"/>
      </tp>
      <tp t="e">
        <v>#N/A</v>
        <stp/>
        <stp>##V3_BDHV12</stp>
        <stp>USOND1 ICPL curncy</stp>
        <stp>PX_LAST</stp>
        <stp>3/26/2019</stp>
        <stp>3/26/2019</stp>
        <stp>[Live Pricing.xlsm]Vol_Surface!R4C8</stp>
        <tr r="H4" s="53"/>
      </tp>
      <tp t="e">
        <v>#N/A</v>
        <stp/>
        <stp>##V3_BDHV12</stp>
        <stp>USONE1 ICPL curncy</stp>
        <stp>PX_LAST</stp>
        <stp>3/26/2019</stp>
        <stp>3/26/2019</stp>
        <stp>[Live Pricing.xlsm]Vol_Surface!R4C9</stp>
        <tr r="I4" s="53"/>
      </tp>
      <tp t="e">
        <v>#N/A</v>
        <stp/>
        <stp>##V3_BDHV12</stp>
        <stp>USONA1 ICPL curncy</stp>
        <stp>PX_LAST</stp>
        <stp>3/26/2019</stp>
        <stp>3/26/2019</stp>
        <stp>[Live Pricing.xlsm]Vol_Surface!R4C5</stp>
        <tr r="E4" s="53"/>
      </tp>
      <tp t="e">
        <v>#N/A</v>
        <stp/>
        <stp>##V3_BDHV12</stp>
        <stp>USONB1 ICPL curncy</stp>
        <stp>PX_LAST</stp>
        <stp>3/26/2019</stp>
        <stp>3/26/2019</stp>
        <stp>[Live Pricing.xlsm]Vol_Surface!R4C6</stp>
        <tr r="F4" s="53"/>
      </tp>
      <tp t="e">
        <v>#N/A</v>
        <stp/>
        <stp>##V3_BDHV12</stp>
        <stp>USONC1 ICPL curncy</stp>
        <stp>PX_LAST</stp>
        <stp>3/26/2019</stp>
        <stp>3/26/2019</stp>
        <stp>[Live Pricing.xlsm]Vol_Surface!R4C7</stp>
        <tr r="G4" s="53"/>
      </tp>
      <tp t="e">
        <v>#N/A</v>
        <stp/>
        <stp>##V3_BDPV12</stp>
        <stp>CDSW40 Index</stp>
        <stp>PX_LAST</stp>
        <stp>[Live Pricing.xlsm]FX_Curve_Live!R145C6</stp>
        <tr r="F145" s="42"/>
      </tp>
      <tp t="e">
        <v>#N/A</v>
        <stp/>
        <stp>##V3_BDHV12</stp>
        <stp>HASWDI10Y CMPN Curncy</stp>
        <stp>LAST_PRICE</stp>
        <stp>3/26/2019</stp>
        <stp>3/26/2019</stp>
        <stp>[Live Pricing.xlsm]Rate_History!R168C20</stp>
        <tr r="T168" s="49"/>
        <tr r="T168" s="49"/>
      </tp>
      <tp t="e">
        <v>#N/A</v>
        <stp/>
        <stp>##V3_BDHV12</stp>
        <stp>HASWDI10Y CMPN Curncy</stp>
        <stp>LAST_PRICE</stp>
        <stp>3/26/2019</stp>
        <stp>3/26/2019</stp>
        <stp>[Live Pricing.xlsm]Rate_History!R169C20</stp>
        <tr r="T169" s="49"/>
        <tr r="T169" s="49"/>
      </tp>
      <tp t="e">
        <v>#N/A</v>
        <stp/>
        <stp>##V3_BDHV12</stp>
        <stp>HASWDI10Y CMPN Curncy</stp>
        <stp>LAST_PRICE</stp>
        <stp>3/26/2019</stp>
        <stp>3/26/2019</stp>
        <stp>[Live Pricing.xlsm]Rate_History!R165C20</stp>
        <tr r="T165" s="49"/>
        <tr r="T165" s="49"/>
      </tp>
      <tp t="e">
        <v>#N/A</v>
        <stp/>
        <stp>##V3_BDHV12</stp>
        <stp>HASWDI10Y CMPN Curncy</stp>
        <stp>LAST_PRICE</stp>
        <stp>3/26/2019</stp>
        <stp>3/26/2019</stp>
        <stp>[Live Pricing.xlsm]Rate_History!R166C20</stp>
        <tr r="T166" s="49"/>
        <tr r="T166" s="49"/>
      </tp>
      <tp t="e">
        <v>#N/A</v>
        <stp/>
        <stp>##V3_BDHV12</stp>
        <stp>HASWDI10Y CMPN Curncy</stp>
        <stp>LAST_PRICE</stp>
        <stp>3/26/2019</stp>
        <stp>3/26/2019</stp>
        <stp>[Live Pricing.xlsm]Rate_History!R167C20</stp>
        <tr r="T167" s="49"/>
        <tr r="T167" s="49"/>
      </tp>
      <tp t="e">
        <v>#N/A</v>
        <stp/>
        <stp>##V3_BDHV12</stp>
        <stp>HASWDI10Y CMPN Curncy</stp>
        <stp>LAST_PRICE</stp>
        <stp>3/26/2019</stp>
        <stp>3/26/2019</stp>
        <stp>[Live Pricing.xlsm]Rate_History!R170C20</stp>
        <tr r="T170" s="49"/>
        <tr r="T170" s="49"/>
      </tp>
      <tp t="e">
        <v>#N/A</v>
        <stp/>
        <stp>##V3_BDHV12</stp>
        <stp>HASWDI10Y CMPN Curncy</stp>
        <stp>LAST_PRICE</stp>
        <stp>3/26/2019</stp>
        <stp>3/26/2019</stp>
        <stp>[Live Pricing.xlsm]Rate_History!R171C20</stp>
        <tr r="T171" s="49"/>
        <tr r="T171" s="49"/>
      </tp>
      <tp t="e">
        <v>#N/A</v>
        <stp/>
        <stp>##V3_BDHV12</stp>
        <stp>HASWDI10Y CMPN Curncy</stp>
        <stp>LAST_PRICE</stp>
        <stp>3/26/2019</stp>
        <stp>3/26/2019</stp>
        <stp>[Live Pricing.xlsm]Rate_History!R172C20</stp>
        <tr r="T172" s="49"/>
        <tr r="T172" s="49"/>
      </tp>
      <tp t="e">
        <v>#N/A</v>
        <stp/>
        <stp>##V3_BDPV12</stp>
        <stp>ESU8 Comdty</stp>
        <stp>PX_LAST</stp>
        <stp>[Live Pricing.xlsm]FX_Curve_Live!R106C4</stp>
        <tr r="D106" s="42"/>
      </tp>
      <tp t="e">
        <v>#N/A</v>
        <stp/>
        <stp>##V3_BDPV12</stp>
        <stp>BAU8 Comdty</stp>
        <stp>PX_LAST</stp>
        <stp>[Live Pricing.xlsm]FX_Curve_Live!R131C4</stp>
        <tr r="D131" s="42"/>
      </tp>
      <tp t="e">
        <v>#N/A</v>
        <stp/>
        <stp>##V3_BDHV12</stp>
        <stp>CHF3M BGN Curncy</stp>
        <stp>PX_LAST</stp>
        <stp>3/26/2019</stp>
        <stp>3/26/2019</stp>
        <stp>[Live Pricing.xlsm]FXFR!R117C4</stp>
        <tr r="D117" s="46"/>
      </tp>
      <tp t="e">
        <v>#N/A</v>
        <stp/>
        <stp>##V3_BDPV12</stp>
        <stp>JYSW25 Index</stp>
        <stp>PX_LAST</stp>
        <stp>[Live Pricing.xlsm]Rate_Live!R73C6</stp>
        <tr r="F73" s="39"/>
      </tp>
      <tp t="e">
        <v>#N/A</v>
        <stp/>
        <stp>##V3_BDPV12</stp>
        <stp>JYSW16 Index</stp>
        <stp>PX_LAST</stp>
        <stp>[Live Pricing.xlsm]Rate_Live!R70C6</stp>
        <tr r="F70" s="39"/>
      </tp>
      <tp t="e">
        <v>#N/A</v>
        <stp/>
        <stp>##V3_BDPV12</stp>
        <stp>JYSW40 Index</stp>
        <stp>PX_LAST</stp>
        <stp>[Live Pricing.xlsm]Rate_Live!R75C6</stp>
        <tr r="F75" s="39"/>
      </tp>
      <tp t="e">
        <v>#N/A</v>
        <stp/>
        <stp>##V3_BDPV12</stp>
        <stp>CDSW15 Index</stp>
        <stp>PX_LAST</stp>
        <stp>[Live Pricing.xlsm]FX_Curve_Live!R141C6</stp>
        <tr r="F141" s="42"/>
      </tp>
      <tp t="e">
        <v>#N/A</v>
        <stp/>
        <stp>##V3_BDPV12</stp>
        <stp>CDSW30 Index</stp>
        <stp>PX_LAST</stp>
        <stp>[Live Pricing.xlsm]FX_Curve_Live!R144C6</stp>
        <tr r="F144" s="42"/>
      </tp>
      <tp t="e">
        <v>#N/A</v>
        <stp/>
        <stp>##V3_BDPV12</stp>
        <stp>CDOR12 Index</stp>
        <stp>PX_LAST</stp>
        <stp>[Live Pricing.xlsm]FX_Curve_Live!R136C2</stp>
        <tr r="B136" s="42"/>
      </tp>
      <tp t="e">
        <v>#N/A</v>
        <stp/>
        <stp>##V3_BDPV12</stp>
        <stp>ESZ8 Comdty</stp>
        <stp>PX_LAST</stp>
        <stp>[Live Pricing.xlsm]FX_Curve_Live!R107C4</stp>
        <tr r="D107" s="42"/>
      </tp>
      <tp t="e">
        <v>#N/A</v>
        <stp/>
        <stp>##V3_BDPV12</stp>
        <stp>BPSW10 Index</stp>
        <stp>PX_LAST</stp>
        <stp>[Live Pricing.xlsm]Rate_Live!R89C6</stp>
        <tr r="F89" s="39"/>
      </tp>
      <tp t="e">
        <v>#N/A</v>
        <stp/>
        <stp>##V3_BDHV12</stp>
        <stp>CHF2M BGN Curncy</stp>
        <stp>PX_LAST</stp>
        <stp>3/26/2019</stp>
        <stp>3/26/2019</stp>
        <stp>[Live Pricing.xlsm]FXFR!R116C4</stp>
        <tr r="D116" s="46"/>
      </tp>
      <tp t="e">
        <v>#N/A</v>
        <stp/>
        <stp>##V3_BDPV12</stp>
        <stp>JYSW17 Index</stp>
        <stp>PX_LAST</stp>
        <stp>[Live Pricing.xlsm]Rate_Live!R71C6</stp>
        <tr r="F71" s="39"/>
      </tp>
      <tp t="e">
        <v>#N/A</v>
        <stp/>
        <stp>##V3_BDPV12</stp>
        <stp>JYSW20 Index</stp>
        <stp>PX_LAST</stp>
        <stp>[Live Pricing.xlsm]Rate_Live!R72C6</stp>
        <tr r="F72" s="39"/>
      </tp>
      <tp t="e">
        <v>#N/A</v>
        <stp/>
        <stp>##V3_BDPV12</stp>
        <stp>EUSA9 Index</stp>
        <stp>PX_LAST</stp>
        <stp>[Live Pricing.xlsm]FX_Curve_Live!R38C6</stp>
        <tr r="F38" s="42"/>
      </tp>
      <tp t="e">
        <v>#N/A</v>
        <stp/>
        <stp>##V3_BDPV12</stp>
        <stp>CDOR03 Index</stp>
        <stp>PX_LAST</stp>
        <stp>[Live Pricing.xlsm]FX_Curve_Live!R134C2</stp>
        <tr r="B134" s="42"/>
      </tp>
      <tp t="e">
        <v>#N/A</v>
        <stp/>
        <stp>##V3_BDHV12</stp>
        <stp>EUNEC9 ICPL Curncy</stp>
        <stp>PX_LAST</stp>
        <stp>3/26/2019</stp>
        <stp>3/26/2019</stp>
        <stp>[Live Pricing.xlsm]Vol_Surface!R65C10</stp>
        <tr r="J65" s="53"/>
      </tp>
      <tp t="e">
        <v>#N/A</v>
        <stp/>
        <stp>##V3_BDHV12</stp>
        <stp>EUNEA9 ICPL Curncy</stp>
        <stp>PX_LAST</stp>
        <stp>3/26/2019</stp>
        <stp>3/26/2019</stp>
        <stp>[Live Pricing.xlsm]Vol_Surface!R64C10</stp>
        <tr r="J64" s="53"/>
      </tp>
      <tp t="e">
        <v>#N/A</v>
        <stp/>
        <stp>##V3_BDHV12</stp>
        <stp>EUNEF9 ICPL Curncy</stp>
        <stp>PX_LAST</stp>
        <stp>3/26/2019</stp>
        <stp>3/26/2019</stp>
        <stp>[Live Pricing.xlsm]Vol_Surface!R66C10</stp>
        <tr r="J66" s="53"/>
      </tp>
      <tp t="e">
        <v>#N/A</v>
        <stp/>
        <stp>##V3_BDHV12</stp>
        <stp>EUNEI9 ICPL Curncy</stp>
        <stp>PX_LAST</stp>
        <stp>3/26/2019</stp>
        <stp>3/26/2019</stp>
        <stp>[Live Pricing.xlsm]Vol_Surface!R67C10</stp>
        <tr r="J67" s="53"/>
      </tp>
      <tp t="e">
        <v>#N/A</v>
        <stp/>
        <stp>##V3_BDHV12</stp>
        <stp>EUNE29 ICPL Curncy</stp>
        <stp>PX_LAST</stp>
        <stp>3/26/2019</stp>
        <stp>3/26/2019</stp>
        <stp>[Live Pricing.xlsm]Vol_Surface!R69C10</stp>
        <tr r="J69" s="53"/>
      </tp>
      <tp t="e">
        <v>#N/A</v>
        <stp/>
        <stp>##V3_BDHV12</stp>
        <stp>EUNE19 ICPL Curncy</stp>
        <stp>PX_LAST</stp>
        <stp>3/26/2019</stp>
        <stp>3/26/2019</stp>
        <stp>[Live Pricing.xlsm]Vol_Surface!R68C10</stp>
        <tr r="J68" s="53"/>
      </tp>
      <tp t="e">
        <v>#N/A</v>
        <stp/>
        <stp>##V3_BDHV12</stp>
        <stp>EUNE59 ICPL Curncy</stp>
        <stp>PX_LAST</stp>
        <stp>3/26/2019</stp>
        <stp>3/26/2019</stp>
        <stp>[Live Pricing.xlsm]Vol_Surface!R72C10</stp>
        <tr r="J72" s="53"/>
      </tp>
      <tp t="e">
        <v>#N/A</v>
        <stp/>
        <stp>##V3_BDHV12</stp>
        <stp>EUNE49 ICPL Curncy</stp>
        <stp>PX_LAST</stp>
        <stp>3/26/2019</stp>
        <stp>3/26/2019</stp>
        <stp>[Live Pricing.xlsm]Vol_Surface!R71C10</stp>
        <tr r="J71" s="53"/>
      </tp>
      <tp t="e">
        <v>#N/A</v>
        <stp/>
        <stp>##V3_BDHV12</stp>
        <stp>EUNE39 ICPL Curncy</stp>
        <stp>PX_LAST</stp>
        <stp>3/26/2019</stp>
        <stp>3/26/2019</stp>
        <stp>[Live Pricing.xlsm]Vol_Surface!R70C10</stp>
        <tr r="J70" s="53"/>
      </tp>
      <tp t="e">
        <v>#N/A</v>
        <stp/>
        <stp>##V3_BDPV12</stp>
        <stp>BAH9 Comdty</stp>
        <stp>PX_LAST</stp>
        <stp>[Live Pricing.xlsm]FX_Curve_Live!R133C4</stp>
        <tr r="D133" s="42"/>
      </tp>
      <tp t="e">
        <v>#N/A</v>
        <stp/>
        <stp>##V3_BDPV12</stp>
        <stp>CLSWIB1 Index</stp>
        <stp>PX_LAST</stp>
        <stp>[Live Pricing.xlsm]Rate_Live!R186C2</stp>
        <tr r="B186" s="39"/>
      </tp>
      <tp t="e">
        <v>#N/A</v>
        <stp/>
        <stp>##V3_BDPV12</stp>
        <stp>CLSWIB4 Index</stp>
        <stp>PX_LAST</stp>
        <stp>[Live Pricing.xlsm]Rate_Live!R183C6</stp>
        <tr r="F183" s="39"/>
      </tp>
      <tp t="e">
        <v>#N/A</v>
        <stp/>
        <stp>##V3_BDHV12</stp>
        <stp>CHF1M BGN Curncy</stp>
        <stp>PX_LAST</stp>
        <stp>3/26/2019</stp>
        <stp>3/26/2019</stp>
        <stp>[Live Pricing.xlsm]FXFR!R115C4</stp>
        <tr r="D115" s="46"/>
      </tp>
      <tp t="e">
        <v>#N/A</v>
        <stp/>
        <stp>##V3_BDHV12</stp>
        <stp>USSW6 CMPN Curncy</stp>
        <stp>Close</stp>
        <stp>03/26/2019 15:00:00</stp>
        <stp>03/26/2019 15:01:00</stp>
        <stp>[Live Pricing.xlsm]Rate_History!R10C18</stp>
        <stp>BarType</stp>
        <stp>T</stp>
        <stp>Dir=V</stp>
        <stp>cols=2;rows=1</stp>
        <tr r="R10" s="49"/>
      </tp>
      <tp t="e">
        <v>#N/A</v>
        <stp/>
        <stp>##V3_BDHV12</stp>
        <stp>USSW7 CMPN Curncy</stp>
        <stp>Close</stp>
        <stp>03/26/2019 15:00:00</stp>
        <stp>03/26/2019 15:01:00</stp>
        <stp>[Live Pricing.xlsm]Rate_History!R11C18</stp>
        <stp>BarType</stp>
        <stp>T</stp>
        <stp>Dir=V</stp>
        <stp>cols=2;rows=1</stp>
        <tr r="R11" s="49"/>
      </tp>
      <tp t="e">
        <v>#N/A</v>
        <stp/>
        <stp>##V3_BDHV12</stp>
        <stp>USSW8 CMPN Curncy</stp>
        <stp>Close</stp>
        <stp>03/26/2019 15:00:00</stp>
        <stp>03/26/2019 15:01:00</stp>
        <stp>[Live Pricing.xlsm]Rate_History!R12C18</stp>
        <stp>BarType</stp>
        <stp>T</stp>
        <stp>Dir=V</stp>
        <stp>cols=2;rows=1</stp>
        <tr r="R12" s="49"/>
      </tp>
      <tp t="e">
        <v>#N/A</v>
        <stp/>
        <stp>##V3_BDHV12</stp>
        <stp>USSW9 CMPN Curncy</stp>
        <stp>Close</stp>
        <stp>03/26/2019 15:00:00</stp>
        <stp>03/26/2019 15:01:00</stp>
        <stp>[Live Pricing.xlsm]Rate_History!R13C18</stp>
        <stp>BarType</stp>
        <stp>T</stp>
        <stp>Dir=V</stp>
        <stp>cols=2;rows=1</stp>
        <tr r="R13" s="49"/>
      </tp>
      <tp t="e">
        <v>#N/A</v>
        <stp/>
        <stp>##V3_BDPV12</stp>
        <stp>CDSW25 Index</stp>
        <stp>PX_LAST</stp>
        <stp>[Live Pricing.xlsm]FX_Curve_Live!R143C6</stp>
        <tr r="F143" s="42"/>
      </tp>
      <tp t="e">
        <v>#N/A</v>
        <stp/>
        <stp>##V3_BDPV12</stp>
        <stp>SFSW10 Index</stp>
        <stp>PX_LAST</stp>
        <stp>[Live Pricing.xlsm]FX_Curve_Live!R114C6</stp>
        <tr r="F114" s="42"/>
      </tp>
      <tp t="e">
        <v>#N/A</v>
        <stp/>
        <stp>##V3_BDPV12</stp>
        <stp>SFSW11 Index</stp>
        <stp>PX_LAST</stp>
        <stp>[Live Pricing.xlsm]FX_Curve_Live!R115C6</stp>
        <tr r="F115" s="42"/>
      </tp>
      <tp t="e">
        <v>#N/A</v>
        <stp/>
        <stp>##V3_BDPV12</stp>
        <stp>SFSW12 Index</stp>
        <stp>PX_LAST</stp>
        <stp>[Live Pricing.xlsm]FX_Curve_Live!R116C6</stp>
        <tr r="F116" s="42"/>
      </tp>
      <tp t="e">
        <v>#N/A</v>
        <stp/>
        <stp>##V3_BDPV12</stp>
        <stp>SFSW13 Index</stp>
        <stp>PX_LAST</stp>
        <stp>[Live Pricing.xlsm]FX_Curve_Live!R117C6</stp>
        <tr r="F117" s="42"/>
      </tp>
      <tp t="e">
        <v>#N/A</v>
        <stp/>
        <stp>##V3_BDPV12</stp>
        <stp>SFSW25 Index</stp>
        <stp>PX_LAST</stp>
        <stp>[Live Pricing.xlsm]FX_Curve_Live!R121C6</stp>
        <tr r="F121" s="42"/>
      </tp>
      <tp t="e">
        <v>#N/A</v>
        <stp/>
        <stp>##V3_BDPV12</stp>
        <stp>JY0012M Index</stp>
        <stp>PX_LAST</stp>
        <stp>[Live Pricing.xlsm]Rate_Live!R61C2</stp>
        <tr r="B61" s="39"/>
      </tp>
      <tp t="e">
        <v>#N/A</v>
        <stp/>
        <stp>##V3_BDPV12</stp>
        <stp>BAZ8 Comdty</stp>
        <stp>PX_LAST</stp>
        <stp>[Live Pricing.xlsm]FX_Curve_Live!R132C4</stp>
        <tr r="D132" s="42"/>
      </tp>
      <tp t="e">
        <v>#N/A</v>
        <stp/>
        <stp>##V3_BDPV12</stp>
        <stp>BPSW25 Index</stp>
        <stp>PX_LAST</stp>
        <stp>[Live Pricing.xlsm]Rate_Live!R98C6</stp>
        <tr r="F98" s="39"/>
      </tp>
      <tp t="e">
        <v>#N/A</v>
        <stp/>
        <stp>##V3_BDPV12</stp>
        <stp>BPSW30 Index</stp>
        <stp>PX_LAST</stp>
        <stp>[Live Pricing.xlsm]Rate_Live!R99C6</stp>
        <tr r="F99" s="39"/>
      </tp>
      <tp t="e">
        <v>#N/A</v>
        <stp/>
        <stp>##V3_BDPV12</stp>
        <stp>JYSW6 Index</stp>
        <stp>PX_LAST</stp>
        <stp>[Live Pricing.xlsm]FX_Curve_Live!R60C6</stp>
        <tr r="F60" s="42"/>
      </tp>
      <tp t="e">
        <v>#N/A</v>
        <stp/>
        <stp>##V3_BDHV12</stp>
        <stp>USONX05 ICPL curncy</stp>
        <stp>PX_LAST</stp>
        <stp>3/26/2019</stp>
        <stp>3/26/2019</stp>
        <stp>[Live Pricing.xlsm]Vol_Surface!R8C2</stp>
        <tr r="B8" s="53"/>
      </tp>
      <tp t="e">
        <v>#N/A</v>
        <stp/>
        <stp>##V3_BDHV12</stp>
        <stp>USONY07 ICPL curncy</stp>
        <stp>PX_LAST</stp>
        <stp>3/26/2019</stp>
        <stp>3/26/2019</stp>
        <stp>[Live Pricing.xlsm]Vol_Surface!R9C3</stp>
        <tr r="C9" s="53"/>
      </tp>
      <tp t="e">
        <v>#N/A</v>
        <stp/>
        <stp>##V3_BDHV12</stp>
        <stp>CHF12M BGN Curncy</stp>
        <stp>PX_LAST</stp>
        <stp>3/26/2019</stp>
        <stp>3/26/2019</stp>
        <stp>[Live Pricing.xlsm]FXFR!R122C4</stp>
        <tr r="D122" s="46"/>
      </tp>
      <tp t="e">
        <v>#N/A</v>
        <stp/>
        <stp>##V3_BDPV12</stp>
        <stp>USSW6 Index</stp>
        <stp>PX_LAST</stp>
        <stp>[Live Pricing.xlsm]FX_Curve_Live!R10C6</stp>
        <tr r="F10" s="42"/>
      </tp>
      <tp t="e">
        <v>#N/A</v>
        <stp/>
        <stp>##V3_BDPV12</stp>
        <stp>SF0001M Index</stp>
        <stp>PX_LAST</stp>
        <stp>[Live Pricing.xlsm]Rate_Live!R107C2</stp>
        <tr r="B107" s="39"/>
      </tp>
      <tp t="e">
        <v>#N/A</v>
        <stp/>
        <stp>##V3_BDHV12</stp>
        <stp>CLSWIB9 CMPN Index</stp>
        <stp>LAST_PRICE</stp>
        <stp>3/26/2019</stp>
        <stp>3/26/2019</stp>
        <stp>[Live Pricing.xlsm]Rate_History!R188C20</stp>
        <tr r="T188" s="49"/>
      </tp>
      <tp t="e">
        <v>#N/A</v>
        <stp/>
        <stp>##V3_BDPV12</stp>
        <stp>CLSWIB12 Index</stp>
        <stp>PX_LAST</stp>
        <stp>[Live Pricing.xlsm]Rate_Live!R191C6</stp>
        <tr r="F191" s="39"/>
      </tp>
      <tp t="e">
        <v>#N/A</v>
        <stp/>
        <stp>##V3_BDPV12</stp>
        <stp>YEZ9 Comdty</stp>
        <stp>PX_LAST</stp>
        <stp>[Live Pricing.xlsm]Rate_Live!R58C4</stp>
        <tr r="D58" s="39"/>
      </tp>
      <tp t="e">
        <v>#N/A</v>
        <stp/>
        <stp>##V3_BDPV12</stp>
        <stp>YEU0 Comdty</stp>
        <stp>PX_LAST</stp>
        <stp>[Live Pricing.xlsm]Rate_Live!R61C4</stp>
        <tr r="D61" s="39"/>
      </tp>
      <tp t="e">
        <v>#N/A</v>
        <stp/>
        <stp>##V3_BDPV12</stp>
        <stp>EDU0 Comdty</stp>
        <stp>PX_LAST</stp>
        <stp>[Live Pricing.xlsm]Rate_Live!R11C4</stp>
        <tr r="D11" s="39"/>
      </tp>
      <tp t="e">
        <v>#N/A</v>
        <stp/>
        <stp>##V3_BDHV12</stp>
        <stp>EDM9 Comdty</stp>
        <stp>PX_LAST</stp>
        <stp>3/26/2019</stp>
        <stp>3/26/2019</stp>
        <stp>[Live Pricing.xlsm]FX_Curve_History!R9C4</stp>
        <tr r="D9" s="50"/>
      </tp>
      <tp t="e">
        <v>#N/A</v>
        <stp/>
        <stp>##V3_BDHV12</stp>
        <stp>CLSWIB12 Index</stp>
        <stp>PX_LAST</stp>
        <stp>3/26/2019</stp>
        <stp>3/26/2019</stp>
        <stp>[Live Pricing.xlsm]FX_Curve_History!R191C6</stp>
        <tr r="F191" s="50"/>
      </tp>
      <tp t="e">
        <v>#N/A</v>
        <stp/>
        <stp>##V3_BDPV12</stp>
        <stp>JYSW7 Index</stp>
        <stp>PX_LAST</stp>
        <stp>[Live Pricing.xlsm]FX_Curve_Live!R61C6</stp>
        <tr r="F61" s="42"/>
      </tp>
      <tp t="e">
        <v>#N/A</v>
        <stp/>
        <stp>##V3_BDPV12</stp>
        <stp>BPSW2 Index</stp>
        <stp>PX_LAST</stp>
        <stp>[Live Pricing.xlsm]FX_Curve_Live!R81C6</stp>
        <tr r="F81" s="42"/>
      </tp>
      <tp t="e">
        <v>#N/A</v>
        <stp/>
        <stp>##V3_BDHV12</stp>
        <stp>USONY05 ICPL curncy</stp>
        <stp>PX_LAST</stp>
        <stp>3/26/2019</stp>
        <stp>3/26/2019</stp>
        <stp>[Live Pricing.xlsm]Vol_Surface!R8C3</stp>
        <tr r="C8" s="53"/>
      </tp>
      <tp t="e">
        <v>#N/A</v>
        <stp/>
        <stp>##V3_BDHV12</stp>
        <stp>USONX07 ICPL curncy</stp>
        <stp>PX_LAST</stp>
        <stp>3/26/2019</stp>
        <stp>3/26/2019</stp>
        <stp>[Live Pricing.xlsm]Vol_Surface!R9C2</stp>
        <tr r="B9" s="53"/>
      </tp>
      <tp t="e">
        <v>#N/A</v>
        <stp/>
        <stp>##V3_BDHV12</stp>
        <stp>HASWDI10Y Index</stp>
        <stp>PX_LAST</stp>
        <stp>3/26/2019</stp>
        <stp>3/26/2019</stp>
        <stp>[Live Pricing.xlsm]FX_Curve_History!R172C9</stp>
        <tr r="I172" s="50"/>
        <tr r="I172" s="50"/>
      </tp>
      <tp t="e">
        <v>#N/A</v>
        <stp/>
        <stp>##V3_BDPV12</stp>
        <stp>USSW7 Index</stp>
        <stp>PX_LAST</stp>
        <stp>[Live Pricing.xlsm]FX_Curve_Live!R11C6</stp>
        <tr r="F11" s="42"/>
      </tp>
      <tp t="e">
        <v>#N/A</v>
        <stp/>
        <stp>##V3_BDHV12</stp>
        <stp>CLSWIB8 CMPN Index</stp>
        <stp>LAST_PRICE</stp>
        <stp>3/26/2019</stp>
        <stp>3/26/2019</stp>
        <stp>[Live Pricing.xlsm]Rate_History!R187C20</stp>
        <tr r="T187" s="49"/>
      </tp>
      <tp t="e">
        <v>#N/A</v>
        <stp/>
        <stp>##V3_BDPV12</stp>
        <stp>YEM0 Comdty</stp>
        <stp>PX_LAST</stp>
        <stp>[Live Pricing.xlsm]Rate_Live!R60C4</stp>
        <tr r="D60" s="39"/>
      </tp>
      <tp t="e">
        <v>#N/A</v>
        <stp/>
        <stp>##V3_BDPV12</stp>
        <stp>EDM0 Comdty</stp>
        <stp>PX_LAST</stp>
        <stp>[Live Pricing.xlsm]Rate_Live!R10C4</stp>
        <tr r="D10" s="39"/>
      </tp>
      <tp t="e">
        <v>#N/A</v>
        <stp/>
        <stp>##V3_BDHV12</stp>
        <stp>EDH9 Comdty</stp>
        <stp>PX_LAST</stp>
        <stp>3/26/2019</stp>
        <stp>3/26/2019</stp>
        <stp>[Live Pricing.xlsm]FX_Curve_History!R8C4</stp>
        <tr r="D8" s="50"/>
      </tp>
      <tp t="e">
        <v>#N/A</v>
        <stp/>
        <stp>##V3_BDPV12</stp>
        <stp>BPSW3 Index</stp>
        <stp>PX_LAST</stp>
        <stp>[Live Pricing.xlsm]FX_Curve_Live!R82C6</stp>
        <tr r="F82" s="42"/>
      </tp>
      <tp t="e">
        <v>#N/A</v>
        <stp/>
        <stp>##V3_BDPV12</stp>
        <stp>JYSW8 Index</stp>
        <stp>PX_LAST</stp>
        <stp>[Live Pricing.xlsm]FX_Curve_Live!R62C6</stp>
        <tr r="F62" s="42"/>
      </tp>
      <tp t="e">
        <v>#N/A</v>
        <stp/>
        <stp>##V3_BDHV12</stp>
        <stp>USONZ05 ICPL curncy</stp>
        <stp>PX_LAST</stp>
        <stp>3/26/2019</stp>
        <stp>3/26/2019</stp>
        <stp>[Live Pricing.xlsm]Vol_Surface!R8C4</stp>
        <tr r="D8" s="53"/>
      </tp>
      <tp t="e">
        <v>#N/A</v>
        <stp/>
        <stp>##V3_BDPV12</stp>
        <stp>USSW8 Index</stp>
        <stp>PX_LAST</stp>
        <stp>[Live Pricing.xlsm]FX_Curve_Live!R12C6</stp>
        <tr r="F12" s="42"/>
      </tp>
      <tp t="e">
        <v>#N/A</v>
        <stp/>
        <stp>##V3_BDHV12</stp>
        <stp>HASWDI10Y Index</stp>
        <stp>PX_LAST</stp>
        <stp>3/26/2019</stp>
        <stp>3/26/2019</stp>
        <stp>[Live Pricing.xlsm]FX_Curve_History!R171C9</stp>
        <tr r="I171" s="50"/>
        <tr r="I171" s="50"/>
      </tp>
      <tp t="e">
        <v>#N/A</v>
        <stp/>
        <stp>##V3_BDPV12</stp>
        <stp>SF00S/N Index</stp>
        <stp>PX_LAST</stp>
        <stp>[Live Pricing.xlsm]Rate_Live!R106C2</stp>
        <tr r="B106" s="39"/>
      </tp>
      <tp t="e">
        <v>#N/A</v>
        <stp/>
        <stp>##V3_BDPV12</stp>
        <stp>USSW17 Index</stp>
        <stp>PX_LAST</stp>
        <stp>[Live Pricing.xlsm]Rate_Live!R21C6</stp>
        <tr r="F21" s="39"/>
      </tp>
      <tp t="e">
        <v>#N/A</v>
        <stp/>
        <stp>##V3_BDPV12</stp>
        <stp>USSW20 Index</stp>
        <stp>PX_LAST</stp>
        <stp>[Live Pricing.xlsm]Rate_Live!R22C6</stp>
        <tr r="F22" s="39"/>
      </tp>
      <tp t="e">
        <v>#N/A</v>
        <stp/>
        <stp>##V3_BDPV12</stp>
        <stp>CLSWIB15 Index</stp>
        <stp>PX_LAST</stp>
        <stp>[Live Pricing.xlsm]Rate_Live!R194C6</stp>
        <tr r="F194" s="39"/>
      </tp>
      <tp t="e">
        <v>#N/A</v>
        <stp/>
        <stp>##V3_BDPV12</stp>
        <stp>YEH0 Comdty</stp>
        <stp>PX_LAST</stp>
        <stp>[Live Pricing.xlsm]Rate_Live!R63C4</stp>
        <tr r="D63" s="39"/>
      </tp>
      <tp t="e">
        <v>#N/A</v>
        <stp/>
        <stp>##V3_BDPV12</stp>
        <stp>EDH0 Comdty</stp>
        <stp>PX_LAST</stp>
        <stp>[Live Pricing.xlsm]Rate_Live!R13C4</stp>
        <tr r="D13" s="39"/>
      </tp>
      <tp t="e">
        <v>#N/A</v>
        <stp/>
        <stp>##V3_BDHV12</stp>
        <stp>US0003m Index</stp>
        <stp>PX_LAST</stp>
        <stp>3/26/2019</stp>
        <stp>3/26/2019</stp>
        <stp>[Live Pricing.xlsm]Rate_History!R9C2</stp>
        <tr r="B9" s="49"/>
        <tr r="B9" s="49"/>
      </tp>
      <tp t="e">
        <v>#N/A</v>
        <stp/>
        <stp>##V3_BDPV12</stp>
        <stp>BPSW4 Index</stp>
        <stp>PX_LAST</stp>
        <stp>[Live Pricing.xlsm]FX_Curve_Live!R83C6</stp>
        <tr r="F83" s="42"/>
      </tp>
      <tp t="e">
        <v>#N/A</v>
        <stp/>
        <stp>##V3_BDPV12</stp>
        <stp>JYSW9 Index</stp>
        <stp>PX_LAST</stp>
        <stp>[Live Pricing.xlsm]FX_Curve_Live!R63C6</stp>
        <tr r="F63" s="42"/>
      </tp>
      <tp t="e">
        <v>#N/A</v>
        <stp/>
        <stp>##V3_BDPV12</stp>
        <stp>USSW9 Index</stp>
        <stp>PX_LAST</stp>
        <stp>[Live Pricing.xlsm]FX_Curve_Live!R13C6</stp>
        <tr r="F13" s="42"/>
      </tp>
      <tp t="e">
        <v>#N/A</v>
        <stp/>
        <stp>##V3_BDHV12</stp>
        <stp>USONZ07 ICPL curncy</stp>
        <stp>PX_LAST</stp>
        <stp>3/26/2019</stp>
        <stp>3/26/2019</stp>
        <stp>[Live Pricing.xlsm]Vol_Surface!R9C4</stp>
        <tr r="D9" s="53"/>
      </tp>
      <tp t="e">
        <v>#N/A</v>
        <stp/>
        <stp>##V3_BDHV12</stp>
        <stp>HASWDI10Y Index</stp>
        <stp>PX_LAST</stp>
        <stp>3/26/2019</stp>
        <stp>3/26/2019</stp>
        <stp>[Live Pricing.xlsm]FX_Curve_History!R170C9</stp>
        <tr r="I170" s="50"/>
        <tr r="I170" s="50"/>
      </tp>
      <tp t="e">
        <v>#N/A</v>
        <stp/>
        <stp>##V3_BDPV12</stp>
        <stp>USSW16 Index</stp>
        <stp>PX_LAST</stp>
        <stp>[Live Pricing.xlsm]Rate_Live!R20C6</stp>
        <tr r="F20" s="39"/>
      </tp>
      <tp t="e">
        <v>#N/A</v>
        <stp/>
        <stp>##V3_BDPV12</stp>
        <stp>USSW25 Index</stp>
        <stp>PX_LAST</stp>
        <stp>[Live Pricing.xlsm]Rate_Live!R23C6</stp>
        <tr r="F23" s="39"/>
      </tp>
      <tp t="e">
        <v>#N/A</v>
        <stp/>
        <stp>##V3_BDPV12</stp>
        <stp>USSW40 Index</stp>
        <stp>PX_LAST</stp>
        <stp>[Live Pricing.xlsm]Rate_Live!R25C6</stp>
        <tr r="F25" s="39"/>
      </tp>
      <tp t="e">
        <v>#N/A</v>
        <stp/>
        <stp>##V3_BDPV12</stp>
        <stp>CDSW8 Index</stp>
        <stp>PX_LAST</stp>
        <stp>[Live Pricing.xlsm]FX_Curve_Live!R137C6</stp>
        <tr r="F137" s="42"/>
      </tp>
      <tp t="e">
        <v>#N/A</v>
        <stp/>
        <stp>##V3_BDPV12</stp>
        <stp>YEZ0 Comdty</stp>
        <stp>PX_LAST</stp>
        <stp>[Live Pricing.xlsm]Rate_Live!R62C4</stp>
        <tr r="D62" s="39"/>
      </tp>
      <tp t="e">
        <v>#N/A</v>
        <stp/>
        <stp>##V3_BDPV12</stp>
        <stp>EDZ0 Comdty</stp>
        <stp>PX_LAST</stp>
        <stp>[Live Pricing.xlsm]Rate_Live!R12C4</stp>
        <tr r="D12" s="39"/>
      </tp>
      <tp t="e">
        <v>#N/A</v>
        <stp/>
        <stp>##V3_BDPV12</stp>
        <stp>BLBS2 Index</stp>
        <stp>PX_LAST</stp>
        <stp>[Live Pricing.xlsm]FX_Curve_Live!R156C13</stp>
        <stp>43430</stp>
        <stp>43430</stp>
        <tr r="M156" s="42"/>
      </tp>
      <tp t="e">
        <v>#N/A</v>
        <stp/>
        <stp>##V3_BDHV12</stp>
        <stp>US0002m Index</stp>
        <stp>PX_LAST</stp>
        <stp>3/26/2019</stp>
        <stp>3/26/2019</stp>
        <stp>[Live Pricing.xlsm]Rate_History!R8C2</stp>
        <tr r="B8" s="49"/>
        <tr r="B8" s="49"/>
      </tp>
      <tp t="e">
        <v>#N/A</v>
        <stp/>
        <stp>##V3_BDPV12</stp>
        <stp>USSW4 Index</stp>
        <stp>PX_LAST</stp>
        <stp>[Live Pricing.xlsm]FX_Curve_Live!R8C6</stp>
        <tr r="F8" s="42"/>
      </tp>
      <tp t="e">
        <v>#N/A</v>
        <stp/>
        <stp>##V3_BDPV12</stp>
        <stp>BPSW5 Index</stp>
        <stp>PX_LAST</stp>
        <stp>[Live Pricing.xlsm]FX_Curve_Live!R84C6</stp>
        <tr r="F84" s="42"/>
      </tp>
      <tp t="e">
        <v>#N/A</v>
        <stp/>
        <stp>##V3_BDHV12</stp>
        <stp>HASWDI10Y Index</stp>
        <stp>PX_LAST</stp>
        <stp>3/26/2019</stp>
        <stp>3/26/2019</stp>
        <stp>[Live Pricing.xlsm]FX_Curve_History!R167C9</stp>
        <tr r="I167" s="50"/>
        <tr r="I167" s="50"/>
      </tp>
      <tp t="e">
        <v>#N/A</v>
        <stp/>
        <stp>##V3_BDHV12</stp>
        <stp>EU0Z2505 ICPL Curncy</stp>
        <stp>PX_LAST</stp>
        <stp>3/26/2019</stp>
        <stp>3/26/2019</stp>
        <stp>[Live Pricing.xlsm]Vol_Surface!R28C3</stp>
        <tr r="C28" s="53"/>
      </tp>
      <tp t="e">
        <v>#N/A</v>
        <stp/>
        <stp>##V3_BDHV12</stp>
        <stp>EU0Z0505 ICPL Curncy</stp>
        <stp>PX_LAST</stp>
        <stp>3/26/2019</stp>
        <stp>3/26/2019</stp>
        <stp>[Live Pricing.xlsm]Vol_Surface!R28C2</stp>
        <tr r="B28" s="53"/>
      </tp>
      <tp t="e">
        <v>#N/A</v>
        <stp/>
        <stp>##V3_BDHV12</stp>
        <stp>EU0Z1305 ICPL Curncy</stp>
        <stp>PX_LAST</stp>
        <stp>3/26/2019</stp>
        <stp>3/26/2019</stp>
        <stp>[Live Pricing.xlsm]Vol_Surface!R28C4</stp>
        <tr r="D28" s="53"/>
      </tp>
      <tp t="e">
        <v>#N/A</v>
        <stp/>
        <stp>##V3_BDPV12</stp>
        <stp>USSW13 Index</stp>
        <stp>PX_LAST</stp>
        <stp>[Live Pricing.xlsm]Rate_Live!R17C6</stp>
        <tr r="F17" s="39"/>
      </tp>
      <tp t="e">
        <v>#N/A</v>
        <stp/>
        <stp>##V3_BDPV12</stp>
        <stp>CLSWIB20 Index</stp>
        <stp>PX_LAST</stp>
        <stp>[Live Pricing.xlsm]Rate_Live!R197C6</stp>
        <tr r="F197" s="39"/>
      </tp>
      <tp t="e">
        <v>#N/A</v>
        <stp/>
        <stp>##V3_BDPV12</stp>
        <stp>ERM0 Comdty</stp>
        <stp>PX_LAST</stp>
        <stp>[Live Pricing.xlsm]Rate_Live!R35C4</stp>
        <tr r="D35" s="39"/>
      </tp>
      <tp t="e">
        <v>#N/A</v>
        <stp/>
        <stp>##V3_BDPV12</stp>
        <stp>L M0 Comdty</stp>
        <stp>PX_LAST</stp>
        <stp>[Live Pricing.xlsm]Rate_Live!R85C4</stp>
        <tr r="D85" s="39"/>
      </tp>
      <tp t="e">
        <v>#N/A</v>
        <stp/>
        <stp>##V3_BDPV12</stp>
        <stp>BLBS1 Curncy</stp>
        <stp>PX_LAST</stp>
        <stp>[Live Pricing.xlsm]FX_Curve_Live!R156C16</stp>
        <tr r="P156" s="42"/>
      </tp>
      <tp t="e">
        <v>#N/A</v>
        <stp/>
        <stp>##V3_BDPV12</stp>
        <stp>USSW5 Index</stp>
        <stp>PX_LAST</stp>
        <stp>[Live Pricing.xlsm]FX_Curve_Live!R9C6</stp>
        <tr r="F9" s="42"/>
      </tp>
      <tp t="e">
        <v>#N/A</v>
        <stp/>
        <stp>##V3_BDHV12</stp>
        <stp>HASWDI2Y Index</stp>
        <stp>PX_LAST</stp>
        <stp>3/26/2019</stp>
        <stp>3/26/2019</stp>
        <stp>[Live Pricing.xlsm]FX_Curve_History!R157C9</stp>
        <tr r="I157" s="50"/>
        <tr r="I157" s="50"/>
      </tp>
      <tp t="e">
        <v>#N/A</v>
        <stp/>
        <stp>##V3_BDHV12</stp>
        <stp>HASWDI5Y Index</stp>
        <stp>PX_LAST</stp>
        <stp>3/26/2019</stp>
        <stp>3/26/2019</stp>
        <stp>[Live Pricing.xlsm]FX_Curve_History!R160C9</stp>
        <tr r="I160" s="50"/>
        <tr r="I160" s="50"/>
      </tp>
      <tp t="e">
        <v>#N/A</v>
        <stp/>
        <stp>##V3_BDHV12</stp>
        <stp>HASWDI7Y Index</stp>
        <stp>PX_LAST</stp>
        <stp>3/26/2019</stp>
        <stp>3/26/2019</stp>
        <stp>[Live Pricing.xlsm]FX_Curve_History!R162C9</stp>
        <tr r="I162" s="50"/>
        <tr r="I162" s="50"/>
      </tp>
      <tp t="e">
        <v>#N/A</v>
        <stp/>
        <stp>##V3_BDPV12</stp>
        <stp>JY00S/N Index</stp>
        <stp>PX_LAST</stp>
        <stp>[Live Pricing.xlsm]Rate_Live!R56C2</stp>
        <tr r="B56" s="39"/>
      </tp>
      <tp t="e">
        <v>#N/A</v>
        <stp/>
        <stp>##V3_BDPV12</stp>
        <stp>BPSW6 Index</stp>
        <stp>PX_LAST</stp>
        <stp>[Live Pricing.xlsm]FX_Curve_Live!R85C6</stp>
        <tr r="F85" s="42"/>
      </tp>
      <tp t="e">
        <v>#N/A</v>
        <stp/>
        <stp>##V3_BDHV12</stp>
        <stp>HASWDI10Y Index</stp>
        <stp>PX_LAST</stp>
        <stp>3/26/2019</stp>
        <stp>3/26/2019</stp>
        <stp>[Live Pricing.xlsm]FX_Curve_History!R166C9</stp>
        <tr r="I166" s="50"/>
        <tr r="I166" s="50"/>
      </tp>
      <tp t="e">
        <v>#N/A</v>
        <stp/>
        <stp>##V3_BDHV12</stp>
        <stp>BP00O/N Index</stp>
        <stp>PX_LAST</stp>
        <stp>3/26/2019</stp>
        <stp>3/26/2019</stp>
        <stp>[Live Pricing.xlsm]Rate_History!R81C2</stp>
        <tr r="B81" s="49"/>
      </tp>
      <tp t="e">
        <v>#N/A</v>
        <stp/>
        <stp>##V3_BDHV12</stp>
        <stp>EU0Z2507 ICPL Curncy</stp>
        <stp>PX_LAST</stp>
        <stp>3/26/2019</stp>
        <stp>3/26/2019</stp>
        <stp>[Live Pricing.xlsm]Vol_Surface!R29C3</stp>
        <tr r="C29" s="53"/>
      </tp>
      <tp t="e">
        <v>#N/A</v>
        <stp/>
        <stp>##V3_BDHV12</stp>
        <stp>EU0Z0507 ICPL Curncy</stp>
        <stp>PX_LAST</stp>
        <stp>3/26/2019</stp>
        <stp>3/26/2019</stp>
        <stp>[Live Pricing.xlsm]Vol_Surface!R29C2</stp>
        <tr r="B29" s="53"/>
      </tp>
      <tp t="e">
        <v>#N/A</v>
        <stp/>
        <stp>##V3_BDHV12</stp>
        <stp>EU0Z1307 ICPL Curncy</stp>
        <stp>PX_LAST</stp>
        <stp>3/26/2019</stp>
        <stp>3/26/2019</stp>
        <stp>[Live Pricing.xlsm]Vol_Surface!R29C4</stp>
        <tr r="D29" s="53"/>
      </tp>
      <tp t="e">
        <v>#N/A</v>
        <stp/>
        <stp>##V3_BDPV12</stp>
        <stp>HASWDI10Y Index</stp>
        <stp>PX_LAST</stp>
        <stp>[Live Pricing.xlsm]FX_Curve_Live!R165C9</stp>
        <stp/>
        <stp/>
        <tr r="I165" s="42"/>
      </tp>
      <tp t="e">
        <v>#N/A</v>
        <stp/>
        <stp>##V3_BDPV12</stp>
        <stp>USSW12 Index</stp>
        <stp>PX_LAST</stp>
        <stp>[Live Pricing.xlsm]Rate_Live!R16C6</stp>
        <tr r="F16" s="39"/>
      </tp>
      <tp t="e">
        <v>#N/A</v>
        <stp/>
        <stp>##V3_BDPV12</stp>
        <stp>USSW30 Index</stp>
        <stp>PX_LAST</stp>
        <stp>[Live Pricing.xlsm]Rate_Live!R24C6</stp>
        <tr r="F24" s="39"/>
      </tp>
      <tp t="e">
        <v>#N/A</v>
        <stp/>
        <stp>##V3_BDHV12</stp>
        <stp>CHF1W BGN Curncy</stp>
        <stp>PX_LAST</stp>
        <stp>3/26/2019</stp>
        <stp>3/26/2019</stp>
        <stp>[Live Pricing.xlsm]FXFR!R114C4</stp>
        <tr r="D114" s="46"/>
      </tp>
      <tp t="e">
        <v>#N/A</v>
        <stp/>
        <stp>##V3_BDPV12</stp>
        <stp>ERH0 Comdty</stp>
        <stp>PX_LAST</stp>
        <stp>[Live Pricing.xlsm]Rate_Live!R34C4</stp>
        <tr r="D34" s="39"/>
      </tp>
      <tp t="e">
        <v>#N/A</v>
        <stp/>
        <stp>##V3_BDPV12</stp>
        <stp>L H0 Comdty</stp>
        <stp>PX_LAST</stp>
        <stp>[Live Pricing.xlsm]Rate_Live!R84C4</stp>
        <tr r="D84" s="39"/>
      </tp>
      <tp t="e">
        <v>#N/A</v>
        <stp/>
        <stp>##V3_BDHV12</stp>
        <stp>CLSWIB15 Index</stp>
        <stp>PX_LAST</stp>
        <stp>3/26/2019</stp>
        <stp>3/26/2019</stp>
        <stp>[Live Pricing.xlsm]FX_Curve_History!R194C6</stp>
        <tr r="F194" s="50"/>
      </tp>
      <tp t="e">
        <v>#N/A</v>
        <stp/>
        <stp>##V3_BDHV12</stp>
        <stp>CLSWIB20 Index</stp>
        <stp>PX_LAST</stp>
        <stp>3/26/2019</stp>
        <stp>3/26/2019</stp>
        <stp>[Live Pricing.xlsm]FX_Curve_History!R197C6</stp>
        <tr r="F197" s="50"/>
      </tp>
      <tp t="e">
        <v>#N/A</v>
        <stp/>
        <stp>##V3_BDPV12</stp>
        <stp>JYSW2 Index</stp>
        <stp>PX_LAST</stp>
        <stp>[Live Pricing.xlsm]FX_Curve_Live!R56C6</stp>
        <tr r="F56" s="42"/>
      </tp>
      <tp t="e">
        <v>#N/A</v>
        <stp/>
        <stp>##V3_BDPV12</stp>
        <stp>BPSW7 Index</stp>
        <stp>PX_LAST</stp>
        <stp>[Live Pricing.xlsm]FX_Curve_Live!R86C6</stp>
        <tr r="F86" s="42"/>
      </tp>
      <tp t="e">
        <v>#N/A</v>
        <stp/>
        <stp>##V3_BDHV12</stp>
        <stp>HASWDI10Y Index</stp>
        <stp>PX_LAST</stp>
        <stp>3/26/2019</stp>
        <stp>3/26/2019</stp>
        <stp>[Live Pricing.xlsm]FX_Curve_History!R165C9</stp>
        <tr r="I165" s="50"/>
        <tr r="I165" s="50"/>
      </tp>
      <tp t="e">
        <v>#N/A</v>
        <stp/>
        <stp>##V3_BDHV12</stp>
        <stp>CLSWIB1F Index</stp>
        <stp>PX_LAST</stp>
        <stp>3/26/2019</stp>
        <stp>3/26/2019</stp>
        <stp>[Live Pricing.xlsm]FX_Curve_History!R187C2</stp>
        <tr r="B187" s="50"/>
      </tp>
      <tp t="e">
        <v>#N/A</v>
        <stp/>
        <stp>##V3_BDPV12</stp>
        <stp>SF0012M Index</stp>
        <stp>PX_LAST</stp>
        <stp>[Live Pricing.xlsm]Rate_Live!R111C2</stp>
        <tr r="B111" s="39"/>
      </tp>
      <tp t="e">
        <v>#N/A</v>
        <stp/>
        <stp>##V3_BDHV12</stp>
        <stp>CHF8Y BGN Curncy</stp>
        <stp>PX_LAST</stp>
        <stp>3/26/2019</stp>
        <stp>3/26/2019</stp>
        <stp>[Live Pricing.xlsm]FXFR!R129C4</stp>
        <tr r="D129" s="46"/>
      </tp>
      <tp t="e">
        <v>#N/A</v>
        <stp/>
        <stp>##V3_BDPV12</stp>
        <stp>USSW11 Index</stp>
        <stp>PX_LAST</stp>
        <stp>[Live Pricing.xlsm]Rate_Live!R15C6</stp>
        <tr r="F15" s="39"/>
      </tp>
      <tp t="e">
        <v>#N/A</v>
        <stp/>
        <stp>##V3_BDPV12</stp>
        <stp>ERZ0 Comdty</stp>
        <stp>PX_LAST</stp>
        <stp>[Live Pricing.xlsm]Rate_Live!R37C4</stp>
        <tr r="D37" s="39"/>
      </tp>
      <tp t="e">
        <v>#N/A</v>
        <stp/>
        <stp>##V3_BDPV12</stp>
        <stp>L Z0 Comdty</stp>
        <stp>PX_LAST</stp>
        <stp>[Live Pricing.xlsm]Rate_Live!R87C4</stp>
        <tr r="D87" s="39"/>
      </tp>
      <tp t="e">
        <v>#N/A</v>
        <stp/>
        <stp>##V3_BDPV12</stp>
        <stp>JYSW3 Index</stp>
        <stp>PX_LAST</stp>
        <stp>[Live Pricing.xlsm]FX_Curve_Live!R57C6</stp>
        <tr r="F57" s="42"/>
      </tp>
      <tp t="e">
        <v>#N/A</v>
        <stp/>
        <stp>##V3_BDHV12</stp>
        <stp>HASWDI1Y Index</stp>
        <stp>PX_LAST</stp>
        <stp>3/26/2019</stp>
        <stp>3/26/2019</stp>
        <stp>[Live Pricing.xlsm]FX_Curve_History!R156C9</stp>
        <tr r="I156" s="50"/>
        <tr r="I156" s="50"/>
      </tp>
      <tp t="e">
        <v>#N/A</v>
        <stp/>
        <stp>##V3_BDHV12</stp>
        <stp>HASWDI6Y Index</stp>
        <stp>PX_LAST</stp>
        <stp>3/26/2019</stp>
        <stp>3/26/2019</stp>
        <stp>[Live Pricing.xlsm]FX_Curve_History!R161C9</stp>
        <tr r="I161" s="50"/>
        <tr r="I161" s="50"/>
      </tp>
      <tp t="e">
        <v>#N/A</v>
        <stp/>
        <stp>##V3_BDPV12</stp>
        <stp>BPSW8 Index</stp>
        <stp>PX_LAST</stp>
        <stp>[Live Pricing.xlsm]FX_Curve_Live!R87C6</stp>
        <tr r="F87" s="42"/>
      </tp>
      <tp t="e">
        <v>#N/A</v>
        <stp/>
        <stp>##V3_BDPV12</stp>
        <stp>SF0006M Index</stp>
        <stp>PX_LAST</stp>
        <stp>[Live Pricing.xlsm]Rate_Live!R110C2</stp>
        <tr r="B110" s="39"/>
      </tp>
      <tp t="e">
        <v>#N/A</v>
        <stp/>
        <stp>##V3_BDPV12</stp>
        <stp>USSW10 Index</stp>
        <stp>PX_LAST</stp>
        <stp>[Live Pricing.xlsm]Rate_Live!R14C6</stp>
        <tr r="F14" s="39"/>
      </tp>
      <tp t="e">
        <v>#N/A</v>
        <stp/>
        <stp>##V3_BDHV12</stp>
        <stp>CHF7Y BGN Curncy</stp>
        <stp>PX_LAST</stp>
        <stp>3/26/2019</stp>
        <stp>3/26/2019</stp>
        <stp>[Live Pricing.xlsm]FXFR!R128C4</stp>
        <tr r="D128" s="46"/>
      </tp>
      <tp t="e">
        <v>#N/A</v>
        <stp/>
        <stp>##V3_BDHV12</stp>
        <stp>CAD9Y BGN Curncy</stp>
        <stp>PX_LAST</stp>
        <stp>3/26/2019</stp>
        <stp>3/26/2019</stp>
        <stp>[Live Pricing.xlsm]FXFR!R108C4</stp>
        <tr r="D108" s="46"/>
      </tp>
      <tp t="e">
        <v>#N/A</v>
        <stp/>
        <stp>##V3_BDPV12</stp>
        <stp>ERU0 Comdty</stp>
        <stp>PX_LAST</stp>
        <stp>[Live Pricing.xlsm]Rate_Live!R36C4</stp>
        <tr r="D36" s="39"/>
      </tp>
      <tp t="e">
        <v>#N/A</v>
        <stp/>
        <stp>##V3_BDPV12</stp>
        <stp>L U0 Comdty</stp>
        <stp>PX_LAST</stp>
        <stp>[Live Pricing.xlsm]Rate_Live!R86C4</stp>
        <tr r="D86" s="39"/>
      </tp>
      <tp t="e">
        <v>#N/A</v>
        <stp/>
        <stp>##V3_BDPV12</stp>
        <stp>JYSW4 Index</stp>
        <stp>PX_LAST</stp>
        <stp>[Live Pricing.xlsm]FX_Curve_Live!R58C6</stp>
        <tr r="F58" s="42"/>
      </tp>
      <tp t="e">
        <v>#N/A</v>
        <stp/>
        <stp>##V3_BDPV12</stp>
        <stp>BPSW9 Index</stp>
        <stp>PX_LAST</stp>
        <stp>[Live Pricing.xlsm]FX_Curve_Live!R88C6</stp>
        <tr r="F88" s="42"/>
      </tp>
      <tp t="e">
        <v>#N/A</v>
        <stp/>
        <stp>##V3_BDHV12</stp>
        <stp>EU0Z2501 ICPL Curncy</stp>
        <stp>PX_LAST</stp>
        <stp>3/26/2019</stp>
        <stp>3/26/2019</stp>
        <stp>[Live Pricing.xlsm]Vol_Surface!R24C3</stp>
        <tr r="C24" s="53"/>
      </tp>
      <tp t="e">
        <v>#N/A</v>
        <stp/>
        <stp>##V3_BDHV12</stp>
        <stp>EU0Z0501 ICPL Curncy</stp>
        <stp>PX_LAST</stp>
        <stp>3/26/2019</stp>
        <stp>3/26/2019</stp>
        <stp>[Live Pricing.xlsm]Vol_Surface!R24C2</stp>
        <tr r="B24" s="53"/>
      </tp>
      <tp t="e">
        <v>#N/A</v>
        <stp/>
        <stp>##V3_BDHV12</stp>
        <stp>EU0Z1301 ICPL Curncy</stp>
        <stp>PX_LAST</stp>
        <stp>3/26/2019</stp>
        <stp>3/26/2019</stp>
        <stp>[Live Pricing.xlsm]Vol_Surface!R24C4</stp>
        <tr r="D24" s="53"/>
      </tp>
      <tp t="e">
        <v>#N/A</v>
        <stp/>
        <stp>##V3_BDHV12</stp>
        <stp>CLSWIB16 CMPN Index</stp>
        <stp>Close</stp>
        <stp>03/26/2019 15:00:00</stp>
        <stp>03/26/2019 15:01:00</stp>
        <stp>[Live Pricing.xlsm]Rate_History!R195C18</stp>
        <stp>BarType</stp>
        <stp>T</stp>
        <stp>Dir=V</stp>
        <tr r="R195" s="49"/>
      </tp>
      <tp t="e">
        <v>#N/A</v>
        <stp/>
        <stp>##V3_BDHV12</stp>
        <stp>CLSWIB17 CMPN Index</stp>
        <stp>Close</stp>
        <stp>03/26/2019 15:00:00</stp>
        <stp>03/26/2019 15:01:00</stp>
        <stp>[Live Pricing.xlsm]Rate_History!R196C18</stp>
        <stp>BarType</stp>
        <stp>T</stp>
        <stp>Dir=V</stp>
        <tr r="R196" s="49"/>
      </tp>
      <tp t="e">
        <v>#N/A</v>
        <stp/>
        <stp>##V3_BDHV12</stp>
        <stp>CLSWIB14 CMPN Index</stp>
        <stp>Close</stp>
        <stp>03/26/2019 15:00:00</stp>
        <stp>03/26/2019 15:01:00</stp>
        <stp>[Live Pricing.xlsm]Rate_History!R193C18</stp>
        <stp>BarType</stp>
        <stp>T</stp>
        <stp>Dir=V</stp>
        <tr r="R193" s="49"/>
      </tp>
      <tp t="e">
        <v>#N/A</v>
        <stp/>
        <stp>##V3_BDHV12</stp>
        <stp>CLSWIB15 CMPN Index</stp>
        <stp>Close</stp>
        <stp>03/26/2019 15:00:00</stp>
        <stp>03/26/2019 15:01:00</stp>
        <stp>[Live Pricing.xlsm]Rate_History!R194C18</stp>
        <stp>BarType</stp>
        <stp>T</stp>
        <stp>Dir=V</stp>
        <tr r="R194" s="49"/>
      </tp>
      <tp t="e">
        <v>#N/A</v>
        <stp/>
        <stp>##V3_BDHV12</stp>
        <stp>CLSWIB12 CMPN Index</stp>
        <stp>Close</stp>
        <stp>03/26/2019 15:00:00</stp>
        <stp>03/26/2019 15:01:00</stp>
        <stp>[Live Pricing.xlsm]Rate_History!R191C18</stp>
        <stp>BarType</stp>
        <stp>T</stp>
        <stp>Dir=V</stp>
        <tr r="R191" s="49"/>
      </tp>
      <tp t="e">
        <v>#N/A</v>
        <stp/>
        <stp>##V3_BDHV12</stp>
        <stp>CLSWIB13 CMPN Index</stp>
        <stp>Close</stp>
        <stp>03/26/2019 15:00:00</stp>
        <stp>03/26/2019 15:01:00</stp>
        <stp>[Live Pricing.xlsm]Rate_History!R192C18</stp>
        <stp>BarType</stp>
        <stp>T</stp>
        <stp>Dir=V</stp>
        <tr r="R192" s="49"/>
      </tp>
      <tp t="e">
        <v>#N/A</v>
        <stp/>
        <stp>##V3_BDHV12</stp>
        <stp>CLSWIB10 CMPN Index</stp>
        <stp>Close</stp>
        <stp>03/26/2019 15:00:00</stp>
        <stp>03/26/2019 15:01:00</stp>
        <stp>[Live Pricing.xlsm]Rate_History!R189C18</stp>
        <stp>BarType</stp>
        <stp>T</stp>
        <stp>Dir=V</stp>
        <tr r="R189" s="49"/>
      </tp>
      <tp t="e">
        <v>#N/A</v>
        <stp/>
        <stp>##V3_BDHV12</stp>
        <stp>CLSWIB11 CMPN Index</stp>
        <stp>Close</stp>
        <stp>03/26/2019 15:00:00</stp>
        <stp>03/26/2019 15:01:00</stp>
        <stp>[Live Pricing.xlsm]Rate_History!R190C18</stp>
        <stp>BarType</stp>
        <stp>T</stp>
        <stp>Dir=V</stp>
        <tr r="R190" s="49"/>
      </tp>
      <tp t="e">
        <v>#N/A</v>
        <stp/>
        <stp>##V3_BDHV12</stp>
        <stp>CABROVER Index</stp>
        <stp>PX_LAST</stp>
        <stp>3/26/2019</stp>
        <stp>3/26/2019</stp>
        <stp>[Live Pricing.xlsm]Rate_History!R131C2</stp>
        <tr r="B131" s="49"/>
      </tp>
      <tp t="e">
        <v>#N/A</v>
        <stp/>
        <stp>##V3_BDHV12</stp>
        <stp>CHF6Y BGN Curncy</stp>
        <stp>PX_LAST</stp>
        <stp>3/26/2019</stp>
        <stp>3/26/2019</stp>
        <stp>[Live Pricing.xlsm]FXFR!R127C4</stp>
        <tr r="D127" s="46"/>
      </tp>
      <tp t="e">
        <v>#N/A</v>
        <stp/>
        <stp>##V3_BDPV12</stp>
        <stp>YEH0 Comdty</stp>
        <stp>PX_LAST</stp>
        <stp>[Live Pricing.xlsm]Rate_Live!R59C4</stp>
        <tr r="D59" s="39"/>
      </tp>
      <tp t="e">
        <v>#N/A</v>
        <stp/>
        <stp>##V3_BDHV12</stp>
        <stp>CAD8Y BGN Curncy</stp>
        <stp>PX_LAST</stp>
        <stp>3/26/2019</stp>
        <stp>3/26/2019</stp>
        <stp>[Live Pricing.xlsm]FXFR!R107C4</stp>
        <tr r="D107" s="46"/>
      </tp>
      <tp t="e">
        <v>#N/A</v>
        <stp/>
        <stp>##V3_BDHV12</stp>
        <stp>CLSWIB10 Index</stp>
        <stp>PX_LAST</stp>
        <stp>3/26/2019</stp>
        <stp>3/26/2019</stp>
        <stp>[Live Pricing.xlsm]FX_Curve_History!R189C6</stp>
        <tr r="F189" s="50"/>
      </tp>
      <tp t="e">
        <v>#N/A</v>
        <stp/>
        <stp>##V3_BDPV12</stp>
        <stp>JYSW5 Index</stp>
        <stp>PX_LAST</stp>
        <stp>[Live Pricing.xlsm]FX_Curve_Live!R59C6</stp>
        <tr r="F59" s="42"/>
      </tp>
      <tp t="e">
        <v>#N/A</v>
        <stp/>
        <stp>##V3_BDHV12</stp>
        <stp>EU0Z2502 ICPL Curncy</stp>
        <stp>PX_LAST</stp>
        <stp>3/26/2019</stp>
        <stp>3/26/2019</stp>
        <stp>[Live Pricing.xlsm]Vol_Surface!R25C3</stp>
        <tr r="C25" s="53"/>
      </tp>
      <tp t="e">
        <v>#N/A</v>
        <stp/>
        <stp>##V3_BDHV12</stp>
        <stp>EU0Z0502 ICPL Curncy</stp>
        <stp>PX_LAST</stp>
        <stp>3/26/2019</stp>
        <stp>3/26/2019</stp>
        <stp>[Live Pricing.xlsm]Vol_Surface!R25C2</stp>
        <tr r="B25" s="53"/>
      </tp>
      <tp t="e">
        <v>#N/A</v>
        <stp/>
        <stp>##V3_BDHV12</stp>
        <stp>EU0Z1302 ICPL Curncy</stp>
        <stp>PX_LAST</stp>
        <stp>3/26/2019</stp>
        <stp>3/26/2019</stp>
        <stp>[Live Pricing.xlsm]Vol_Surface!R25C4</stp>
        <tr r="D25" s="53"/>
      </tp>
      <tp t="e">
        <v>#N/A</v>
        <stp/>
        <stp>##V3_BDHV12</stp>
        <stp>CHF5Y BGN Curncy</stp>
        <stp>PX_LAST</stp>
        <stp>3/26/2019</stp>
        <stp>3/26/2019</stp>
        <stp>[Live Pricing.xlsm]FXFR!R126C4</stp>
        <tr r="D126" s="46"/>
      </tp>
      <tp t="e">
        <v>#N/A</v>
        <stp/>
        <stp>##V3_BDHV12</stp>
        <stp>CAD7Y BGN Curncy</stp>
        <stp>PX_LAST</stp>
        <stp>3/26/2019</stp>
        <stp>3/26/2019</stp>
        <stp>[Live Pricing.xlsm]FXFR!R106C4</stp>
        <tr r="D106" s="46"/>
      </tp>
      <tp t="e">
        <v>#N/A</v>
        <stp/>
        <stp>##V3_BDPV12</stp>
        <stp>ERH0 Comdty</stp>
        <stp>PX_LAST</stp>
        <stp>[Live Pricing.xlsm]Rate_Live!R38C4</stp>
        <tr r="D38" s="39"/>
      </tp>
      <tp t="e">
        <v>#N/A</v>
        <stp/>
        <stp>##V3_BDPV12</stp>
        <stp>ERM9 Comdty</stp>
        <stp>PX_LAST</stp>
        <stp>[Live Pricing.xlsm]Rate_Live!R31C4</stp>
        <tr r="D31" s="39"/>
        <tr r="D31" s="39"/>
      </tp>
      <tp t="e">
        <v>#N/A</v>
        <stp/>
        <stp>##V3_BDPV12</stp>
        <stp>L H0 Comdty</stp>
        <stp>PX_LAST</stp>
        <stp>[Live Pricing.xlsm]Rate_Live!R88C4</stp>
        <tr r="D88" s="39"/>
      </tp>
      <tp t="e">
        <v>#N/A</v>
        <stp/>
        <stp>##V3_BDPV12</stp>
        <stp>L M9 Comdty</stp>
        <stp>PX_LAST</stp>
        <stp>[Live Pricing.xlsm]Rate_Live!R81C4</stp>
        <tr r="D81" s="39"/>
        <tr r="D81" s="39"/>
      </tp>
      <tp t="e">
        <v>#N/A</v>
        <stp/>
        <stp>##V3_BDPV12</stp>
        <stp>USSW2 Index</stp>
        <stp>PX_LAST</stp>
        <stp>[Live Pricing.xlsm]FX_Curve_Live!R6C6</stp>
        <tr r="F6" s="42"/>
      </tp>
      <tp t="e">
        <v>#N/A</v>
        <stp/>
        <stp>##V3_BDHV12</stp>
        <stp>HASWDI10Y Index</stp>
        <stp>PX_LAST</stp>
        <stp>3/26/2019</stp>
        <stp>3/26/2019</stp>
        <stp>[Live Pricing.xlsm]FX_Curve_History!R169C9</stp>
        <tr r="I169" s="50"/>
        <tr r="I169" s="50"/>
      </tp>
      <tp t="e">
        <v>#N/A</v>
        <stp/>
        <stp>##V3_BDHV12</stp>
        <stp>CLSWIB3 CMPN Index</stp>
        <stp>LAST_PRICE</stp>
        <stp>3/26/2019</stp>
        <stp>3/26/2019</stp>
        <stp>[Live Pricing.xlsm]Rate_History!R182C20</stp>
        <tr r="T182" s="49"/>
      </tp>
      <tp t="e">
        <v>#N/A</v>
        <stp/>
        <stp>##V3_BDHV12</stp>
        <stp>EU0Z2503 ICPL Curncy</stp>
        <stp>PX_LAST</stp>
        <stp>3/26/2019</stp>
        <stp>3/26/2019</stp>
        <stp>[Live Pricing.xlsm]Vol_Surface!R26C3</stp>
        <tr r="C26" s="53"/>
      </tp>
      <tp t="e">
        <v>#N/A</v>
        <stp/>
        <stp>##V3_BDHV12</stp>
        <stp>EU0Z0503 ICPL Curncy</stp>
        <stp>PX_LAST</stp>
        <stp>3/26/2019</stp>
        <stp>3/26/2019</stp>
        <stp>[Live Pricing.xlsm]Vol_Surface!R26C2</stp>
        <tr r="B26" s="53"/>
      </tp>
      <tp t="e">
        <v>#N/A</v>
        <stp/>
        <stp>##V3_BDHV12</stp>
        <stp>EU0Z1303 ICPL Curncy</stp>
        <stp>PX_LAST</stp>
        <stp>3/26/2019</stp>
        <stp>3/26/2019</stp>
        <stp>[Live Pricing.xlsm]Vol_Surface!R26C4</stp>
        <tr r="D26" s="53"/>
      </tp>
      <tp t="e">
        <v>#N/A</v>
        <stp/>
        <stp>##V3_BDHV12</stp>
        <stp>HASWDI2Y CMPN Curncy</stp>
        <stp>LAST_PRICE</stp>
        <stp>3/26/2019</stp>
        <stp>3/26/2019</stp>
        <stp>[Live Pricing.xlsm]Rate_History!R157C20</stp>
        <tr r="T157" s="49"/>
        <tr r="T157" s="49"/>
      </tp>
      <tp t="e">
        <v>#N/A</v>
        <stp/>
        <stp>##V3_BDHV12</stp>
        <stp>HASWDI3Y CMPN Curncy</stp>
        <stp>LAST_PRICE</stp>
        <stp>3/26/2019</stp>
        <stp>3/26/2019</stp>
        <stp>[Live Pricing.xlsm]Rate_History!R158C20</stp>
        <tr r="T158" s="49"/>
        <tr r="T158" s="49"/>
      </tp>
      <tp t="e">
        <v>#N/A</v>
        <stp/>
        <stp>##V3_BDHV12</stp>
        <stp>HASWDI1Y CMPN Curncy</stp>
        <stp>LAST_PRICE</stp>
        <stp>3/26/2019</stp>
        <stp>3/26/2019</stp>
        <stp>[Live Pricing.xlsm]Rate_History!R156C20</stp>
        <tr r="T156" s="49"/>
        <tr r="T156" s="49"/>
      </tp>
      <tp t="e">
        <v>#N/A</v>
        <stp/>
        <stp>##V3_BDHV12</stp>
        <stp>HASWDI5Y CMPN Curncy</stp>
        <stp>LAST_PRICE</stp>
        <stp>3/26/2019</stp>
        <stp>3/26/2019</stp>
        <stp>[Live Pricing.xlsm]Rate_History!R160C20</stp>
        <tr r="T160" s="49"/>
        <tr r="T160" s="49"/>
      </tp>
      <tp t="e">
        <v>#N/A</v>
        <stp/>
        <stp>##V3_BDHV12</stp>
        <stp>HASWDI7Y CMPN Curncy</stp>
        <stp>LAST_PRICE</stp>
        <stp>3/26/2019</stp>
        <stp>3/26/2019</stp>
        <stp>[Live Pricing.xlsm]Rate_History!R162C20</stp>
        <tr r="T162" s="49"/>
        <tr r="T162" s="49"/>
      </tp>
      <tp t="e">
        <v>#N/A</v>
        <stp/>
        <stp>##V3_BDHV12</stp>
        <stp>HASWDI4Y CMPN Curncy</stp>
        <stp>LAST_PRICE</stp>
        <stp>3/26/2019</stp>
        <stp>3/26/2019</stp>
        <stp>[Live Pricing.xlsm]Rate_History!R159C20</stp>
        <tr r="T159" s="49"/>
        <tr r="T159" s="49"/>
      </tp>
      <tp t="e">
        <v>#N/A</v>
        <stp/>
        <stp>##V3_BDHV12</stp>
        <stp>HASWDI6Y CMPN Curncy</stp>
        <stp>LAST_PRICE</stp>
        <stp>3/26/2019</stp>
        <stp>3/26/2019</stp>
        <stp>[Live Pricing.xlsm]Rate_History!R161C20</stp>
        <tr r="T161" s="49"/>
        <tr r="T161" s="49"/>
      </tp>
      <tp t="e">
        <v>#N/A</v>
        <stp/>
        <stp>##V3_BDHV12</stp>
        <stp>HASWDI9Y CMPN Curncy</stp>
        <stp>LAST_PRICE</stp>
        <stp>3/26/2019</stp>
        <stp>3/26/2019</stp>
        <stp>[Live Pricing.xlsm]Rate_History!R164C20</stp>
        <tr r="T164" s="49"/>
        <tr r="T164" s="49"/>
      </tp>
      <tp t="e">
        <v>#N/A</v>
        <stp/>
        <stp>##V3_BDHV12</stp>
        <stp>HASWDI8Y CMPN Curncy</stp>
        <stp>LAST_PRICE</stp>
        <stp>3/26/2019</stp>
        <stp>3/26/2019</stp>
        <stp>[Live Pricing.xlsm]Rate_History!R163C20</stp>
        <tr r="T163" s="49"/>
        <tr r="T163" s="49"/>
      </tp>
      <tp t="e">
        <v>#N/A</v>
        <stp/>
        <stp>##V3_BDPV12</stp>
        <stp>USSW15 Index</stp>
        <stp>PX_LAST</stp>
        <stp>[Live Pricing.xlsm]Rate_Live!R19C6</stp>
        <tr r="F19" s="39"/>
      </tp>
      <tp t="e">
        <v>#N/A</v>
        <stp/>
        <stp>##V3_BDHV12</stp>
        <stp>CHF4Y BGN Curncy</stp>
        <stp>PX_LAST</stp>
        <stp>3/26/2019</stp>
        <stp>3/26/2019</stp>
        <stp>[Live Pricing.xlsm]FXFR!R125C4</stp>
        <tr r="D125" s="46"/>
      </tp>
      <tp t="e">
        <v>#N/A</v>
        <stp/>
        <stp>##V3_BDPV12</stp>
        <stp>CLSWIB10 Index</stp>
        <stp>PX_LAST</stp>
        <stp>[Live Pricing.xlsm]Rate_Live!R189C6</stp>
        <tr r="F189" s="39"/>
      </tp>
      <tp t="e">
        <v>#N/A</v>
        <stp/>
        <stp>##V3_BDHV12</stp>
        <stp>CAD6Y BGN Curncy</stp>
        <stp>PX_LAST</stp>
        <stp>3/26/2019</stp>
        <stp>3/26/2019</stp>
        <stp>[Live Pricing.xlsm]FXFR!R105C4</stp>
        <tr r="D105" s="46"/>
      </tp>
      <tp t="e">
        <v>#N/A</v>
        <stp/>
        <stp>##V3_BDPV12</stp>
        <stp>ERU9 Comdty</stp>
        <stp>PX_LAST</stp>
        <stp>[Live Pricing.xlsm]Rate_Live!R32C4</stp>
        <tr r="D32" s="39"/>
      </tp>
      <tp t="e">
        <v>#N/A</v>
        <stp/>
        <stp>##V3_BDPV12</stp>
        <stp>L U9 Comdty</stp>
        <stp>PX_LAST</stp>
        <stp>[Live Pricing.xlsm]Rate_Live!R82C4</stp>
        <tr r="D82" s="39"/>
      </tp>
      <tp t="e">
        <v>#N/A</v>
        <stp/>
        <stp>##V3_BDPV12</stp>
        <stp>USSW3 Index</stp>
        <stp>PX_LAST</stp>
        <stp>[Live Pricing.xlsm]FX_Curve_Live!R7C6</stp>
        <tr r="F7" s="42"/>
      </tp>
      <tp t="e">
        <v>#N/A</v>
        <stp/>
        <stp>##V3_BDHV12</stp>
        <stp>HASWDI3Y Index</stp>
        <stp>PX_LAST</stp>
        <stp>3/26/2019</stp>
        <stp>3/26/2019</stp>
        <stp>[Live Pricing.xlsm]FX_Curve_History!R158C9</stp>
        <tr r="I158" s="50"/>
        <tr r="I158" s="50"/>
      </tp>
      <tp t="e">
        <v>#N/A</v>
        <stp/>
        <stp>##V3_BDHV12</stp>
        <stp>HASWDI8Y Index</stp>
        <stp>PX_LAST</stp>
        <stp>3/26/2019</stp>
        <stp>3/26/2019</stp>
        <stp>[Live Pricing.xlsm]FX_Curve_History!R163C9</stp>
        <tr r="I163" s="50"/>
        <tr r="I163" s="50"/>
      </tp>
      <tp t="e">
        <v>#N/A</v>
        <stp/>
        <stp>##V3_BDPV12</stp>
        <stp>BP00O/N Index</stp>
        <stp>PX_LAST</stp>
        <stp>[Live Pricing.xlsm]Rate_Live!R81C2</stp>
        <tr r="B81" s="39"/>
      </tp>
      <tp t="e">
        <v>#N/A</v>
        <stp/>
        <stp>##V3_BDHV12</stp>
        <stp>CAD12M BGN Curncy</stp>
        <stp>PX_LAST</stp>
        <stp>3/26/2019</stp>
        <stp>3/26/2019</stp>
        <stp>[Live Pricing.xlsm]FXFR!R100C4</stp>
        <tr r="D100" s="46"/>
      </tp>
      <tp t="e">
        <v>#N/A</v>
        <stp/>
        <stp>##V3_BDHV12</stp>
        <stp>HASWDI10Y Index</stp>
        <stp>PX_LAST</stp>
        <stp>3/26/2019</stp>
        <stp>3/26/2019</stp>
        <stp>[Live Pricing.xlsm]FX_Curve_History!R168C9</stp>
        <tr r="I168" s="50"/>
        <tr r="I168" s="50"/>
      </tp>
      <tp t="e">
        <v>#N/A</v>
        <stp/>
        <stp>##V3_BDHV12</stp>
        <stp>CLSWIB2 CMPN Index</stp>
        <stp>LAST_PRICE</stp>
        <stp>3/26/2019</stp>
        <stp>3/26/2019</stp>
        <stp>[Live Pricing.xlsm]Rate_History!R181C20</stp>
        <tr r="T181" s="49"/>
      </tp>
      <tp t="e">
        <v>#N/A</v>
        <stp/>
        <stp>##V3_BDHV12</stp>
        <stp>EU0Z2504 ICPL Curncy</stp>
        <stp>PX_LAST</stp>
        <stp>3/26/2019</stp>
        <stp>3/26/2019</stp>
        <stp>[Live Pricing.xlsm]Vol_Surface!R27C3</stp>
        <tr r="C27" s="53"/>
      </tp>
      <tp t="e">
        <v>#N/A</v>
        <stp/>
        <stp>##V3_BDHV12</stp>
        <stp>EU0Z0504 ICPL Curncy</stp>
        <stp>PX_LAST</stp>
        <stp>3/26/2019</stp>
        <stp>3/26/2019</stp>
        <stp>[Live Pricing.xlsm]Vol_Surface!R27C2</stp>
        <tr r="B27" s="53"/>
      </tp>
      <tp t="e">
        <v>#N/A</v>
        <stp/>
        <stp>##V3_BDHV12</stp>
        <stp>EU0Z1304 ICPL Curncy</stp>
        <stp>PX_LAST</stp>
        <stp>3/26/2019</stp>
        <stp>3/26/2019</stp>
        <stp>[Live Pricing.xlsm]Vol_Surface!R27C4</stp>
        <tr r="D27" s="53"/>
      </tp>
      <tp t="e">
        <v>#N/A</v>
        <stp/>
        <stp>##V3_BDHV12</stp>
        <stp>CLSWIB20 CMPN Index</stp>
        <stp>Close</stp>
        <stp>03/26/2019 15:00:00</stp>
        <stp>03/26/2019 15:01:00</stp>
        <stp>[Live Pricing.xlsm]Rate_History!R197C18</stp>
        <stp>BarType</stp>
        <stp>T</stp>
        <stp>Dir=V</stp>
        <tr r="R197" s="49"/>
      </tp>
      <tp t="e">
        <v>#N/A</v>
        <stp/>
        <stp>##V3_BDPV12</stp>
        <stp>USSW14 Index</stp>
        <stp>PX_LAST</stp>
        <stp>[Live Pricing.xlsm]Rate_Live!R18C6</stp>
        <tr r="F18" s="39"/>
      </tp>
      <tp t="e">
        <v>#N/A</v>
        <stp/>
        <stp>##V3_BDHV12</stp>
        <stp>CHF3Y BGN Curncy</stp>
        <stp>PX_LAST</stp>
        <stp>3/26/2019</stp>
        <stp>3/26/2019</stp>
        <stp>[Live Pricing.xlsm]FXFR!R124C4</stp>
        <tr r="D124" s="46"/>
      </tp>
      <tp t="e">
        <v>#N/A</v>
        <stp/>
        <stp>##V3_BDPV12</stp>
        <stp>CDSW4 Index</stp>
        <stp>PX_LAST</stp>
        <stp>[Live Pricing.xlsm]FX_Curve_Live!R133C6</stp>
        <tr r="F133" s="42"/>
      </tp>
      <tp t="e">
        <v>#N/A</v>
        <stp/>
        <stp>##V3_BDHV12</stp>
        <stp>CAD5Y BGN Curncy</stp>
        <stp>PX_LAST</stp>
        <stp>3/26/2019</stp>
        <stp>3/26/2019</stp>
        <stp>[Live Pricing.xlsm]FXFR!R104C4</stp>
        <tr r="D104" s="46"/>
      </tp>
      <tp t="e">
        <v>#N/A</v>
        <stp/>
        <stp>##V3_BDPV12</stp>
        <stp>ERZ9 Comdty</stp>
        <stp>PX_LAST</stp>
        <stp>[Live Pricing.xlsm]Rate_Live!R33C4</stp>
        <tr r="D33" s="39"/>
      </tp>
      <tp t="e">
        <v>#N/A</v>
        <stp/>
        <stp>##V3_BDPV12</stp>
        <stp>L Z9 Comdty</stp>
        <stp>PX_LAST</stp>
        <stp>[Live Pricing.xlsm]Rate_Live!R83C4</stp>
        <tr r="D83" s="39"/>
      </tp>
      <tp t="e">
        <v>#N/A</v>
        <stp/>
        <stp>##V3_BDHV12</stp>
        <stp>USONH3 ICPL curncy</stp>
        <stp>PX_LAST</stp>
        <stp>3/26/2019</stp>
        <stp>3/26/2019</stp>
        <stp>[Live Pricing.xlsm]Vol_Surface!R6C10</stp>
        <tr r="J6" s="53"/>
      </tp>
      <tp t="e">
        <v>#N/A</v>
        <stp/>
        <stp>##V3_BDHV12</stp>
        <stp>USONX01 ICPL curncy</stp>
        <stp>PX_LAST</stp>
        <stp>3/26/2019</stp>
        <stp>3/26/2019</stp>
        <stp>[Live Pricing.xlsm]Vol_Surface!R4C2</stp>
        <tr r="B4" s="53"/>
      </tp>
      <tp t="e">
        <v>#N/A</v>
        <stp/>
        <stp>##V3_BDHV12</stp>
        <stp>USONY02 ICPL curncy</stp>
        <stp>PX_LAST</stp>
        <stp>3/26/2019</stp>
        <stp>3/26/2019</stp>
        <stp>[Live Pricing.xlsm]Vol_Surface!R5C3</stp>
        <tr r="C5" s="53"/>
      </tp>
      <tp t="e">
        <v>#N/A</v>
        <stp/>
        <stp>##V3_BDHV12</stp>
        <stp>USONZ03 ICPL curncy</stp>
        <stp>PX_LAST</stp>
        <stp>3/26/2019</stp>
        <stp>3/26/2019</stp>
        <stp>[Live Pricing.xlsm]Vol_Surface!R6C4</stp>
        <tr r="D6" s="53"/>
      </tp>
      <tp t="e">
        <v>#N/A</v>
        <stp/>
        <stp>##V3_BDHV12</stp>
        <stp>USONH2 ICPL curncy</stp>
        <stp>PX_LAST</stp>
        <stp>3/26/2019</stp>
        <stp>3/26/2019</stp>
        <stp>[Live Pricing.xlsm]Vol_Surface!R5C10</stp>
        <tr r="J5" s="53"/>
      </tp>
      <tp t="e">
        <v>#N/A</v>
        <stp/>
        <stp>##V3_BDHV12</stp>
        <stp>USONH1 ICPL curncy</stp>
        <stp>PX_LAST</stp>
        <stp>3/26/2019</stp>
        <stp>3/26/2019</stp>
        <stp>[Live Pricing.xlsm]Vol_Surface!R4C10</stp>
        <tr r="J4" s="53"/>
      </tp>
      <tp t="e">
        <v>#N/A</v>
        <stp/>
        <stp>##V3_BDHV12</stp>
        <stp>USONH7 ICPL curncy</stp>
        <stp>PX_LAST</stp>
        <stp>3/26/2019</stp>
        <stp>3/26/2019</stp>
        <stp>[Live Pricing.xlsm]Vol_Surface!R9C10</stp>
        <tr r="J9" s="53"/>
      </tp>
      <tp t="e">
        <v>#N/A</v>
        <stp/>
        <stp>##V3_BDHV12</stp>
        <stp>USONH5 ICPL curncy</stp>
        <stp>PX_LAST</stp>
        <stp>3/26/2019</stp>
        <stp>3/26/2019</stp>
        <stp>[Live Pricing.xlsm]Vol_Surface!R8C10</stp>
        <tr r="J8" s="53"/>
      </tp>
      <tp t="e">
        <v>#N/A</v>
        <stp/>
        <stp>##V3_BDHV12</stp>
        <stp>USONH4 ICPL curncy</stp>
        <stp>PX_LAST</stp>
        <stp>3/26/2019</stp>
        <stp>3/26/2019</stp>
        <stp>[Live Pricing.xlsm]Vol_Surface!R7C10</stp>
        <tr r="J7" s="53"/>
      </tp>
      <tp t="e">
        <v>#N/A</v>
        <stp/>
        <stp>##V3_BDHV12</stp>
        <stp>CLSWIB5 CMPN Index</stp>
        <stp>LAST_PRICE</stp>
        <stp>3/26/2019</stp>
        <stp>3/26/2019</stp>
        <stp>[Live Pricing.xlsm]Rate_History!R184C20</stp>
        <tr r="T184" s="49"/>
      </tp>
      <tp t="e">
        <v>#N/A</v>
        <stp/>
        <stp>##V3_BDHV12</stp>
        <stp>EU0Z2512 ICPL Curncy</stp>
        <stp>PX_LAST</stp>
        <stp>3/26/2019</stp>
        <stp>3/26/2019</stp>
        <stp>[Live Pricing.xlsm]Vol_Surface!R31C3</stp>
        <tr r="C31" s="53"/>
      </tp>
      <tp t="e">
        <v>#N/A</v>
        <stp/>
        <stp>##V3_BDHV12</stp>
        <stp>EU0Z0512 ICPL Curncy</stp>
        <stp>PX_LAST</stp>
        <stp>3/26/2019</stp>
        <stp>3/26/2019</stp>
        <stp>[Live Pricing.xlsm]Vol_Surface!R31C2</stp>
        <tr r="B31" s="53"/>
      </tp>
      <tp t="e">
        <v>#N/A</v>
        <stp/>
        <stp>##V3_BDHV12</stp>
        <stp>EU0Z1312 ICPL Curncy</stp>
        <stp>PX_LAST</stp>
        <stp>3/26/2019</stp>
        <stp>3/26/2019</stp>
        <stp>[Live Pricing.xlsm]Vol_Surface!R31C4</stp>
        <tr r="D31" s="53"/>
      </tp>
      <tp t="e">
        <v>#N/A</v>
        <stp/>
        <stp>##V3_BDHV12</stp>
        <stp>EUSA3 CMPN Curncy</stp>
        <stp>Close</stp>
        <stp>03/26/2019 11:15:00</stp>
        <stp>03/26/2019 11:16:00</stp>
        <stp>[Live Pricing.xlsm]Rate_History!R32C18</stp>
        <stp>BarType</stp>
        <stp>T</stp>
        <stp>Dir=V</stp>
        <tr r="R32" s="49"/>
      </tp>
      <tp t="e">
        <v>#N/A</v>
        <stp/>
        <stp>##V3_BDHV12</stp>
        <stp>EUSA2 CMPN Curncy</stp>
        <stp>Close</stp>
        <stp>03/26/2019 11:15:00</stp>
        <stp>03/26/2019 11:16:00</stp>
        <stp>[Live Pricing.xlsm]Rate_History!R31C18</stp>
        <stp>BarType</stp>
        <stp>T</stp>
        <stp>Dir=V</stp>
        <tr r="R31" s="49"/>
      </tp>
      <tp t="e">
        <v>#N/A</v>
        <stp/>
        <stp>##V3_BDHV12</stp>
        <stp>CHF2Y BGN Curncy</stp>
        <stp>PX_LAST</stp>
        <stp>3/26/2019</stp>
        <stp>3/26/2019</stp>
        <stp>[Live Pricing.xlsm]FXFR!R123C4</stp>
        <tr r="D123" s="46"/>
      </tp>
      <tp t="e">
        <v>#N/A</v>
        <stp/>
        <stp>##V3_BDHV12</stp>
        <stp>CAD4Y BGN Curncy</stp>
        <stp>PX_LAST</stp>
        <stp>3/26/2019</stp>
        <stp>3/26/2019</stp>
        <stp>[Live Pricing.xlsm]FXFR!R103C4</stp>
        <tr r="D103" s="46"/>
      </tp>
      <tp t="e">
        <v>#N/A</v>
        <stp/>
        <stp>##V3_BDHV12</stp>
        <stp>US0001m Index</stp>
        <stp>PX_LAST</stp>
        <stp>3/26/2019</stp>
        <stp>3/26/2019</stp>
        <stp>[Live Pricing.xlsm]Rate_History!R7C2</stp>
        <tr r="B7" s="49"/>
        <tr r="B7" s="49"/>
      </tp>
      <tp t="e">
        <v>#N/A</v>
        <stp/>
        <stp>##V3_BDPV12</stp>
        <stp>BPSW40 Index</stp>
        <stp>PX_LAST</stp>
        <stp>[Live Pricing.xlsm]FX_Curve_Live!R100C6</stp>
        <tr r="F100" s="42"/>
      </tp>
      <tp t="e">
        <v>#N/A</v>
        <stp/>
        <stp>##V3_BDHV12</stp>
        <stp>HASWDI4Y Index</stp>
        <stp>PX_LAST</stp>
        <stp>3/26/2019</stp>
        <stp>3/26/2019</stp>
        <stp>[Live Pricing.xlsm]FX_Curve_History!R159C9</stp>
        <tr r="I159" s="50"/>
        <tr r="I159" s="50"/>
      </tp>
      <tp t="e">
        <v>#N/A</v>
        <stp/>
        <stp>##V3_BDHV12</stp>
        <stp>HASWDI9Y Index</stp>
        <stp>PX_LAST</stp>
        <stp>3/26/2019</stp>
        <stp>3/26/2019</stp>
        <stp>[Live Pricing.xlsm]FX_Curve_History!R164C9</stp>
        <tr r="I164" s="50"/>
        <tr r="I164" s="50"/>
      </tp>
      <tp t="e">
        <v>#N/A</v>
        <stp/>
        <stp>##V3_BDHV12</stp>
        <stp>USONI3 ICPL curncy</stp>
        <stp>PX_LAST</stp>
        <stp>3/26/2019</stp>
        <stp>3/26/2019</stp>
        <stp>[Live Pricing.xlsm]Vol_Surface!R6C11</stp>
        <tr r="K6" s="53"/>
      </tp>
      <tp t="e">
        <v>#N/A</v>
        <stp/>
        <stp>##V3_BDHV12</stp>
        <stp>USONY01 ICPL curncy</stp>
        <stp>PX_LAST</stp>
        <stp>3/26/2019</stp>
        <stp>3/26/2019</stp>
        <stp>[Live Pricing.xlsm]Vol_Surface!R4C3</stp>
        <tr r="C4" s="53"/>
      </tp>
      <tp t="e">
        <v>#N/A</v>
        <stp/>
        <stp>##V3_BDHV12</stp>
        <stp>USONX02 ICPL curncy</stp>
        <stp>PX_LAST</stp>
        <stp>3/26/2019</stp>
        <stp>3/26/2019</stp>
        <stp>[Live Pricing.xlsm]Vol_Surface!R5C2</stp>
        <tr r="B5" s="53"/>
      </tp>
      <tp t="e">
        <v>#N/A</v>
        <stp/>
        <stp>##V3_BDHV12</stp>
        <stp>USONZ04 ICPL curncy</stp>
        <stp>PX_LAST</stp>
        <stp>3/26/2019</stp>
        <stp>3/26/2019</stp>
        <stp>[Live Pricing.xlsm]Vol_Surface!R7C4</stp>
        <tr r="D7" s="53"/>
      </tp>
      <tp t="e">
        <v>#N/A</v>
        <stp/>
        <stp>##V3_BDHV12</stp>
        <stp>USONI2 ICPL curncy</stp>
        <stp>PX_LAST</stp>
        <stp>3/26/2019</stp>
        <stp>3/26/2019</stp>
        <stp>[Live Pricing.xlsm]Vol_Surface!R5C11</stp>
        <tr r="K5" s="53"/>
      </tp>
      <tp t="e">
        <v>#N/A</v>
        <stp/>
        <stp>##V3_BDHV12</stp>
        <stp>USONI1 ICPL curncy</stp>
        <stp>PX_LAST</stp>
        <stp>3/26/2019</stp>
        <stp>3/26/2019</stp>
        <stp>[Live Pricing.xlsm]Vol_Surface!R4C11</stp>
        <tr r="K4" s="53"/>
      </tp>
      <tp t="e">
        <v>#N/A</v>
        <stp/>
        <stp>##V3_BDHV12</stp>
        <stp>USONI7 ICPL curncy</stp>
        <stp>PX_LAST</stp>
        <stp>3/26/2019</stp>
        <stp>3/26/2019</stp>
        <stp>[Live Pricing.xlsm]Vol_Surface!R9C11</stp>
        <tr r="K9" s="53"/>
      </tp>
      <tp t="e">
        <v>#N/A</v>
        <stp/>
        <stp>##V3_BDHV12</stp>
        <stp>USONI5 ICPL curncy</stp>
        <stp>PX_LAST</stp>
        <stp>3/26/2019</stp>
        <stp>3/26/2019</stp>
        <stp>[Live Pricing.xlsm]Vol_Surface!R8C11</stp>
        <tr r="K8" s="53"/>
      </tp>
      <tp t="e">
        <v>#N/A</v>
        <stp/>
        <stp>##V3_BDHV12</stp>
        <stp>USONI4 ICPL curncy</stp>
        <stp>PX_LAST</stp>
        <stp>3/26/2019</stp>
        <stp>3/26/2019</stp>
        <stp>[Live Pricing.xlsm]Vol_Surface!R7C11</stp>
        <tr r="K7" s="53"/>
      </tp>
      <tp t="e">
        <v>#N/A</v>
        <stp/>
        <stp>##V3_BDHV12</stp>
        <stp>CLSWIB4 CMPN Index</stp>
        <stp>LAST_PRICE</stp>
        <stp>3/26/2019</stp>
        <stp>3/26/2019</stp>
        <stp>[Live Pricing.xlsm]Rate_History!R183C20</stp>
        <tr r="T183" s="49"/>
      </tp>
      <tp t="e">
        <v>#N/A</v>
        <stp/>
        <stp>##V3_BDHV12</stp>
        <stp>EU0Z2510 ICPL Curncy</stp>
        <stp>PX_LAST</stp>
        <stp>3/26/2019</stp>
        <stp>3/26/2019</stp>
        <stp>[Live Pricing.xlsm]Vol_Surface!R30C3</stp>
        <tr r="C30" s="53"/>
      </tp>
      <tp t="e">
        <v>#N/A</v>
        <stp/>
        <stp>##V3_BDHV12</stp>
        <stp>EU0Z2520 ICPL Curncy</stp>
        <stp>PX_LAST</stp>
        <stp>3/26/2019</stp>
        <stp>3/26/2019</stp>
        <stp>[Live Pricing.xlsm]Vol_Surface!R33C3</stp>
        <tr r="C33" s="53"/>
      </tp>
      <tp t="e">
        <v>#N/A</v>
        <stp/>
        <stp>##V3_BDHV12</stp>
        <stp>EU0Z0510 ICPL Curncy</stp>
        <stp>PX_LAST</stp>
        <stp>3/26/2019</stp>
        <stp>3/26/2019</stp>
        <stp>[Live Pricing.xlsm]Vol_Surface!R30C2</stp>
        <tr r="B30" s="53"/>
      </tp>
      <tp t="e">
        <v>#N/A</v>
        <stp/>
        <stp>##V3_BDHV12</stp>
        <stp>EU0Z0520 ICPL Curncy</stp>
        <stp>PX_LAST</stp>
        <stp>3/26/2019</stp>
        <stp>3/26/2019</stp>
        <stp>[Live Pricing.xlsm]Vol_Surface!R33C2</stp>
        <tr r="B33" s="53"/>
      </tp>
      <tp t="e">
        <v>#N/A</v>
        <stp/>
        <stp>##V3_BDHV12</stp>
        <stp>EU0Z1310 ICPL Curncy</stp>
        <stp>PX_LAST</stp>
        <stp>3/26/2019</stp>
        <stp>3/26/2019</stp>
        <stp>[Live Pricing.xlsm]Vol_Surface!R30C4</stp>
        <tr r="D30" s="53"/>
      </tp>
      <tp t="e">
        <v>#N/A</v>
        <stp/>
        <stp>##V3_BDHV12</stp>
        <stp>EU0Z1320 ICPL Curncy</stp>
        <stp>PX_LAST</stp>
        <stp>3/26/2019</stp>
        <stp>3/26/2019</stp>
        <stp>[Live Pricing.xlsm]Vol_Surface!R33C4</stp>
        <tr r="D33" s="53"/>
      </tp>
      <tp t="e">
        <v>#N/A</v>
        <stp/>
        <stp>##V3_BDHV12</stp>
        <stp>US00o/n Index</stp>
        <stp>PX_LAST</stp>
        <stp>3/26/2019</stp>
        <stp>3/26/2019</stp>
        <stp>[Live Pricing.xlsm]Rate_History!R6C2</stp>
        <tr r="B6" s="49"/>
        <tr r="B6" s="49"/>
      </tp>
      <tp t="e">
        <v>#N/A</v>
        <stp/>
        <stp>##V3_BDPV12</stp>
        <stp>CDSW3 Index</stp>
        <stp>PX_LAST</stp>
        <stp>[Live Pricing.xlsm]FX_Curve_Live!R132C6</stp>
        <tr r="F132" s="42"/>
      </tp>
      <tp t="e">
        <v>#N/A</v>
        <stp/>
        <stp>##V3_BDPV12</stp>
        <stp>CDSW5 Index</stp>
        <stp>PX_LAST</stp>
        <stp>[Live Pricing.xlsm]FX_Curve_Live!R134C6</stp>
        <tr r="F134" s="42"/>
      </tp>
      <tp t="e">
        <v>#N/A</v>
        <stp/>
        <stp>##V3_BDPV12</stp>
        <stp>CDSW7 Index</stp>
        <stp>PX_LAST</stp>
        <stp>[Live Pricing.xlsm]FX_Curve_Live!R136C6</stp>
        <tr r="F136" s="42"/>
      </tp>
      <tp t="e">
        <v>#N/A</v>
        <stp/>
        <stp>##V3_BDPV12</stp>
        <stp>CDSW9 Index</stp>
        <stp>PX_LAST</stp>
        <stp>[Live Pricing.xlsm]FX_Curve_Live!R138C6</stp>
        <tr r="F138" s="42"/>
      </tp>
      <tp t="e">
        <v>#N/A</v>
        <stp/>
        <stp>##V3_BDHV12</stp>
        <stp>CAD3Y BGN Curncy</stp>
        <stp>PX_LAST</stp>
        <stp>3/26/2019</stp>
        <stp>3/26/2019</stp>
        <stp>[Live Pricing.xlsm]FXFR!R102C4</stp>
        <tr r="D102" s="46"/>
      </tp>
      <tp t="e">
        <v>#N/A</v>
        <stp/>
        <stp>##V3_BDHV12</stp>
        <stp>USONX03 ICPL curncy</stp>
        <stp>PX_LAST</stp>
        <stp>3/26/2019</stp>
        <stp>3/26/2019</stp>
        <stp>[Live Pricing.xlsm]Vol_Surface!R6C2</stp>
        <tr r="B6" s="53"/>
      </tp>
      <tp t="e">
        <v>#N/A</v>
        <stp/>
        <stp>##V3_BDHV12</stp>
        <stp>USONY04 ICPL curncy</stp>
        <stp>PX_LAST</stp>
        <stp>3/26/2019</stp>
        <stp>3/26/2019</stp>
        <stp>[Live Pricing.xlsm]Vol_Surface!R7C3</stp>
        <tr r="C7" s="53"/>
      </tp>
      <tp t="e">
        <v>#N/A</v>
        <stp/>
        <stp>##V3_BDHV12</stp>
        <stp>USONZ01 ICPL curncy</stp>
        <stp>PX_LAST</stp>
        <stp>3/26/2019</stp>
        <stp>3/26/2019</stp>
        <stp>[Live Pricing.xlsm]Vol_Surface!R4C4</stp>
        <tr r="D4" s="53"/>
      </tp>
      <tp t="e">
        <v>#N/A</v>
        <stp/>
        <stp>##V3_BDPV12</stp>
        <stp>SF0003M Index</stp>
        <stp>PX_LAST</stp>
        <stp>[Live Pricing.xlsm]Rate_Live!R109C2</stp>
        <tr r="B109" s="39"/>
      </tp>
      <tp t="e">
        <v>#N/A</v>
        <stp/>
        <stp>##V3_BDHV12</stp>
        <stp>CLSWIB7 CMPN Index</stp>
        <stp>LAST_PRICE</stp>
        <stp>3/26/2019</stp>
        <stp>3/26/2019</stp>
        <stp>[Live Pricing.xlsm]Rate_History!R186C20</stp>
        <tr r="T186" s="49"/>
      </tp>
      <tp t="e">
        <v>#N/A</v>
        <stp/>
        <stp>##V3_BDPV12</stp>
        <stp>YEM9 Comdty</stp>
        <stp>PX_LAST</stp>
        <stp>[Live Pricing.xlsm]Rate_Live!R56C4</stp>
        <tr r="D56" s="39"/>
        <tr r="D56" s="39"/>
      </tp>
      <tp t="e">
        <v>#N/A</v>
        <stp/>
        <stp>##V3_BDHV12</stp>
        <stp>CAD2Y BGN Curncy</stp>
        <stp>PX_LAST</stp>
        <stp>3/26/2019</stp>
        <stp>3/26/2019</stp>
        <stp>[Live Pricing.xlsm]FXFR!R101C4</stp>
        <tr r="D101" s="46"/>
      </tp>
      <tp t="e">
        <v>#N/A</v>
        <stp/>
        <stp>##V3_BDHV12</stp>
        <stp>EDZ8 Comdty</stp>
        <stp>PX_LAST</stp>
        <stp>3/26/2019</stp>
        <stp>3/26/2019</stp>
        <stp>[Live Pricing.xlsm]FX_Curve_History!R7C4</stp>
        <tr r="D7" s="50"/>
      </tp>
      <tp t="e">
        <v>#N/A</v>
        <stp/>
        <stp>##V3_BDHV12</stp>
        <stp>USONY03 ICPL curncy</stp>
        <stp>PX_LAST</stp>
        <stp>3/26/2019</stp>
        <stp>3/26/2019</stp>
        <stp>[Live Pricing.xlsm]Vol_Surface!R6C3</stp>
        <tr r="C6" s="53"/>
      </tp>
      <tp t="e">
        <v>#N/A</v>
        <stp/>
        <stp>##V3_BDHV12</stp>
        <stp>USONX04 ICPL curncy</stp>
        <stp>PX_LAST</stp>
        <stp>3/26/2019</stp>
        <stp>3/26/2019</stp>
        <stp>[Live Pricing.xlsm]Vol_Surface!R7C2</stp>
        <tr r="B7" s="53"/>
      </tp>
      <tp t="e">
        <v>#N/A</v>
        <stp/>
        <stp>##V3_BDHV12</stp>
        <stp>USONZ02 ICPL curncy</stp>
        <stp>PX_LAST</stp>
        <stp>3/26/2019</stp>
        <stp>3/26/2019</stp>
        <stp>[Live Pricing.xlsm]Vol_Surface!R5C4</stp>
        <tr r="D5" s="53"/>
      </tp>
      <tp t="e">
        <v>#N/A</v>
        <stp/>
        <stp>##V3_BDPV12</stp>
        <stp>SF0002M Index</stp>
        <stp>PX_LAST</stp>
        <stp>[Live Pricing.xlsm]Rate_Live!R108C2</stp>
        <tr r="B108" s="39"/>
      </tp>
      <tp t="e">
        <v>#N/A</v>
        <stp/>
        <stp>##V3_BDHV12</stp>
        <stp>CLSWIB6 CMPN Index</stp>
        <stp>LAST_PRICE</stp>
        <stp>3/26/2019</stp>
        <stp>3/26/2019</stp>
        <stp>[Live Pricing.xlsm]Rate_History!R185C20</stp>
        <tr r="T185" s="49"/>
      </tp>
      <tp t="e">
        <v>#N/A</v>
        <stp/>
        <stp>##V3_BDHV12</stp>
        <stp>EU0Z2515 ICPL Curncy</stp>
        <stp>PX_LAST</stp>
        <stp>3/26/2019</stp>
        <stp>3/26/2019</stp>
        <stp>[Live Pricing.xlsm]Vol_Surface!R32C3</stp>
        <tr r="C32" s="53"/>
      </tp>
      <tp t="e">
        <v>#N/A</v>
        <stp/>
        <stp>##V3_BDHV12</stp>
        <stp>EU0Z0515 ICPL Curncy</stp>
        <stp>PX_LAST</stp>
        <stp>3/26/2019</stp>
        <stp>3/26/2019</stp>
        <stp>[Live Pricing.xlsm]Vol_Surface!R32C2</stp>
        <tr r="B32" s="53"/>
      </tp>
      <tp t="e">
        <v>#N/A</v>
        <stp/>
        <stp>##V3_BDHV12</stp>
        <stp>EU0Z1315 ICPL Curncy</stp>
        <stp>PX_LAST</stp>
        <stp>3/26/2019</stp>
        <stp>3/26/2019</stp>
        <stp>[Live Pricing.xlsm]Vol_Surface!R32C4</stp>
        <tr r="D32" s="53"/>
      </tp>
      <tp t="e">
        <v>#N/A</v>
        <stp/>
        <stp>##V3_BDHV12</stp>
        <stp>CHF9Y BGN Curncy</stp>
        <stp>PX_LAST</stp>
        <stp>3/26/2019</stp>
        <stp>3/26/2019</stp>
        <stp>[Live Pricing.xlsm]FXFR!R130C4</stp>
        <tr r="D130" s="46"/>
      </tp>
      <tp t="e">
        <v>#N/A</v>
        <stp/>
        <stp>##V3_BDPV12</stp>
        <stp>CDSW2 Index</stp>
        <stp>PX_LAST</stp>
        <stp>[Live Pricing.xlsm]FX_Curve_Live!R131C6</stp>
        <tr r="F131" s="42"/>
      </tp>
      <tp t="e">
        <v>#N/A</v>
        <stp/>
        <stp>##V3_BDPV12</stp>
        <stp>CDSW6 Index</stp>
        <stp>PX_LAST</stp>
        <stp>[Live Pricing.xlsm]FX_Curve_Live!R135C6</stp>
        <tr r="F135" s="42"/>
      </tp>
      <tp t="e">
        <v>#N/A</v>
        <stp/>
        <stp>##V3_BDPV12</stp>
        <stp>YEU9 Comdty</stp>
        <stp>PX_LAST</stp>
        <stp>[Live Pricing.xlsm]Rate_Live!R57C4</stp>
        <tr r="D57" s="39"/>
      </tp>
      <tp t="e">
        <v>#N/A</v>
        <stp/>
        <stp>##V3_BDHV12</stp>
        <stp>EDU8 Comdty</stp>
        <stp>PX_LAST</stp>
        <stp>3/26/2019</stp>
        <stp>3/26/2019</stp>
        <stp>[Live Pricing.xlsm]FX_Curve_History!R6C4</stp>
        <tr r="D6" s="50"/>
        <tr r="D6" s="50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volatileDependencies" Target="volatileDependenci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409576</xdr:colOff>
      <xdr:row>1</xdr:row>
      <xdr:rowOff>0</xdr:rowOff>
    </xdr:to>
    <xdr:pic>
      <xdr:nvPicPr>
        <xdr:cNvPr id="2" name="Picture 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09576" cy="409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</xdr:row>
          <xdr:rowOff>0</xdr:rowOff>
        </xdr:from>
        <xdr:to>
          <xdr:col>3</xdr:col>
          <xdr:colOff>247650</xdr:colOff>
          <xdr:row>3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322730</xdr:colOff>
      <xdr:row>0</xdr:row>
      <xdr:rowOff>0</xdr:rowOff>
    </xdr:from>
    <xdr:to>
      <xdr:col>10</xdr:col>
      <xdr:colOff>611854</xdr:colOff>
      <xdr:row>0</xdr:row>
      <xdr:rowOff>385482</xdr:rowOff>
    </xdr:to>
    <xdr:pic>
      <xdr:nvPicPr>
        <xdr:cNvPr id="2" name="Picture 8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00048" y="0"/>
          <a:ext cx="289124" cy="3854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2</xdr:row>
          <xdr:rowOff>257175</xdr:rowOff>
        </xdr:from>
        <xdr:to>
          <xdr:col>4</xdr:col>
          <xdr:colOff>523875</xdr:colOff>
          <xdr:row>5</xdr:row>
          <xdr:rowOff>47625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Get_DFs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4C105-1FBD-441A-9673-6DCEDF2F6984}">
  <sheetPr codeName="Sheet2">
    <tabColor rgb="FFFFC000"/>
    <pageSetUpPr fitToPage="1"/>
  </sheetPr>
  <dimension ref="A1:Q82"/>
  <sheetViews>
    <sheetView showGridLines="0" tabSelected="1" zoomScaleNormal="100" workbookViewId="0">
      <selection activeCell="E5" sqref="E5"/>
    </sheetView>
  </sheetViews>
  <sheetFormatPr defaultRowHeight="15" x14ac:dyDescent="0.25"/>
  <cols>
    <col min="1" max="1" width="26.28515625" customWidth="1"/>
    <col min="2" max="2" width="12.42578125" customWidth="1"/>
    <col min="3" max="3" width="11.28515625" customWidth="1"/>
    <col min="4" max="4" width="11.5703125" customWidth="1"/>
    <col min="5" max="5" width="13.140625" customWidth="1"/>
    <col min="6" max="6" width="10.42578125" customWidth="1"/>
    <col min="7" max="7" width="11" customWidth="1"/>
    <col min="8" max="8" width="14.5703125" customWidth="1"/>
    <col min="9" max="9" width="12.85546875" customWidth="1"/>
    <col min="10" max="10" width="12.28515625" customWidth="1"/>
    <col min="11" max="11" width="10.7109375" customWidth="1"/>
    <col min="12" max="12" width="11" bestFit="1" customWidth="1"/>
    <col min="14" max="14" width="11.140625" customWidth="1"/>
    <col min="15" max="15" width="11.85546875" customWidth="1"/>
    <col min="16" max="16" width="11" customWidth="1"/>
    <col min="17" max="17" width="12.28515625" customWidth="1"/>
  </cols>
  <sheetData>
    <row r="1" spans="1:15" ht="32.25" customHeight="1" x14ac:dyDescent="0.25">
      <c r="A1" s="74" t="s">
        <v>495</v>
      </c>
      <c r="B1" s="74"/>
      <c r="C1" s="74"/>
      <c r="D1" s="74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</row>
    <row r="2" spans="1:15" ht="28.5" x14ac:dyDescent="0.45">
      <c r="A2" s="73" t="s">
        <v>496</v>
      </c>
      <c r="B2" s="73"/>
      <c r="C2" s="73"/>
      <c r="D2" s="73"/>
      <c r="E2" s="73"/>
      <c r="F2" s="73"/>
      <c r="G2" s="73"/>
      <c r="H2" s="73"/>
      <c r="I2" s="73"/>
      <c r="J2" s="73"/>
      <c r="K2" s="73"/>
      <c r="L2" s="35"/>
      <c r="M2" s="35"/>
      <c r="N2" s="35"/>
      <c r="O2" s="35"/>
    </row>
    <row r="3" spans="1:15" ht="34.5" customHeight="1" x14ac:dyDescent="0.45">
      <c r="A3" s="71" t="s">
        <v>498</v>
      </c>
      <c r="B3" s="71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</row>
    <row r="4" spans="1:15" ht="15.75" x14ac:dyDescent="0.25">
      <c r="A4" s="24" t="s">
        <v>497</v>
      </c>
      <c r="B4" s="25">
        <f ca="1">WORKDAY(TODAY(),-2)</f>
        <v>43550</v>
      </c>
      <c r="C4" s="24"/>
    </row>
    <row r="5" spans="1:15" x14ac:dyDescent="0.25">
      <c r="A5" s="26" t="s">
        <v>509</v>
      </c>
      <c r="B5" s="26" t="s">
        <v>831</v>
      </c>
      <c r="I5" s="49"/>
      <c r="N5" s="41"/>
    </row>
    <row r="6" spans="1:15" ht="15.75" x14ac:dyDescent="0.25">
      <c r="A6" s="26" t="s">
        <v>499</v>
      </c>
      <c r="B6" s="25">
        <f ca="1">WORKDAY(Today,0)</f>
        <v>43550</v>
      </c>
      <c r="I6" s="49"/>
      <c r="J6" s="49"/>
      <c r="N6" s="41"/>
    </row>
    <row r="7" spans="1:15" ht="15.75" x14ac:dyDescent="0.25">
      <c r="A7" s="26" t="s">
        <v>500</v>
      </c>
      <c r="B7" s="25">
        <f ca="1">WORKDAY(Today,0)</f>
        <v>43550</v>
      </c>
      <c r="I7" s="49"/>
      <c r="K7" s="49"/>
      <c r="L7" s="48"/>
    </row>
    <row r="8" spans="1:15" ht="15.75" x14ac:dyDescent="0.25">
      <c r="A8" s="26" t="s">
        <v>501</v>
      </c>
      <c r="B8" s="25">
        <f ca="1">WORKDAY(Today,0)</f>
        <v>43550</v>
      </c>
      <c r="J8" s="48"/>
      <c r="K8" s="48"/>
    </row>
    <row r="9" spans="1:15" x14ac:dyDescent="0.25">
      <c r="A9" s="26"/>
      <c r="B9" s="26"/>
      <c r="J9" s="48"/>
    </row>
    <row r="11" spans="1:15" ht="21" x14ac:dyDescent="0.35">
      <c r="A11" s="72" t="s">
        <v>502</v>
      </c>
      <c r="B11" s="72"/>
      <c r="C11" s="72"/>
      <c r="D11" s="72"/>
      <c r="E11" s="72"/>
      <c r="F11" s="72"/>
      <c r="G11" s="72"/>
      <c r="H11" s="72"/>
      <c r="I11" s="72"/>
      <c r="J11" s="72"/>
      <c r="K11" s="72"/>
    </row>
    <row r="12" spans="1:15" ht="15.75" x14ac:dyDescent="0.25">
      <c r="A12" s="27" t="s">
        <v>503</v>
      </c>
      <c r="B12" s="27" t="s">
        <v>504</v>
      </c>
      <c r="C12" s="27" t="s">
        <v>497</v>
      </c>
      <c r="D12" s="27" t="s">
        <v>229</v>
      </c>
      <c r="E12" s="27" t="s">
        <v>493</v>
      </c>
      <c r="F12" s="27" t="s">
        <v>505</v>
      </c>
      <c r="G12" s="27" t="s">
        <v>506</v>
      </c>
      <c r="H12" s="27" t="s">
        <v>507</v>
      </c>
      <c r="I12" s="27" t="s">
        <v>541</v>
      </c>
      <c r="J12" s="27" t="s">
        <v>540</v>
      </c>
      <c r="K12" s="27" t="s">
        <v>539</v>
      </c>
    </row>
    <row r="13" spans="1:15" x14ac:dyDescent="0.25">
      <c r="A13" s="42" t="s">
        <v>578</v>
      </c>
      <c r="B13" s="42" t="s">
        <v>483</v>
      </c>
      <c r="C13" s="43">
        <v>43551</v>
      </c>
      <c r="D13" s="42" t="s">
        <v>530</v>
      </c>
      <c r="E13" s="44">
        <v>590000000</v>
      </c>
      <c r="F13" s="42" t="s">
        <v>529</v>
      </c>
      <c r="G13" s="42" t="s">
        <v>580</v>
      </c>
      <c r="H13" s="45">
        <v>2.32373602011984E-2</v>
      </c>
      <c r="I13" s="44">
        <v>-19236381.701938901</v>
      </c>
      <c r="J13" s="44"/>
      <c r="K13" s="44"/>
    </row>
    <row r="14" spans="1:15" x14ac:dyDescent="0.25">
      <c r="A14" s="14" t="s">
        <v>593</v>
      </c>
      <c r="B14" s="14" t="s">
        <v>483</v>
      </c>
      <c r="C14" s="28">
        <v>43551</v>
      </c>
      <c r="D14" s="14" t="s">
        <v>570</v>
      </c>
      <c r="E14" s="32">
        <v>43435000</v>
      </c>
      <c r="F14" s="14" t="s">
        <v>569</v>
      </c>
      <c r="G14" s="14" t="s">
        <v>742</v>
      </c>
      <c r="H14" s="30">
        <v>-5.2861398839431403E-4</v>
      </c>
      <c r="I14" s="32">
        <v>-105518.280880191</v>
      </c>
      <c r="J14" s="32"/>
    </row>
    <row r="15" spans="1:15" x14ac:dyDescent="0.25">
      <c r="A15" s="14" t="s">
        <v>562</v>
      </c>
      <c r="B15" s="14" t="s">
        <v>483</v>
      </c>
      <c r="C15" s="28">
        <v>43551</v>
      </c>
      <c r="D15" s="14" t="s">
        <v>530</v>
      </c>
      <c r="E15" s="32">
        <v>2929594.7568521062</v>
      </c>
      <c r="F15" s="14" t="s">
        <v>529</v>
      </c>
      <c r="G15" s="14" t="s">
        <v>508</v>
      </c>
      <c r="H15" s="30">
        <v>6.8591784589967703E-2</v>
      </c>
      <c r="I15" s="32">
        <v>0</v>
      </c>
      <c r="J15" s="32"/>
    </row>
    <row r="16" spans="1:15" x14ac:dyDescent="0.25">
      <c r="A16" s="14" t="s">
        <v>563</v>
      </c>
      <c r="B16" s="14" t="s">
        <v>483</v>
      </c>
      <c r="C16" s="28">
        <v>43551</v>
      </c>
      <c r="D16" s="14" t="s">
        <v>564</v>
      </c>
      <c r="E16" s="32">
        <v>3568660570.7100005</v>
      </c>
      <c r="F16" s="14" t="s">
        <v>529</v>
      </c>
      <c r="G16" s="14" t="s">
        <v>508</v>
      </c>
      <c r="H16" s="30">
        <v>0.110728139125567</v>
      </c>
      <c r="I16" s="32">
        <v>0</v>
      </c>
      <c r="J16" s="14"/>
      <c r="K16" s="14"/>
    </row>
    <row r="17" spans="1:17" x14ac:dyDescent="0.25">
      <c r="A17" s="14" t="s">
        <v>571</v>
      </c>
      <c r="B17" s="14" t="s">
        <v>483</v>
      </c>
      <c r="C17" s="28">
        <v>43551</v>
      </c>
      <c r="D17" s="14" t="s">
        <v>530</v>
      </c>
      <c r="E17" s="32">
        <v>33641599.638747804</v>
      </c>
      <c r="F17" s="14" t="s">
        <v>574</v>
      </c>
      <c r="G17" s="14" t="s">
        <v>508</v>
      </c>
      <c r="H17" s="30">
        <v>2.1037261313037601E-2</v>
      </c>
      <c r="I17" s="32">
        <v>0</v>
      </c>
      <c r="J17" s="32"/>
    </row>
    <row r="18" spans="1:17" x14ac:dyDescent="0.25">
      <c r="A18" s="14" t="s">
        <v>573</v>
      </c>
      <c r="B18" s="14" t="s">
        <v>483</v>
      </c>
      <c r="C18" s="28">
        <v>43551</v>
      </c>
      <c r="D18" s="14" t="s">
        <v>530</v>
      </c>
      <c r="E18" s="32">
        <v>391930718.07772779</v>
      </c>
      <c r="F18" s="14" t="s">
        <v>569</v>
      </c>
      <c r="G18" s="14" t="s">
        <v>508</v>
      </c>
      <c r="H18" s="30">
        <v>2.5107990409702002E-2</v>
      </c>
      <c r="I18" s="32">
        <v>0</v>
      </c>
      <c r="J18" s="32"/>
    </row>
    <row r="19" spans="1:17" x14ac:dyDescent="0.25">
      <c r="A19" s="14" t="s">
        <v>575</v>
      </c>
      <c r="B19" s="14" t="s">
        <v>483</v>
      </c>
      <c r="C19" s="28">
        <v>43551</v>
      </c>
      <c r="D19" s="14" t="s">
        <v>570</v>
      </c>
      <c r="E19" s="32">
        <v>110550176.24511345</v>
      </c>
      <c r="F19" s="14" t="s">
        <v>574</v>
      </c>
      <c r="G19" s="14" t="s">
        <v>508</v>
      </c>
      <c r="H19" s="30">
        <v>-4.9516698118278401E-4</v>
      </c>
      <c r="I19" s="32">
        <v>0</v>
      </c>
      <c r="J19" s="32"/>
    </row>
    <row r="20" spans="1:17" x14ac:dyDescent="0.25">
      <c r="A20" s="14" t="s">
        <v>576</v>
      </c>
      <c r="B20" s="14" t="s">
        <v>483</v>
      </c>
      <c r="C20" s="28">
        <v>43551</v>
      </c>
      <c r="D20" s="14" t="s">
        <v>570</v>
      </c>
      <c r="E20" s="32">
        <v>648966905.00253689</v>
      </c>
      <c r="F20" s="14" t="s">
        <v>569</v>
      </c>
      <c r="G20" s="14" t="s">
        <v>508</v>
      </c>
      <c r="H20" s="30">
        <v>8.4339963987357797E-3</v>
      </c>
      <c r="I20" s="32">
        <v>0</v>
      </c>
      <c r="J20" s="32"/>
    </row>
    <row r="21" spans="1:17" x14ac:dyDescent="0.25">
      <c r="A21" s="14" t="s">
        <v>747</v>
      </c>
      <c r="B21" s="14" t="s">
        <v>483</v>
      </c>
      <c r="C21" s="28">
        <v>43551</v>
      </c>
      <c r="D21" s="14" t="s">
        <v>570</v>
      </c>
      <c r="E21" s="32">
        <v>164135000</v>
      </c>
      <c r="F21" s="14" t="s">
        <v>569</v>
      </c>
      <c r="G21" s="14" t="s">
        <v>508</v>
      </c>
      <c r="H21" s="30">
        <v>2.6769049256362E-3</v>
      </c>
      <c r="I21" s="32">
        <v>0</v>
      </c>
      <c r="J21" s="32"/>
      <c r="K21" s="48"/>
    </row>
    <row r="22" spans="1:17" ht="15.75" x14ac:dyDescent="0.25">
      <c r="A22" s="14" t="s">
        <v>748</v>
      </c>
      <c r="B22" s="14" t="s">
        <v>483</v>
      </c>
      <c r="C22" s="28">
        <v>43551</v>
      </c>
      <c r="D22" s="14" t="s">
        <v>570</v>
      </c>
      <c r="E22" s="32">
        <v>164135000</v>
      </c>
      <c r="F22" s="14" t="s">
        <v>569</v>
      </c>
      <c r="G22" s="14" t="s">
        <v>508</v>
      </c>
      <c r="H22" s="30">
        <v>2.6769049256362E-3</v>
      </c>
      <c r="I22" s="32">
        <v>0</v>
      </c>
      <c r="J22" s="32"/>
      <c r="L22" s="67" t="s">
        <v>792</v>
      </c>
      <c r="M22" s="67" t="s">
        <v>793</v>
      </c>
      <c r="N22">
        <v>25</v>
      </c>
      <c r="O22" s="32" t="s">
        <v>794</v>
      </c>
      <c r="P22">
        <v>22</v>
      </c>
      <c r="Q22" s="32" t="s">
        <v>794</v>
      </c>
    </row>
    <row r="23" spans="1:17" x14ac:dyDescent="0.25">
      <c r="A23" s="14" t="s">
        <v>749</v>
      </c>
      <c r="B23" s="14" t="s">
        <v>483</v>
      </c>
      <c r="C23" s="28">
        <v>43551</v>
      </c>
      <c r="D23" s="14" t="s">
        <v>570</v>
      </c>
      <c r="E23" s="32">
        <v>13075195</v>
      </c>
      <c r="F23" s="14" t="s">
        <v>569</v>
      </c>
      <c r="G23" s="14" t="s">
        <v>780</v>
      </c>
      <c r="H23" s="30">
        <v>1.6072903147239699E-3</v>
      </c>
      <c r="I23" s="32">
        <v>-2233982.1674710698</v>
      </c>
      <c r="J23" s="32"/>
      <c r="K23" s="32">
        <v>-2185699.4318269002</v>
      </c>
      <c r="L23" s="32">
        <v>-2217261.34</v>
      </c>
      <c r="M23" s="32">
        <v>7140.2235067337751</v>
      </c>
      <c r="N23" s="32">
        <v>-2221690.84</v>
      </c>
      <c r="O23" s="32">
        <v>-2188445.1970524299</v>
      </c>
      <c r="P23" s="32">
        <v>-2226738.7200000002</v>
      </c>
      <c r="Q23" s="32">
        <v>-2191997.00352096</v>
      </c>
    </row>
    <row r="24" spans="1:17" x14ac:dyDescent="0.25">
      <c r="A24" s="14" t="s">
        <v>750</v>
      </c>
      <c r="B24" s="14" t="s">
        <v>483</v>
      </c>
      <c r="C24" s="28">
        <v>43551</v>
      </c>
      <c r="D24" s="14" t="s">
        <v>570</v>
      </c>
      <c r="E24" s="32">
        <v>8303507</v>
      </c>
      <c r="F24" s="14" t="s">
        <v>569</v>
      </c>
      <c r="G24" s="14" t="s">
        <v>780</v>
      </c>
      <c r="H24" s="30">
        <v>1.64320978453696E-3</v>
      </c>
      <c r="I24" s="32">
        <v>-1400461.0999519799</v>
      </c>
      <c r="J24" s="32"/>
      <c r="K24" s="32">
        <v>-1370220.51257969</v>
      </c>
      <c r="L24" s="32">
        <v>-1390056.9</v>
      </c>
      <c r="M24" s="32">
        <v>4481.6958942394704</v>
      </c>
      <c r="N24" s="32">
        <v>-1392833.05</v>
      </c>
      <c r="O24" s="32">
        <v>-1371916.9296210499</v>
      </c>
      <c r="P24" s="32">
        <v>-1395999.35</v>
      </c>
      <c r="Q24" s="32">
        <v>-1374159.8993756799</v>
      </c>
    </row>
    <row r="25" spans="1:17" x14ac:dyDescent="0.25">
      <c r="A25" s="14" t="s">
        <v>752</v>
      </c>
      <c r="B25" s="14" t="s">
        <v>483</v>
      </c>
      <c r="C25" s="28">
        <v>43551</v>
      </c>
      <c r="D25" s="14" t="s">
        <v>570</v>
      </c>
      <c r="E25" s="32">
        <v>2095092</v>
      </c>
      <c r="F25" s="14" t="s">
        <v>569</v>
      </c>
      <c r="G25" s="14" t="s">
        <v>781</v>
      </c>
      <c r="H25" s="30">
        <v>-6.8775637140001099E-4</v>
      </c>
      <c r="I25" s="32">
        <v>-45148.563815243797</v>
      </c>
      <c r="J25" s="32"/>
      <c r="K25" s="32">
        <v>-41917.152583402603</v>
      </c>
      <c r="L25" s="32">
        <v>-42019.5</v>
      </c>
      <c r="M25" s="32">
        <v>511.56601759744808</v>
      </c>
      <c r="N25" s="32">
        <v>-42286.1</v>
      </c>
      <c r="O25" s="32">
        <v>-42153.737162045603</v>
      </c>
      <c r="P25" s="32">
        <v>-42570.17</v>
      </c>
      <c r="Q25" s="32">
        <v>-42327.430825699899</v>
      </c>
    </row>
    <row r="26" spans="1:17" x14ac:dyDescent="0.25">
      <c r="A26" s="14" t="s">
        <v>753</v>
      </c>
      <c r="B26" s="14" t="s">
        <v>483</v>
      </c>
      <c r="C26" s="28">
        <v>43551</v>
      </c>
      <c r="D26" s="14" t="s">
        <v>570</v>
      </c>
      <c r="E26" s="32">
        <v>3317862.7453318164</v>
      </c>
      <c r="F26" s="14" t="s">
        <v>569</v>
      </c>
      <c r="G26" s="14" t="s">
        <v>781</v>
      </c>
      <c r="H26" s="30">
        <v>-6.8774661090249399E-4</v>
      </c>
      <c r="I26" s="32">
        <v>-90297.969893907401</v>
      </c>
      <c r="J26" s="32"/>
      <c r="K26" s="32">
        <v>-83835.0390431298</v>
      </c>
      <c r="L26" s="32">
        <v>-84038.99</v>
      </c>
      <c r="M26" s="32">
        <v>1023.142728632782</v>
      </c>
      <c r="N26" s="32">
        <v>-84572.11</v>
      </c>
      <c r="O26" s="32">
        <v>-84308.214798215005</v>
      </c>
      <c r="P26" s="32">
        <v>-85140.28</v>
      </c>
      <c r="Q26" s="32">
        <v>-84655.605520323894</v>
      </c>
    </row>
    <row r="27" spans="1:17" x14ac:dyDescent="0.25">
      <c r="A27" s="14" t="s">
        <v>754</v>
      </c>
      <c r="B27" s="14" t="s">
        <v>483</v>
      </c>
      <c r="C27" s="31">
        <v>43551</v>
      </c>
      <c r="D27" s="29" t="s">
        <v>570</v>
      </c>
      <c r="E27" s="33">
        <v>2095092</v>
      </c>
      <c r="F27" s="14" t="s">
        <v>569</v>
      </c>
      <c r="G27" s="29" t="s">
        <v>781</v>
      </c>
      <c r="H27" s="30">
        <v>-6.8775637140001099E-4</v>
      </c>
      <c r="I27" s="32">
        <v>-45148.563815243797</v>
      </c>
      <c r="J27" s="32"/>
      <c r="K27" s="32">
        <v>-41917.152583402603</v>
      </c>
      <c r="L27" s="32">
        <v>-42019.5</v>
      </c>
      <c r="M27" s="32">
        <v>511.56601759744808</v>
      </c>
      <c r="N27" s="32">
        <v>-42286.1</v>
      </c>
      <c r="O27" s="32">
        <v>-42153.737162045603</v>
      </c>
      <c r="P27" s="32">
        <v>-42570.17</v>
      </c>
      <c r="Q27" s="32">
        <v>-42327.430825699899</v>
      </c>
    </row>
    <row r="28" spans="1:17" x14ac:dyDescent="0.25">
      <c r="A28" s="14" t="s">
        <v>755</v>
      </c>
      <c r="B28" s="14" t="s">
        <v>483</v>
      </c>
      <c r="C28" s="31">
        <v>43551</v>
      </c>
      <c r="D28" s="29" t="s">
        <v>570</v>
      </c>
      <c r="E28" s="33">
        <v>2095092</v>
      </c>
      <c r="F28" s="14" t="s">
        <v>569</v>
      </c>
      <c r="G28" s="29" t="s">
        <v>781</v>
      </c>
      <c r="H28" s="30">
        <v>-6.8775637140001099E-4</v>
      </c>
      <c r="I28" s="32">
        <v>-45148.563815243797</v>
      </c>
      <c r="J28" s="32"/>
      <c r="K28" s="32">
        <v>-41917.152583402603</v>
      </c>
      <c r="L28" s="32">
        <v>-42019.5</v>
      </c>
      <c r="M28" s="32">
        <v>511.56601759744808</v>
      </c>
      <c r="N28" s="32">
        <v>-42286.1</v>
      </c>
      <c r="O28" s="32">
        <v>-42153.737162045603</v>
      </c>
      <c r="P28" s="32">
        <v>-42570.17</v>
      </c>
      <c r="Q28" s="32">
        <v>-42327.430825699899</v>
      </c>
    </row>
    <row r="29" spans="1:17" x14ac:dyDescent="0.25">
      <c r="A29" s="14" t="s">
        <v>756</v>
      </c>
      <c r="B29" s="14" t="s">
        <v>483</v>
      </c>
      <c r="C29" s="31">
        <v>43551</v>
      </c>
      <c r="D29" s="14" t="s">
        <v>570</v>
      </c>
      <c r="E29" s="32">
        <v>1209703</v>
      </c>
      <c r="F29" s="14" t="s">
        <v>569</v>
      </c>
      <c r="G29" s="29" t="s">
        <v>782</v>
      </c>
      <c r="H29" s="30">
        <v>1.8762536075864701E-3</v>
      </c>
      <c r="I29" s="32">
        <v>-63606.324665208398</v>
      </c>
      <c r="J29" s="32"/>
      <c r="K29" s="32">
        <v>-58800.375946931497</v>
      </c>
      <c r="L29" s="32">
        <v>-59399.72</v>
      </c>
      <c r="M29" s="32">
        <v>713.56498907925561</v>
      </c>
      <c r="N29" s="32">
        <v>-59817.82</v>
      </c>
      <c r="O29" s="32">
        <v>-59039.252297051898</v>
      </c>
      <c r="P29" s="32">
        <v>-60341.83</v>
      </c>
      <c r="Q29" s="32">
        <v>-59392.5901468292</v>
      </c>
    </row>
    <row r="30" spans="1:17" x14ac:dyDescent="0.25">
      <c r="A30" s="14" t="s">
        <v>757</v>
      </c>
      <c r="B30" s="14" t="s">
        <v>483</v>
      </c>
      <c r="C30" s="31">
        <v>43551</v>
      </c>
      <c r="D30" s="14" t="s">
        <v>570</v>
      </c>
      <c r="E30" s="32">
        <v>2331076</v>
      </c>
      <c r="F30" s="14" t="s">
        <v>569</v>
      </c>
      <c r="G30" s="29" t="s">
        <v>782</v>
      </c>
      <c r="H30" s="30">
        <v>1.8762536075864499E-3</v>
      </c>
      <c r="I30" s="32">
        <v>-98654.652917753207</v>
      </c>
      <c r="J30" s="32"/>
      <c r="K30" s="32">
        <v>-91200.532510109493</v>
      </c>
      <c r="L30" s="32">
        <v>-92130.06</v>
      </c>
      <c r="M30" s="32">
        <v>1106.753246666631</v>
      </c>
      <c r="N30" s="32">
        <v>-92778.49</v>
      </c>
      <c r="O30" s="32">
        <v>-91571.034398647098</v>
      </c>
      <c r="P30" s="32">
        <v>-93591.25</v>
      </c>
      <c r="Q30" s="32">
        <v>-92119.068310619798</v>
      </c>
    </row>
    <row r="31" spans="1:17" x14ac:dyDescent="0.25">
      <c r="A31" s="14" t="s">
        <v>758</v>
      </c>
      <c r="B31" s="14" t="s">
        <v>483</v>
      </c>
      <c r="C31" s="31">
        <v>43551</v>
      </c>
      <c r="D31" s="14" t="s">
        <v>570</v>
      </c>
      <c r="E31" s="32">
        <v>12544700</v>
      </c>
      <c r="F31" s="14" t="s">
        <v>569</v>
      </c>
      <c r="G31" s="29" t="s">
        <v>783</v>
      </c>
      <c r="H31" s="30">
        <v>1.4684787827301199E-3</v>
      </c>
      <c r="I31" s="32">
        <v>-494400.819472779</v>
      </c>
      <c r="J31" s="32"/>
      <c r="K31" s="32">
        <v>-454664.95801700698</v>
      </c>
      <c r="L31" s="32">
        <v>-458949.39</v>
      </c>
      <c r="M31" s="32">
        <v>5859.3009808491915</v>
      </c>
      <c r="N31" s="32">
        <v>-462401.03</v>
      </c>
      <c r="O31" s="32">
        <v>-456938.83131998201</v>
      </c>
      <c r="P31" s="32">
        <v>-466712.57</v>
      </c>
      <c r="Q31" s="32">
        <v>-459838.86757526401</v>
      </c>
    </row>
    <row r="32" spans="1:17" x14ac:dyDescent="0.25">
      <c r="A32" s="14" t="s">
        <v>759</v>
      </c>
      <c r="B32" s="14" t="s">
        <v>483</v>
      </c>
      <c r="C32" s="31">
        <v>43551</v>
      </c>
      <c r="D32" s="14" t="s">
        <v>570</v>
      </c>
      <c r="E32" s="32">
        <v>18302355</v>
      </c>
      <c r="F32" s="14" t="s">
        <v>569</v>
      </c>
      <c r="G32" s="29" t="s">
        <v>784</v>
      </c>
      <c r="H32" s="30">
        <v>1.0667202694698301E-3</v>
      </c>
      <c r="I32" s="32">
        <v>-517217.70161643298</v>
      </c>
      <c r="J32" s="32"/>
      <c r="K32" s="32">
        <v>-453836.86762781302</v>
      </c>
      <c r="L32" s="32">
        <v>-456612.99</v>
      </c>
      <c r="M32" s="32">
        <v>9279.9185248315334</v>
      </c>
      <c r="N32" s="32">
        <v>-462057.32</v>
      </c>
      <c r="O32" s="32">
        <v>-457885.74859260401</v>
      </c>
      <c r="P32" s="32">
        <v>-468809.04</v>
      </c>
      <c r="Q32" s="32">
        <v>-462217.42267006001</v>
      </c>
    </row>
    <row r="33" spans="1:17" x14ac:dyDescent="0.25">
      <c r="A33" s="14" t="s">
        <v>760</v>
      </c>
      <c r="B33" s="14" t="s">
        <v>483</v>
      </c>
      <c r="C33" s="31">
        <v>43551</v>
      </c>
      <c r="D33" s="14" t="s">
        <v>570</v>
      </c>
      <c r="E33" s="32">
        <v>18302355</v>
      </c>
      <c r="F33" s="14" t="s">
        <v>569</v>
      </c>
      <c r="G33" s="29" t="s">
        <v>784</v>
      </c>
      <c r="H33" s="30">
        <v>1.0667202694698301E-3</v>
      </c>
      <c r="I33" s="32">
        <v>-517217.70161643298</v>
      </c>
      <c r="J33" s="32"/>
      <c r="K33" s="32">
        <v>-453836.86762781302</v>
      </c>
      <c r="L33" s="32">
        <v>-456612.99</v>
      </c>
      <c r="M33" s="32">
        <v>9279.9185248315334</v>
      </c>
      <c r="N33" s="32">
        <v>-462057.32</v>
      </c>
      <c r="O33" s="32">
        <v>-457885.74859260401</v>
      </c>
      <c r="P33" s="32">
        <v>-468809.04</v>
      </c>
      <c r="Q33" s="32">
        <v>-462217.42267006001</v>
      </c>
    </row>
    <row r="34" spans="1:17" x14ac:dyDescent="0.25">
      <c r="A34" s="14" t="s">
        <v>761</v>
      </c>
      <c r="B34" s="14" t="s">
        <v>483</v>
      </c>
      <c r="C34" s="31">
        <v>43551</v>
      </c>
      <c r="D34" s="14" t="s">
        <v>570</v>
      </c>
      <c r="E34" s="32">
        <v>2291886</v>
      </c>
      <c r="F34" s="14" t="s">
        <v>529</v>
      </c>
      <c r="G34" s="29" t="s">
        <v>785</v>
      </c>
      <c r="H34" s="30">
        <v>-1.50593311050131E-3</v>
      </c>
      <c r="I34" s="32">
        <v>-157851.67786498301</v>
      </c>
      <c r="J34" s="32"/>
      <c r="K34" s="32">
        <v>-155406.920772646</v>
      </c>
      <c r="L34" s="32">
        <v>-159349.04</v>
      </c>
      <c r="M34" s="32">
        <v>452.82617080933409</v>
      </c>
      <c r="N34" s="32">
        <v>-159680.97</v>
      </c>
      <c r="O34" s="32">
        <v>-155619.06339385299</v>
      </c>
      <c r="P34" s="32">
        <v>-159825.92000000001</v>
      </c>
      <c r="Q34" s="32">
        <v>-155673.98952080199</v>
      </c>
    </row>
    <row r="35" spans="1:17" x14ac:dyDescent="0.25">
      <c r="A35" s="14" t="s">
        <v>762</v>
      </c>
      <c r="B35" s="14" t="s">
        <v>483</v>
      </c>
      <c r="C35" s="31">
        <v>43551</v>
      </c>
      <c r="D35" s="14" t="s">
        <v>570</v>
      </c>
      <c r="E35" s="32">
        <v>1799947</v>
      </c>
      <c r="F35" s="14" t="s">
        <v>529</v>
      </c>
      <c r="G35" s="29" t="s">
        <v>785</v>
      </c>
      <c r="H35" s="30">
        <v>-1.3952254420476701E-3</v>
      </c>
      <c r="I35" s="32">
        <v>-130584.368259607</v>
      </c>
      <c r="J35" s="32"/>
      <c r="K35" s="32">
        <v>-128485.567909134</v>
      </c>
      <c r="L35" s="32">
        <v>-131830.54999999999</v>
      </c>
      <c r="M35" s="32">
        <v>376.42986445967108</v>
      </c>
      <c r="N35" s="32">
        <v>-132114.1</v>
      </c>
      <c r="O35" s="32">
        <v>-128665.848774887</v>
      </c>
      <c r="P35" s="32">
        <v>-132246.25</v>
      </c>
      <c r="Q35" s="32">
        <v>-128721.93567796701</v>
      </c>
    </row>
    <row r="36" spans="1:17" x14ac:dyDescent="0.25">
      <c r="A36" s="14" t="s">
        <v>763</v>
      </c>
      <c r="B36" s="14" t="s">
        <v>483</v>
      </c>
      <c r="C36" s="31">
        <v>43551</v>
      </c>
      <c r="D36" s="14" t="s">
        <v>570</v>
      </c>
      <c r="E36" s="32">
        <v>2394191</v>
      </c>
      <c r="F36" s="14" t="s">
        <v>529</v>
      </c>
      <c r="G36" s="29" t="s">
        <v>786</v>
      </c>
      <c r="H36" s="30">
        <v>-1.4960717279065699E-3</v>
      </c>
      <c r="I36" s="32">
        <v>-158541.545809998</v>
      </c>
      <c r="J36" s="32"/>
      <c r="K36" s="32">
        <v>-155986.78972557301</v>
      </c>
      <c r="L36" s="32">
        <v>-160078.32999999999</v>
      </c>
      <c r="M36" s="32">
        <v>470.74209146993229</v>
      </c>
      <c r="N36" s="32">
        <v>-160425.39000000001</v>
      </c>
      <c r="O36" s="32">
        <v>-156208.14306253099</v>
      </c>
      <c r="P36" s="32">
        <v>-160577.12</v>
      </c>
      <c r="Q36" s="32">
        <v>-156266.12379150401</v>
      </c>
    </row>
    <row r="37" spans="1:17" x14ac:dyDescent="0.25">
      <c r="A37" s="14" t="s">
        <v>764</v>
      </c>
      <c r="B37" s="14" t="s">
        <v>483</v>
      </c>
      <c r="C37" s="31">
        <v>43551</v>
      </c>
      <c r="D37" s="14" t="s">
        <v>570</v>
      </c>
      <c r="E37" s="32">
        <v>2238803</v>
      </c>
      <c r="F37" s="14" t="s">
        <v>529</v>
      </c>
      <c r="G37" s="29" t="s">
        <v>785</v>
      </c>
      <c r="H37" s="30">
        <v>-1.3952956018535099E-3</v>
      </c>
      <c r="I37" s="32">
        <v>-162415.07161182899</v>
      </c>
      <c r="J37" s="32"/>
      <c r="K37" s="32">
        <v>-159804.58135230001</v>
      </c>
      <c r="L37" s="32">
        <v>-163972.99</v>
      </c>
      <c r="M37" s="32">
        <v>468.20534847606899</v>
      </c>
      <c r="N37" s="32">
        <v>-164325.6</v>
      </c>
      <c r="O37" s="32">
        <v>-160028.815247366</v>
      </c>
      <c r="P37" s="32">
        <v>-164489.98000000001</v>
      </c>
      <c r="Q37" s="32">
        <v>-160098.57475503199</v>
      </c>
    </row>
    <row r="38" spans="1:17" x14ac:dyDescent="0.25">
      <c r="A38" s="14" t="s">
        <v>765</v>
      </c>
      <c r="B38" s="14" t="s">
        <v>483</v>
      </c>
      <c r="C38" s="31">
        <v>43551</v>
      </c>
      <c r="D38" s="14" t="s">
        <v>570</v>
      </c>
      <c r="E38" s="32">
        <v>2498722</v>
      </c>
      <c r="F38" s="14" t="s">
        <v>529</v>
      </c>
      <c r="G38" s="29" t="s">
        <v>786</v>
      </c>
      <c r="H38" s="30">
        <v>-1.46986072216859E-3</v>
      </c>
      <c r="I38" s="32">
        <v>-171385.08652032801</v>
      </c>
      <c r="J38" s="32"/>
      <c r="K38" s="32">
        <v>-168594.62887332699</v>
      </c>
      <c r="L38" s="32">
        <v>-173089.5</v>
      </c>
      <c r="M38" s="32">
        <v>509.46161458780989</v>
      </c>
      <c r="N38" s="32">
        <v>-173469.46</v>
      </c>
      <c r="O38" s="32">
        <v>-168833.97621963601</v>
      </c>
      <c r="P38" s="32">
        <v>-173635.92</v>
      </c>
      <c r="Q38" s="32">
        <v>-168901.712982428</v>
      </c>
    </row>
    <row r="39" spans="1:17" x14ac:dyDescent="0.25">
      <c r="A39" s="14" t="s">
        <v>766</v>
      </c>
      <c r="B39" s="14" t="s">
        <v>483</v>
      </c>
      <c r="C39" s="31">
        <v>43551</v>
      </c>
      <c r="D39" s="14" t="s">
        <v>570</v>
      </c>
      <c r="E39" s="32">
        <v>2835164</v>
      </c>
      <c r="F39" s="14" t="s">
        <v>529</v>
      </c>
      <c r="G39" s="29" t="s">
        <v>787</v>
      </c>
      <c r="H39" s="30">
        <v>1.79755725184239E-3</v>
      </c>
      <c r="I39" s="32">
        <v>-181390.104724695</v>
      </c>
      <c r="J39" s="32"/>
      <c r="K39" s="32">
        <v>-172002.22249116999</v>
      </c>
      <c r="L39" s="32">
        <v>-184009.96</v>
      </c>
      <c r="M39" s="32">
        <v>1396.4802670581271</v>
      </c>
      <c r="N39" s="32">
        <v>-184870.47</v>
      </c>
      <c r="O39" s="32">
        <v>-172484.35053287199</v>
      </c>
      <c r="P39" s="32">
        <v>-185874.42</v>
      </c>
      <c r="Q39" s="32">
        <v>-173161.52722534101</v>
      </c>
    </row>
    <row r="40" spans="1:17" x14ac:dyDescent="0.25">
      <c r="A40" s="14" t="s">
        <v>767</v>
      </c>
      <c r="B40" s="14" t="s">
        <v>483</v>
      </c>
      <c r="C40" s="31">
        <v>43551</v>
      </c>
      <c r="D40" s="14" t="s">
        <v>570</v>
      </c>
      <c r="E40" s="32">
        <v>6835500</v>
      </c>
      <c r="F40" s="14" t="s">
        <v>569</v>
      </c>
      <c r="G40" s="29" t="s">
        <v>788</v>
      </c>
      <c r="H40" s="30">
        <v>2.1861154472193902E-3</v>
      </c>
      <c r="I40" s="32">
        <v>-195503.41429865299</v>
      </c>
      <c r="J40" s="32"/>
      <c r="K40" s="32">
        <v>-170297.66698367699</v>
      </c>
      <c r="L40" s="32">
        <v>-171257.51</v>
      </c>
      <c r="M40" s="32">
        <v>3725.2664237618451</v>
      </c>
      <c r="N40" s="32">
        <v>-173495.56</v>
      </c>
      <c r="O40" s="32">
        <v>-171416.99123558201</v>
      </c>
      <c r="P40" s="32">
        <v>-176334.95</v>
      </c>
      <c r="Q40" s="32">
        <v>-173530.10793173799</v>
      </c>
    </row>
    <row r="41" spans="1:17" x14ac:dyDescent="0.25">
      <c r="A41" s="14" t="s">
        <v>768</v>
      </c>
      <c r="B41" s="14" t="s">
        <v>483</v>
      </c>
      <c r="C41" s="31">
        <v>43551</v>
      </c>
      <c r="D41" s="14" t="s">
        <v>570</v>
      </c>
      <c r="E41" s="32">
        <v>1728987</v>
      </c>
      <c r="F41" s="14" t="s">
        <v>569</v>
      </c>
      <c r="G41" s="29" t="s">
        <v>789</v>
      </c>
      <c r="H41" s="30">
        <v>1.45716884967342E-3</v>
      </c>
      <c r="I41" s="32">
        <v>-61948.0873098273</v>
      </c>
      <c r="J41" s="32"/>
      <c r="K41" s="32">
        <v>-55510.058993146798</v>
      </c>
      <c r="L41" s="32">
        <v>-56003.91</v>
      </c>
      <c r="M41" s="32">
        <v>937.72468887502328</v>
      </c>
      <c r="N41" s="32">
        <v>-56560.41</v>
      </c>
      <c r="O41" s="32">
        <v>-55910.470670680101</v>
      </c>
      <c r="P41" s="32">
        <v>-57265.440000000002</v>
      </c>
      <c r="Q41" s="32">
        <v>-56350.953339198801</v>
      </c>
    </row>
    <row r="42" spans="1:17" x14ac:dyDescent="0.25">
      <c r="A42" s="14" t="s">
        <v>769</v>
      </c>
      <c r="B42" s="14" t="s">
        <v>483</v>
      </c>
      <c r="C42" s="31">
        <v>43551</v>
      </c>
      <c r="D42" s="14" t="s">
        <v>570</v>
      </c>
      <c r="E42" s="32">
        <v>5647782</v>
      </c>
      <c r="F42" s="14" t="s">
        <v>569</v>
      </c>
      <c r="G42" s="29" t="s">
        <v>790</v>
      </c>
      <c r="H42" s="30">
        <v>1.8754533111995E-3</v>
      </c>
      <c r="I42" s="32">
        <v>-842589.71147441596</v>
      </c>
      <c r="J42" s="32"/>
      <c r="K42" s="32">
        <v>-818838.50941744004</v>
      </c>
      <c r="L42" s="32">
        <v>-830899.65</v>
      </c>
      <c r="M42" s="32">
        <v>3499.4309831475839</v>
      </c>
      <c r="N42" s="32">
        <v>-833052.51</v>
      </c>
      <c r="O42" s="32">
        <v>-820076.90344130702</v>
      </c>
      <c r="P42" s="32">
        <v>-835577.88</v>
      </c>
      <c r="Q42" s="32">
        <v>-821944.79106922203</v>
      </c>
    </row>
    <row r="43" spans="1:17" x14ac:dyDescent="0.25">
      <c r="A43" s="14"/>
      <c r="B43" s="14"/>
      <c r="C43" s="31"/>
      <c r="D43" s="14"/>
      <c r="E43" s="32"/>
      <c r="F43" s="14"/>
      <c r="G43" s="29"/>
      <c r="H43" s="30"/>
      <c r="I43" s="32">
        <f>SUM(I23:I42)</f>
        <v>-7613493.1969256299</v>
      </c>
      <c r="J43" s="32"/>
      <c r="K43" s="32">
        <f>SUM(K23:K42)</f>
        <v>-7262772.9894480137</v>
      </c>
      <c r="L43" s="32">
        <f t="shared" ref="L43:N43" si="0">SUM(L23:L42)</f>
        <v>-7371612.3200000012</v>
      </c>
      <c r="M43" s="32">
        <f>(I43-L43)/SUM(M23:M42)</f>
        <v>-4.6287866886176854</v>
      </c>
      <c r="N43" s="32">
        <f t="shared" si="0"/>
        <v>-7403060.7499999981</v>
      </c>
      <c r="O43" s="32">
        <f>SUM(O23:O42)</f>
        <v>-7283696.7307374347</v>
      </c>
      <c r="P43" s="32">
        <f>SUM(P23:P42)</f>
        <v>-7439680.4700000007</v>
      </c>
      <c r="Q43" s="32">
        <f>SUM(Q23:Q42)</f>
        <v>-7308229.8885601284</v>
      </c>
    </row>
    <row r="44" spans="1:17" x14ac:dyDescent="0.25">
      <c r="A44" s="14"/>
      <c r="B44" s="14"/>
      <c r="C44" s="31"/>
      <c r="D44" s="14"/>
      <c r="E44" s="32"/>
      <c r="F44" s="14"/>
      <c r="G44" s="29"/>
      <c r="H44" s="30"/>
      <c r="I44" s="32"/>
      <c r="J44" s="32"/>
      <c r="K44" s="48">
        <f>L43-K43</f>
        <v>-108839.33055198751</v>
      </c>
      <c r="N44" s="48">
        <f>N43-O43</f>
        <v>-119364.01926256344</v>
      </c>
      <c r="P44" s="48">
        <f>P43-Q43</f>
        <v>-131450.58143987227</v>
      </c>
    </row>
    <row r="45" spans="1:17" x14ac:dyDescent="0.25">
      <c r="A45" s="14"/>
      <c r="B45" s="14"/>
      <c r="C45" s="31"/>
      <c r="D45" s="14"/>
      <c r="E45" s="32"/>
      <c r="F45" s="14"/>
      <c r="G45" s="29"/>
      <c r="H45" s="30"/>
      <c r="I45" s="32"/>
      <c r="J45" s="32"/>
    </row>
    <row r="46" spans="1:17" x14ac:dyDescent="0.25">
      <c r="A46" s="14"/>
      <c r="B46" s="14"/>
      <c r="C46" s="31"/>
      <c r="D46" s="14"/>
      <c r="E46" s="32"/>
      <c r="F46" s="14"/>
      <c r="G46" s="29"/>
      <c r="H46" s="30"/>
      <c r="I46" s="32"/>
      <c r="J46" s="32"/>
    </row>
    <row r="47" spans="1:17" x14ac:dyDescent="0.25">
      <c r="A47" s="14"/>
      <c r="B47" s="14"/>
      <c r="C47" s="31"/>
      <c r="D47" s="14"/>
      <c r="E47" s="32"/>
      <c r="F47" s="14"/>
      <c r="G47" s="29"/>
      <c r="H47" s="30"/>
      <c r="I47" s="32"/>
      <c r="J47" s="32"/>
    </row>
    <row r="48" spans="1:17" x14ac:dyDescent="0.25">
      <c r="A48" s="14"/>
      <c r="B48" s="14"/>
      <c r="C48" s="31"/>
      <c r="D48" s="14"/>
      <c r="E48" s="32"/>
      <c r="F48" s="14"/>
      <c r="G48" s="29"/>
      <c r="H48" s="30"/>
      <c r="I48" s="32"/>
    </row>
    <row r="49" spans="1:9" x14ac:dyDescent="0.25">
      <c r="A49" s="14"/>
      <c r="B49" s="14"/>
      <c r="C49" s="31"/>
      <c r="D49" s="14"/>
      <c r="E49" s="32"/>
      <c r="F49" s="14"/>
      <c r="G49" s="29"/>
      <c r="H49" s="30"/>
      <c r="I49" s="32"/>
    </row>
    <row r="50" spans="1:9" x14ac:dyDescent="0.25">
      <c r="A50" s="14"/>
      <c r="B50" s="14"/>
      <c r="C50" s="31"/>
      <c r="D50" s="14"/>
      <c r="E50" s="32"/>
      <c r="F50" s="14"/>
      <c r="G50" s="29"/>
      <c r="H50" s="30"/>
      <c r="I50" s="32"/>
    </row>
    <row r="51" spans="1:9" x14ac:dyDescent="0.25">
      <c r="A51" s="14"/>
      <c r="B51" s="14"/>
      <c r="C51" s="31"/>
      <c r="D51" s="14"/>
      <c r="E51" s="32"/>
      <c r="F51" s="14"/>
      <c r="G51" s="29"/>
      <c r="H51" s="30"/>
      <c r="I51" s="32"/>
    </row>
    <row r="52" spans="1:9" x14ac:dyDescent="0.25">
      <c r="A52" s="14"/>
      <c r="B52" s="14"/>
      <c r="C52" s="31"/>
      <c r="D52" s="14"/>
      <c r="E52" s="32"/>
      <c r="F52" s="14"/>
      <c r="G52" s="29"/>
      <c r="H52" s="30"/>
      <c r="I52" s="32"/>
    </row>
    <row r="53" spans="1:9" x14ac:dyDescent="0.25">
      <c r="A53" s="14"/>
      <c r="B53" s="14"/>
      <c r="C53" s="31"/>
      <c r="D53" s="14"/>
      <c r="E53" s="32"/>
      <c r="F53" s="14"/>
      <c r="G53" s="29"/>
      <c r="H53" s="30"/>
      <c r="I53" s="32"/>
    </row>
    <row r="54" spans="1:9" x14ac:dyDescent="0.25">
      <c r="A54" s="14"/>
      <c r="B54" s="14"/>
      <c r="C54" s="31"/>
      <c r="D54" s="14"/>
      <c r="E54" s="32"/>
      <c r="F54" s="14"/>
      <c r="G54" s="29"/>
      <c r="H54" s="30"/>
      <c r="I54" s="32"/>
    </row>
    <row r="55" spans="1:9" x14ac:dyDescent="0.25">
      <c r="A55" s="14"/>
      <c r="B55" s="14"/>
      <c r="C55" s="31"/>
      <c r="D55" s="14"/>
      <c r="E55" s="32"/>
      <c r="F55" s="14"/>
      <c r="G55" s="29"/>
      <c r="H55" s="30"/>
      <c r="I55" s="32"/>
    </row>
    <row r="56" spans="1:9" x14ac:dyDescent="0.25">
      <c r="A56" s="14"/>
      <c r="B56" s="14"/>
      <c r="C56" s="31"/>
      <c r="D56" s="14"/>
      <c r="E56" s="32"/>
      <c r="F56" s="14"/>
      <c r="G56" s="29"/>
      <c r="H56" s="30"/>
      <c r="I56" s="32"/>
    </row>
    <row r="57" spans="1:9" x14ac:dyDescent="0.25">
      <c r="A57" s="14"/>
      <c r="B57" s="14"/>
      <c r="C57" s="31"/>
      <c r="D57" s="14"/>
      <c r="E57" s="32"/>
      <c r="F57" s="14"/>
      <c r="G57" s="29"/>
      <c r="H57" s="30"/>
      <c r="I57" s="32"/>
    </row>
    <row r="58" spans="1:9" x14ac:dyDescent="0.25">
      <c r="A58" s="14"/>
      <c r="B58" s="14"/>
      <c r="C58" s="31"/>
      <c r="D58" s="14"/>
      <c r="E58" s="32"/>
      <c r="F58" s="14"/>
      <c r="G58" s="29"/>
      <c r="H58" s="30"/>
      <c r="I58" s="32"/>
    </row>
    <row r="59" spans="1:9" x14ac:dyDescent="0.25">
      <c r="A59" s="14"/>
      <c r="B59" s="14"/>
      <c r="C59" s="31"/>
      <c r="D59" s="14"/>
      <c r="E59" s="32"/>
      <c r="F59" s="14"/>
      <c r="G59" s="29"/>
      <c r="H59" s="30"/>
      <c r="I59" s="32"/>
    </row>
    <row r="60" spans="1:9" x14ac:dyDescent="0.25">
      <c r="A60" s="14"/>
      <c r="B60" s="14"/>
      <c r="C60" s="31"/>
      <c r="D60" s="14"/>
      <c r="E60" s="32"/>
      <c r="F60" s="14"/>
      <c r="G60" s="29"/>
      <c r="H60" s="30"/>
      <c r="I60" s="32"/>
    </row>
    <row r="61" spans="1:9" x14ac:dyDescent="0.25">
      <c r="A61" s="14"/>
      <c r="B61" s="14"/>
      <c r="C61" s="31"/>
      <c r="D61" s="14"/>
      <c r="E61" s="32"/>
      <c r="F61" s="14"/>
      <c r="G61" s="29"/>
      <c r="H61" s="30"/>
      <c r="I61" s="32"/>
    </row>
    <row r="62" spans="1:9" x14ac:dyDescent="0.25">
      <c r="A62" s="14"/>
      <c r="B62" s="14"/>
      <c r="C62" s="31"/>
      <c r="D62" s="14"/>
      <c r="E62" s="32"/>
      <c r="F62" s="14"/>
      <c r="G62" s="29"/>
      <c r="H62" s="30"/>
      <c r="I62" s="32"/>
    </row>
    <row r="63" spans="1:9" x14ac:dyDescent="0.25">
      <c r="A63" s="14"/>
      <c r="B63" s="14"/>
      <c r="C63" s="31"/>
      <c r="D63" s="14"/>
      <c r="E63" s="32"/>
      <c r="F63" s="14"/>
      <c r="G63" s="29"/>
      <c r="H63" s="30"/>
      <c r="I63" s="32"/>
    </row>
    <row r="64" spans="1:9" x14ac:dyDescent="0.25">
      <c r="A64" s="14"/>
      <c r="B64" s="14"/>
      <c r="C64" s="31"/>
      <c r="D64" s="14"/>
      <c r="E64" s="32"/>
      <c r="F64" s="14"/>
      <c r="G64" s="29"/>
      <c r="H64" s="30"/>
      <c r="I64" s="32"/>
    </row>
    <row r="65" spans="1:9" x14ac:dyDescent="0.25">
      <c r="A65" s="14"/>
      <c r="B65" s="14"/>
      <c r="C65" s="31"/>
      <c r="D65" s="14"/>
      <c r="E65" s="32"/>
      <c r="F65" s="14"/>
      <c r="G65" s="29"/>
      <c r="H65" s="30"/>
      <c r="I65" s="32"/>
    </row>
    <row r="66" spans="1:9" x14ac:dyDescent="0.25">
      <c r="A66" s="14"/>
      <c r="B66" s="14"/>
      <c r="C66" s="31"/>
      <c r="D66" s="14"/>
      <c r="E66" s="32"/>
      <c r="F66" s="14"/>
      <c r="G66" s="29"/>
      <c r="H66" s="30"/>
      <c r="I66" s="32"/>
    </row>
    <row r="67" spans="1:9" x14ac:dyDescent="0.25">
      <c r="A67" s="14"/>
      <c r="B67" s="14"/>
      <c r="C67" s="31"/>
      <c r="D67" s="14"/>
      <c r="E67" s="32"/>
      <c r="F67" s="14"/>
      <c r="G67" s="29"/>
      <c r="H67" s="30"/>
      <c r="I67" s="32"/>
    </row>
    <row r="68" spans="1:9" x14ac:dyDescent="0.25">
      <c r="A68" s="14"/>
      <c r="B68" s="14"/>
      <c r="C68" s="31"/>
      <c r="D68" s="14"/>
      <c r="E68" s="32"/>
      <c r="F68" s="14"/>
      <c r="G68" s="29"/>
      <c r="H68" s="30"/>
      <c r="I68" s="32"/>
    </row>
    <row r="69" spans="1:9" x14ac:dyDescent="0.25">
      <c r="A69" s="14"/>
      <c r="B69" s="14"/>
      <c r="C69" s="31"/>
      <c r="D69" s="14"/>
      <c r="E69" s="32"/>
      <c r="F69" s="14"/>
      <c r="G69" s="29"/>
      <c r="H69" s="30"/>
      <c r="I69" s="32"/>
    </row>
    <row r="70" spans="1:9" x14ac:dyDescent="0.25">
      <c r="A70" s="14"/>
      <c r="B70" s="14"/>
      <c r="C70" s="31"/>
      <c r="D70" s="14"/>
      <c r="E70" s="32"/>
      <c r="F70" s="14"/>
      <c r="G70" s="29"/>
      <c r="H70" s="30"/>
      <c r="I70" s="32"/>
    </row>
    <row r="71" spans="1:9" x14ac:dyDescent="0.25">
      <c r="A71" s="14"/>
      <c r="B71" s="14"/>
      <c r="C71" s="31"/>
      <c r="D71" s="14"/>
      <c r="E71" s="32"/>
      <c r="F71" s="14"/>
      <c r="G71" s="29"/>
      <c r="H71" s="30"/>
      <c r="I71" s="32"/>
    </row>
    <row r="72" spans="1:9" x14ac:dyDescent="0.25">
      <c r="A72" s="14"/>
      <c r="B72" s="14"/>
      <c r="C72" s="31"/>
      <c r="D72" s="14"/>
      <c r="E72" s="32"/>
      <c r="F72" s="14"/>
      <c r="G72" s="29"/>
      <c r="H72" s="30"/>
      <c r="I72" s="32"/>
    </row>
    <row r="73" spans="1:9" x14ac:dyDescent="0.25">
      <c r="A73" s="14"/>
      <c r="B73" s="14"/>
      <c r="C73" s="31"/>
      <c r="D73" s="14"/>
      <c r="E73" s="32"/>
      <c r="F73" s="14"/>
      <c r="G73" s="29"/>
      <c r="H73" s="30"/>
      <c r="I73" s="32"/>
    </row>
    <row r="74" spans="1:9" x14ac:dyDescent="0.25">
      <c r="A74" s="14"/>
      <c r="B74" s="14"/>
      <c r="C74" s="31"/>
      <c r="D74" s="14"/>
      <c r="E74" s="32"/>
      <c r="F74" s="14"/>
      <c r="G74" s="29"/>
      <c r="H74" s="30"/>
      <c r="I74" s="32"/>
    </row>
    <row r="75" spans="1:9" x14ac:dyDescent="0.25">
      <c r="A75" s="14"/>
      <c r="B75" s="14"/>
      <c r="C75" s="31"/>
      <c r="D75" s="14"/>
      <c r="E75" s="32"/>
      <c r="F75" s="14"/>
      <c r="G75" s="29"/>
      <c r="H75" s="30"/>
      <c r="I75" s="32"/>
    </row>
    <row r="76" spans="1:9" x14ac:dyDescent="0.25">
      <c r="A76" s="14"/>
      <c r="B76" s="14"/>
      <c r="C76" s="31"/>
      <c r="D76" s="14"/>
      <c r="E76" s="32"/>
      <c r="F76" s="14"/>
      <c r="G76" s="29"/>
      <c r="H76" s="30"/>
      <c r="I76" s="32"/>
    </row>
    <row r="77" spans="1:9" x14ac:dyDescent="0.25">
      <c r="A77" s="14"/>
      <c r="B77" s="14"/>
      <c r="C77" s="31"/>
      <c r="D77" s="14"/>
      <c r="E77" s="32"/>
      <c r="F77" s="14"/>
      <c r="G77" s="29"/>
      <c r="H77" s="30"/>
      <c r="I77" s="32"/>
    </row>
    <row r="78" spans="1:9" x14ac:dyDescent="0.25">
      <c r="A78" s="14"/>
      <c r="B78" s="14"/>
      <c r="C78" s="31"/>
      <c r="D78" s="14"/>
      <c r="E78" s="32"/>
      <c r="F78" s="14"/>
      <c r="G78" s="29"/>
      <c r="H78" s="30"/>
      <c r="I78" s="32"/>
    </row>
    <row r="79" spans="1:9" x14ac:dyDescent="0.25">
      <c r="A79" s="14"/>
      <c r="B79" s="14"/>
      <c r="C79" s="31"/>
      <c r="D79" s="14"/>
      <c r="E79" s="32"/>
      <c r="F79" s="14"/>
      <c r="G79" s="29"/>
      <c r="H79" s="30"/>
      <c r="I79" s="32"/>
    </row>
    <row r="80" spans="1:9" x14ac:dyDescent="0.25">
      <c r="A80" s="14"/>
      <c r="B80" s="14"/>
      <c r="C80" s="31"/>
      <c r="D80" s="14"/>
      <c r="E80" s="32"/>
      <c r="F80" s="14"/>
      <c r="G80" s="29"/>
      <c r="H80" s="30"/>
      <c r="I80" s="32"/>
    </row>
    <row r="81" spans="1:9" x14ac:dyDescent="0.25">
      <c r="A81" s="14"/>
      <c r="B81" s="14"/>
      <c r="C81" s="31"/>
      <c r="D81" s="14"/>
      <c r="E81" s="32"/>
      <c r="F81" s="14"/>
      <c r="G81" s="29"/>
      <c r="H81" s="30"/>
      <c r="I81" s="32"/>
    </row>
    <row r="82" spans="1:9" x14ac:dyDescent="0.25">
      <c r="A82" s="14"/>
      <c r="B82" s="14"/>
      <c r="C82" s="31"/>
      <c r="D82" s="14"/>
      <c r="E82" s="32"/>
      <c r="F82" s="14"/>
      <c r="G82" s="29"/>
      <c r="H82" s="30"/>
      <c r="I82" s="32"/>
    </row>
  </sheetData>
  <mergeCells count="4">
    <mergeCell ref="A3:B3"/>
    <mergeCell ref="A11:K11"/>
    <mergeCell ref="A2:K2"/>
    <mergeCell ref="A1:D1"/>
  </mergeCells>
  <pageMargins left="0.7" right="0.7" top="0.75" bottom="0.75" header="0.3" footer="0.3"/>
  <pageSetup scale="46" fitToHeight="0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Pricing">
                <anchor moveWithCells="1" sizeWithCells="1">
                  <from>
                    <xdr:col>2</xdr:col>
                    <xdr:colOff>9525</xdr:colOff>
                    <xdr:row>2</xdr:row>
                    <xdr:rowOff>0</xdr:rowOff>
                  </from>
                  <to>
                    <xdr:col>3</xdr:col>
                    <xdr:colOff>247650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8E357-B140-4D73-BEA7-D3D70C82A6D2}">
  <sheetPr codeName="Sheet3">
    <tabColor rgb="FF92D050"/>
  </sheetPr>
  <dimension ref="A1:AF504"/>
  <sheetViews>
    <sheetView showGridLines="0" zoomScale="85" zoomScaleNormal="85" workbookViewId="0">
      <selection activeCell="H7" sqref="H7"/>
    </sheetView>
  </sheetViews>
  <sheetFormatPr defaultRowHeight="15" x14ac:dyDescent="0.25"/>
  <cols>
    <col min="1" max="1" width="8.85546875" customWidth="1"/>
    <col min="2" max="2" width="15.28515625" customWidth="1"/>
    <col min="3" max="3" width="10.140625" customWidth="1"/>
    <col min="4" max="4" width="8" customWidth="1"/>
    <col min="5" max="5" width="9.42578125" customWidth="1"/>
    <col min="6" max="6" width="11" customWidth="1"/>
    <col min="7" max="8" width="9.140625" customWidth="1"/>
    <col min="9" max="9" width="11.28515625" customWidth="1"/>
    <col min="10" max="10" width="9.140625" customWidth="1"/>
    <col min="11" max="11" width="10.28515625" customWidth="1"/>
    <col min="12" max="12" width="8" customWidth="1"/>
    <col min="13" max="13" width="8.7109375" customWidth="1"/>
    <col min="14" max="14" width="9.5703125" customWidth="1"/>
    <col min="15" max="15" width="9" customWidth="1"/>
    <col min="16" max="16" width="8" customWidth="1"/>
    <col min="17" max="17" width="9" customWidth="1"/>
    <col min="18" max="18" width="8" customWidth="1"/>
    <col min="19" max="19" width="9.5703125" customWidth="1"/>
    <col min="20" max="20" width="8" customWidth="1"/>
    <col min="21" max="21" width="10.140625" customWidth="1"/>
    <col min="22" max="22" width="8" customWidth="1"/>
    <col min="23" max="23" width="11.140625" customWidth="1"/>
    <col min="24" max="24" width="8" customWidth="1"/>
    <col min="25" max="25" width="9.28515625" customWidth="1"/>
    <col min="26" max="26" width="8" customWidth="1"/>
    <col min="27" max="27" width="9.28515625" customWidth="1"/>
    <col min="28" max="28" width="8" customWidth="1"/>
    <col min="29" max="29" width="9.28515625" customWidth="1"/>
    <col min="30" max="30" width="8" customWidth="1"/>
    <col min="31" max="31" width="9.28515625" customWidth="1"/>
    <col min="32" max="32" width="8.85546875" customWidth="1"/>
    <col min="33" max="34" width="8" customWidth="1"/>
  </cols>
  <sheetData>
    <row r="1" spans="1:32" ht="32.450000000000003" customHeight="1" x14ac:dyDescent="0.25">
      <c r="A1" s="75" t="s">
        <v>744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</row>
    <row r="2" spans="1:32" ht="28.5" x14ac:dyDescent="0.45">
      <c r="A2" s="73" t="s">
        <v>496</v>
      </c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</row>
    <row r="3" spans="1:32" ht="21" x14ac:dyDescent="0.35">
      <c r="A3" s="76" t="s">
        <v>543</v>
      </c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6"/>
      <c r="T3" s="76"/>
      <c r="U3" s="76"/>
      <c r="V3" s="76"/>
      <c r="W3" s="76"/>
      <c r="X3" s="76"/>
      <c r="Y3" s="76"/>
      <c r="Z3" s="76"/>
      <c r="AA3" s="76"/>
      <c r="AB3" s="76"/>
      <c r="AC3" s="76"/>
      <c r="AD3" s="76"/>
      <c r="AE3" s="76"/>
      <c r="AF3" s="76"/>
    </row>
    <row r="4" spans="1:32" ht="15.75" customHeight="1" x14ac:dyDescent="0.25">
      <c r="A4" s="78" t="s">
        <v>498</v>
      </c>
      <c r="B4" s="78"/>
      <c r="C4" s="78"/>
    </row>
    <row r="5" spans="1:32" x14ac:dyDescent="0.25">
      <c r="A5" s="77" t="s">
        <v>497</v>
      </c>
      <c r="B5" s="77"/>
      <c r="C5" s="39">
        <f ca="1">WORKDAY(TODAY(),-1)</f>
        <v>43551</v>
      </c>
    </row>
    <row r="6" spans="1:32" x14ac:dyDescent="0.25">
      <c r="A6" s="77" t="s">
        <v>745</v>
      </c>
      <c r="B6" s="77"/>
      <c r="C6" s="39" t="s">
        <v>746</v>
      </c>
    </row>
    <row r="7" spans="1:32" x14ac:dyDescent="0.25">
      <c r="A7" s="77" t="s">
        <v>743</v>
      </c>
      <c r="B7" s="77"/>
      <c r="C7" s="65">
        <v>3</v>
      </c>
    </row>
    <row r="8" spans="1:32" x14ac:dyDescent="0.25">
      <c r="A8" s="77" t="s">
        <v>791</v>
      </c>
      <c r="B8" s="77"/>
      <c r="C8" s="66">
        <v>0</v>
      </c>
    </row>
    <row r="9" spans="1:32" x14ac:dyDescent="0.25">
      <c r="A9" s="77"/>
      <c r="B9" s="77"/>
      <c r="C9" s="39"/>
    </row>
    <row r="10" spans="1:32" ht="21" x14ac:dyDescent="0.35">
      <c r="A10" s="72" t="s">
        <v>544</v>
      </c>
      <c r="B10" s="72"/>
      <c r="C10" s="72"/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  <c r="AA10" s="72"/>
      <c r="AB10" s="72"/>
      <c r="AC10" s="72"/>
      <c r="AD10" s="72"/>
      <c r="AE10" s="72"/>
      <c r="AF10" s="72"/>
    </row>
    <row r="11" spans="1:32" x14ac:dyDescent="0.25">
      <c r="A11" s="38" t="s">
        <v>545</v>
      </c>
      <c r="B11" s="38" t="s">
        <v>546</v>
      </c>
      <c r="C11" s="38" t="s">
        <v>545</v>
      </c>
      <c r="D11" s="38" t="s">
        <v>547</v>
      </c>
      <c r="E11" s="38" t="s">
        <v>545</v>
      </c>
      <c r="F11" s="38" t="s">
        <v>548</v>
      </c>
      <c r="G11" s="38" t="s">
        <v>545</v>
      </c>
      <c r="H11" s="38" t="s">
        <v>549</v>
      </c>
      <c r="I11" s="38" t="s">
        <v>545</v>
      </c>
      <c r="J11" s="38" t="s">
        <v>552</v>
      </c>
      <c r="K11" s="38" t="s">
        <v>545</v>
      </c>
      <c r="L11" s="38" t="s">
        <v>553</v>
      </c>
      <c r="M11" s="38" t="s">
        <v>545</v>
      </c>
      <c r="N11" s="38" t="s">
        <v>550</v>
      </c>
      <c r="O11" s="38" t="s">
        <v>545</v>
      </c>
      <c r="P11" s="38" t="s">
        <v>551</v>
      </c>
      <c r="Q11" s="38" t="s">
        <v>545</v>
      </c>
      <c r="R11" s="38" t="s">
        <v>554</v>
      </c>
      <c r="S11" s="38" t="s">
        <v>545</v>
      </c>
      <c r="T11" s="38" t="s">
        <v>555</v>
      </c>
      <c r="U11" s="38" t="s">
        <v>545</v>
      </c>
      <c r="V11" s="38" t="s">
        <v>556</v>
      </c>
      <c r="W11" s="38" t="s">
        <v>545</v>
      </c>
      <c r="X11" s="38" t="s">
        <v>557</v>
      </c>
      <c r="Y11" s="38" t="s">
        <v>545</v>
      </c>
      <c r="Z11" s="38" t="s">
        <v>558</v>
      </c>
      <c r="AA11" s="38" t="s">
        <v>545</v>
      </c>
      <c r="AB11" s="38" t="s">
        <v>559</v>
      </c>
      <c r="AC11" s="38" t="s">
        <v>545</v>
      </c>
      <c r="AD11" s="38" t="s">
        <v>560</v>
      </c>
      <c r="AE11" s="38" t="s">
        <v>545</v>
      </c>
      <c r="AF11" s="38" t="s">
        <v>561</v>
      </c>
    </row>
    <row r="12" spans="1:32" x14ac:dyDescent="0.25">
      <c r="A12" s="64">
        <v>43550</v>
      </c>
      <c r="B12" s="63">
        <v>1</v>
      </c>
      <c r="C12" s="64">
        <v>43550</v>
      </c>
      <c r="D12" s="63">
        <v>1</v>
      </c>
      <c r="E12" s="64">
        <v>43550</v>
      </c>
      <c r="F12" s="63">
        <v>1</v>
      </c>
      <c r="G12" s="64">
        <v>43550</v>
      </c>
      <c r="H12" s="63">
        <v>1</v>
      </c>
      <c r="I12" s="64">
        <v>43550</v>
      </c>
      <c r="J12" s="63">
        <v>1</v>
      </c>
      <c r="K12" s="64">
        <v>43550</v>
      </c>
      <c r="L12" s="63">
        <v>1</v>
      </c>
      <c r="M12" s="64">
        <v>43550</v>
      </c>
      <c r="N12" s="63">
        <v>1</v>
      </c>
      <c r="O12" s="64">
        <v>43550</v>
      </c>
      <c r="P12" s="63">
        <v>1</v>
      </c>
      <c r="Q12" s="64">
        <v>43550</v>
      </c>
      <c r="R12" s="63">
        <v>1</v>
      </c>
      <c r="S12" s="64">
        <v>43550</v>
      </c>
      <c r="T12" s="63">
        <v>1</v>
      </c>
      <c r="U12" s="64">
        <v>43550</v>
      </c>
      <c r="V12" s="63">
        <v>1</v>
      </c>
      <c r="W12" s="64">
        <v>43550</v>
      </c>
      <c r="X12" s="63">
        <v>1</v>
      </c>
      <c r="Y12" s="64">
        <v>43550</v>
      </c>
      <c r="Z12" s="63">
        <v>1</v>
      </c>
      <c r="AA12" s="64">
        <v>43550</v>
      </c>
      <c r="AB12" s="63">
        <v>1</v>
      </c>
      <c r="AC12" s="64">
        <v>43550</v>
      </c>
      <c r="AD12" s="63">
        <v>1</v>
      </c>
      <c r="AE12" s="64">
        <v>43550</v>
      </c>
      <c r="AF12" s="63">
        <v>1</v>
      </c>
    </row>
    <row r="13" spans="1:32" x14ac:dyDescent="0.25">
      <c r="A13" s="64">
        <v>43646</v>
      </c>
      <c r="B13" s="63">
        <v>0.98525468489775736</v>
      </c>
      <c r="C13" s="64">
        <v>43646</v>
      </c>
      <c r="D13" s="63">
        <v>0.98525468489775736</v>
      </c>
      <c r="E13" s="64">
        <v>43646</v>
      </c>
      <c r="F13" s="63">
        <v>0.99287301229445124</v>
      </c>
      <c r="G13" s="64">
        <v>43646</v>
      </c>
      <c r="H13" s="63">
        <v>0.99322165280332853</v>
      </c>
      <c r="I13" s="64">
        <v>43646</v>
      </c>
      <c r="J13" s="63">
        <v>0.98196648920928609</v>
      </c>
      <c r="K13" s="64">
        <v>43646</v>
      </c>
      <c r="L13" s="63">
        <v>0.98196648920928609</v>
      </c>
      <c r="M13" s="64">
        <v>43646</v>
      </c>
      <c r="N13" s="63">
        <v>0.97582096859026357</v>
      </c>
      <c r="O13" s="64">
        <v>43646</v>
      </c>
      <c r="P13" s="63">
        <v>0.9778586502765394</v>
      </c>
      <c r="Q13" s="64">
        <v>43646</v>
      </c>
      <c r="R13" s="63">
        <v>0.99222721339031295</v>
      </c>
      <c r="S13" s="64">
        <v>43646</v>
      </c>
      <c r="T13" s="63">
        <v>0.99284494706807558</v>
      </c>
      <c r="U13" s="64">
        <v>43646</v>
      </c>
      <c r="V13" s="63">
        <v>0.9898794393540854</v>
      </c>
      <c r="W13" s="64">
        <v>43646</v>
      </c>
      <c r="X13" s="63">
        <v>0.98982386955071266</v>
      </c>
      <c r="Y13" s="64">
        <v>43646</v>
      </c>
      <c r="Z13" s="63">
        <v>0.99391463024753102</v>
      </c>
      <c r="AA13" s="64">
        <v>43646</v>
      </c>
      <c r="AB13" s="63">
        <v>0.99416507786017327</v>
      </c>
      <c r="AC13" s="64">
        <v>43646</v>
      </c>
      <c r="AD13" s="63">
        <v>0.98678939300815405</v>
      </c>
      <c r="AE13" s="64">
        <v>43646</v>
      </c>
      <c r="AF13" s="63">
        <v>0.98742668240435438</v>
      </c>
    </row>
    <row r="14" spans="1:32" x14ac:dyDescent="0.25">
      <c r="A14" s="64">
        <v>43738</v>
      </c>
      <c r="B14" s="63">
        <v>0.97116147197332858</v>
      </c>
      <c r="C14" s="64">
        <v>43738</v>
      </c>
      <c r="D14" s="63">
        <v>0.97110489120887467</v>
      </c>
      <c r="E14" s="64">
        <v>43738</v>
      </c>
      <c r="F14" s="63">
        <v>0.9860429824099719</v>
      </c>
      <c r="G14" s="64">
        <v>43738</v>
      </c>
      <c r="H14" s="63">
        <v>0.98672573673983843</v>
      </c>
      <c r="I14" s="64">
        <v>43738</v>
      </c>
      <c r="J14" s="63">
        <v>0.97920693135272729</v>
      </c>
      <c r="K14" s="64">
        <v>43738</v>
      </c>
      <c r="L14" s="63">
        <v>0.97920693135272729</v>
      </c>
      <c r="M14" s="64">
        <v>43738</v>
      </c>
      <c r="N14" s="63">
        <v>0.95367265594492401</v>
      </c>
      <c r="O14" s="64">
        <v>43738</v>
      </c>
      <c r="P14" s="63">
        <v>0.95751426599816414</v>
      </c>
      <c r="Q14" s="64">
        <v>43738</v>
      </c>
      <c r="R14" s="63">
        <v>0.98476940998174323</v>
      </c>
      <c r="S14" s="64">
        <v>43738</v>
      </c>
      <c r="T14" s="63">
        <v>0.98432918589170459</v>
      </c>
      <c r="U14" s="64">
        <v>43738</v>
      </c>
      <c r="V14" s="63">
        <v>0.98018948483431267</v>
      </c>
      <c r="W14" s="64">
        <v>43738</v>
      </c>
      <c r="X14" s="63">
        <v>0.98008114787991396</v>
      </c>
      <c r="Y14" s="64">
        <v>43738</v>
      </c>
      <c r="Z14" s="63">
        <v>0.98808281756806537</v>
      </c>
      <c r="AA14" s="64">
        <v>43738</v>
      </c>
      <c r="AB14" s="63">
        <v>0.98857327747617352</v>
      </c>
      <c r="AC14" s="64">
        <v>43738</v>
      </c>
      <c r="AD14" s="63">
        <v>0.97416420337866083</v>
      </c>
      <c r="AE14" s="64">
        <v>43738</v>
      </c>
      <c r="AF14" s="63">
        <v>0.97397557555302239</v>
      </c>
    </row>
    <row r="15" spans="1:32" x14ac:dyDescent="0.25">
      <c r="A15" s="64">
        <v>43830</v>
      </c>
      <c r="B15" s="63">
        <v>0.95789796811798922</v>
      </c>
      <c r="C15" s="64">
        <v>43830</v>
      </c>
      <c r="D15" s="63">
        <v>0.95654002977109442</v>
      </c>
      <c r="E15" s="64">
        <v>43830</v>
      </c>
      <c r="F15" s="63">
        <v>0.97921295252549256</v>
      </c>
      <c r="G15" s="64">
        <v>43830</v>
      </c>
      <c r="H15" s="63">
        <v>0.98022982067634823</v>
      </c>
      <c r="I15" s="64">
        <v>43830</v>
      </c>
      <c r="J15" s="63">
        <v>0.9764473734961685</v>
      </c>
      <c r="K15" s="64">
        <v>43830</v>
      </c>
      <c r="L15" s="63">
        <v>0.9764473734961685</v>
      </c>
      <c r="M15" s="64">
        <v>43830</v>
      </c>
      <c r="N15" s="63">
        <v>0.93216044515905194</v>
      </c>
      <c r="O15" s="64">
        <v>43830</v>
      </c>
      <c r="P15" s="63">
        <v>0.93823233873598055</v>
      </c>
      <c r="Q15" s="64">
        <v>43830</v>
      </c>
      <c r="R15" s="63">
        <v>0.97711618260582078</v>
      </c>
      <c r="S15" s="64">
        <v>43830</v>
      </c>
      <c r="T15" s="63">
        <v>0.93931904481526285</v>
      </c>
      <c r="U15" s="64">
        <v>43830</v>
      </c>
      <c r="V15" s="63">
        <v>0.97069568449861909</v>
      </c>
      <c r="W15" s="64">
        <v>43830</v>
      </c>
      <c r="X15" s="63">
        <v>0.97054529975740278</v>
      </c>
      <c r="Y15" s="64">
        <v>43830</v>
      </c>
      <c r="Z15" s="63">
        <v>0.98225100488859973</v>
      </c>
      <c r="AA15" s="64">
        <v>43830</v>
      </c>
      <c r="AB15" s="63">
        <v>0.98298147709217387</v>
      </c>
      <c r="AC15" s="64">
        <v>43830</v>
      </c>
      <c r="AD15" s="63">
        <v>0.96230847264457309</v>
      </c>
      <c r="AE15" s="64">
        <v>43830</v>
      </c>
      <c r="AF15" s="63">
        <v>0.9296875639467278</v>
      </c>
    </row>
    <row r="16" spans="1:32" x14ac:dyDescent="0.25">
      <c r="A16" s="64">
        <v>43921</v>
      </c>
      <c r="B16" s="63">
        <v>0.94483411054176214</v>
      </c>
      <c r="C16" s="64">
        <v>43921</v>
      </c>
      <c r="D16" s="63">
        <v>0.9422514325292537</v>
      </c>
      <c r="E16" s="64">
        <v>43921</v>
      </c>
      <c r="F16" s="63">
        <v>0.9724676798831372</v>
      </c>
      <c r="G16" s="64">
        <v>43921</v>
      </c>
      <c r="H16" s="63">
        <v>0.9738092421770822</v>
      </c>
      <c r="I16" s="64">
        <v>43921</v>
      </c>
      <c r="J16" s="63">
        <v>0.97371781083370279</v>
      </c>
      <c r="K16" s="64">
        <v>43921</v>
      </c>
      <c r="L16" s="63">
        <v>0.97371781083370279</v>
      </c>
      <c r="M16" s="64">
        <v>43921</v>
      </c>
      <c r="N16" s="63">
        <v>0.90846822281940875</v>
      </c>
      <c r="O16" s="64">
        <v>43921</v>
      </c>
      <c r="P16" s="63">
        <v>0.91594125528549386</v>
      </c>
      <c r="Q16" s="64">
        <v>43921</v>
      </c>
      <c r="R16" s="63">
        <v>0.96956189650823166</v>
      </c>
      <c r="S16" s="64">
        <v>43921</v>
      </c>
      <c r="T16" s="63">
        <v>0.89796744323052802</v>
      </c>
      <c r="U16" s="64">
        <v>43921</v>
      </c>
      <c r="V16" s="63">
        <v>0.9613136979387904</v>
      </c>
      <c r="W16" s="64">
        <v>43921</v>
      </c>
      <c r="X16" s="63">
        <v>0.96112358067984438</v>
      </c>
      <c r="Y16" s="64">
        <v>43921</v>
      </c>
      <c r="Z16" s="63">
        <v>0.97649220173320195</v>
      </c>
      <c r="AA16" s="64">
        <v>43921</v>
      </c>
      <c r="AB16" s="63">
        <v>0.97745729921927704</v>
      </c>
      <c r="AC16" s="64">
        <v>43921</v>
      </c>
      <c r="AD16" s="63">
        <v>0.95061647450541165</v>
      </c>
      <c r="AE16" s="64">
        <v>43921</v>
      </c>
      <c r="AF16" s="63">
        <v>0.88863279361136172</v>
      </c>
    </row>
    <row r="17" spans="1:32" x14ac:dyDescent="0.25">
      <c r="A17" s="64">
        <v>44012</v>
      </c>
      <c r="B17" s="63">
        <v>0.93272447041939777</v>
      </c>
      <c r="C17" s="64">
        <v>44012</v>
      </c>
      <c r="D17" s="63">
        <v>0.92999158362355483</v>
      </c>
      <c r="E17" s="64">
        <v>44012</v>
      </c>
      <c r="F17" s="63">
        <v>0.96590331317473777</v>
      </c>
      <c r="G17" s="64">
        <v>44012</v>
      </c>
      <c r="H17" s="63">
        <v>0.9674700159097307</v>
      </c>
      <c r="I17" s="64">
        <v>44012</v>
      </c>
      <c r="J17" s="63">
        <v>0.97098824817123708</v>
      </c>
      <c r="K17" s="64">
        <v>44012</v>
      </c>
      <c r="L17" s="63">
        <v>0.97098824817123708</v>
      </c>
      <c r="M17" s="64">
        <v>44012</v>
      </c>
      <c r="N17" s="63">
        <v>0.88515615200692077</v>
      </c>
      <c r="O17" s="64">
        <v>44012</v>
      </c>
      <c r="P17" s="63">
        <v>0.8998325914711105</v>
      </c>
      <c r="Q17" s="64">
        <v>44012</v>
      </c>
      <c r="R17" s="63">
        <v>0.96227857962769447</v>
      </c>
      <c r="S17" s="64">
        <v>44012</v>
      </c>
      <c r="T17" s="63">
        <v>0.91112778148451345</v>
      </c>
      <c r="U17" s="64">
        <v>44012</v>
      </c>
      <c r="V17" s="63">
        <v>0.95207998043499231</v>
      </c>
      <c r="W17" s="64">
        <v>44012</v>
      </c>
      <c r="X17" s="63">
        <v>0.95188209217865671</v>
      </c>
      <c r="Y17" s="64">
        <v>44012</v>
      </c>
      <c r="Z17" s="63">
        <v>0.9708988669777846</v>
      </c>
      <c r="AA17" s="64">
        <v>44012</v>
      </c>
      <c r="AB17" s="63">
        <v>0.97205080498729834</v>
      </c>
      <c r="AC17" s="64">
        <v>44012</v>
      </c>
      <c r="AD17" s="63">
        <v>0.93952417081826312</v>
      </c>
      <c r="AE17" s="64">
        <v>44012</v>
      </c>
      <c r="AF17" s="63">
        <v>0.89490984053131284</v>
      </c>
    </row>
    <row r="18" spans="1:32" x14ac:dyDescent="0.25">
      <c r="A18" s="64">
        <v>44104</v>
      </c>
      <c r="B18" s="63">
        <v>0.92056695086600948</v>
      </c>
      <c r="C18" s="64">
        <v>44104</v>
      </c>
      <c r="D18" s="63">
        <v>0.91775552744979827</v>
      </c>
      <c r="E18" s="64">
        <v>44104</v>
      </c>
      <c r="F18" s="63">
        <v>0.95926681056844387</v>
      </c>
      <c r="G18" s="64">
        <v>44104</v>
      </c>
      <c r="H18" s="63">
        <v>0.96106112781526543</v>
      </c>
      <c r="I18" s="64">
        <v>44104</v>
      </c>
      <c r="J18" s="63">
        <v>0.96822869031467829</v>
      </c>
      <c r="K18" s="64">
        <v>44104</v>
      </c>
      <c r="L18" s="63">
        <v>0.96822869031467829</v>
      </c>
      <c r="M18" s="64">
        <v>44104</v>
      </c>
      <c r="N18" s="63">
        <v>0.86158790459209778</v>
      </c>
      <c r="O18" s="64">
        <v>44104</v>
      </c>
      <c r="P18" s="63">
        <v>0.88354690937305258</v>
      </c>
      <c r="Q18" s="64">
        <v>44104</v>
      </c>
      <c r="R18" s="63">
        <v>0.95495576766848322</v>
      </c>
      <c r="S18" s="64">
        <v>44104</v>
      </c>
      <c r="T18" s="63">
        <v>0.92441750090357067</v>
      </c>
      <c r="U18" s="64">
        <v>44104</v>
      </c>
      <c r="V18" s="63">
        <v>0.94274311630387642</v>
      </c>
      <c r="W18" s="64">
        <v>44104</v>
      </c>
      <c r="X18" s="63">
        <v>0.94252441058269587</v>
      </c>
      <c r="Y18" s="64">
        <v>44104</v>
      </c>
      <c r="Z18" s="63">
        <v>0.96524406700527476</v>
      </c>
      <c r="AA18" s="64">
        <v>44104</v>
      </c>
      <c r="AB18" s="63">
        <v>0.96658489873079245</v>
      </c>
      <c r="AC18" s="64">
        <v>44104</v>
      </c>
      <c r="AD18" s="63">
        <v>0.92835789009587766</v>
      </c>
      <c r="AE18" s="64">
        <v>44104</v>
      </c>
      <c r="AF18" s="63">
        <v>0.90128135853767255</v>
      </c>
    </row>
    <row r="19" spans="1:32" x14ac:dyDescent="0.25">
      <c r="A19" s="64">
        <v>44196</v>
      </c>
      <c r="B19" s="63">
        <v>0.91028368913440105</v>
      </c>
      <c r="C19" s="64">
        <v>44196</v>
      </c>
      <c r="D19" s="63">
        <v>0.9090068308944359</v>
      </c>
      <c r="E19" s="64">
        <v>44196</v>
      </c>
      <c r="F19" s="63">
        <v>0.95263030796214987</v>
      </c>
      <c r="G19" s="64">
        <v>44196</v>
      </c>
      <c r="H19" s="63">
        <v>0.95465223972080016</v>
      </c>
      <c r="I19" s="64">
        <v>44196</v>
      </c>
      <c r="J19" s="63">
        <v>0.96546913245811949</v>
      </c>
      <c r="K19" s="64">
        <v>44196</v>
      </c>
      <c r="L19" s="63">
        <v>0.96546913245811949</v>
      </c>
      <c r="M19" s="64">
        <v>44196</v>
      </c>
      <c r="N19" s="63">
        <v>0.83801965717727478</v>
      </c>
      <c r="O19" s="64">
        <v>44196</v>
      </c>
      <c r="P19" s="63">
        <v>0.86726122727499466</v>
      </c>
      <c r="Q19" s="64">
        <v>44196</v>
      </c>
      <c r="R19" s="63">
        <v>0.94852486586164908</v>
      </c>
      <c r="S19" s="64">
        <v>44196</v>
      </c>
      <c r="T19" s="63">
        <v>0.93737198571698055</v>
      </c>
      <c r="U19" s="64">
        <v>44196</v>
      </c>
      <c r="V19" s="63">
        <v>0.93336935368037621</v>
      </c>
      <c r="W19" s="64">
        <v>44196</v>
      </c>
      <c r="X19" s="63">
        <v>0.93284468691300138</v>
      </c>
      <c r="Y19" s="64">
        <v>44196</v>
      </c>
      <c r="Z19" s="63">
        <v>0.95958926703276493</v>
      </c>
      <c r="AA19" s="64">
        <v>44196</v>
      </c>
      <c r="AB19" s="63">
        <v>0.96111899247428656</v>
      </c>
      <c r="AC19" s="64">
        <v>44196</v>
      </c>
      <c r="AD19" s="63">
        <v>0.91824577043473277</v>
      </c>
      <c r="AE19" s="64">
        <v>44196</v>
      </c>
      <c r="AF19" s="63">
        <v>0.90821371261822159</v>
      </c>
    </row>
    <row r="20" spans="1:32" x14ac:dyDescent="0.25">
      <c r="A20" s="64">
        <v>44286</v>
      </c>
      <c r="B20" s="63">
        <v>0.90018008725932119</v>
      </c>
      <c r="C20" s="64">
        <v>44286</v>
      </c>
      <c r="D20" s="63">
        <v>0.90032090119583819</v>
      </c>
      <c r="E20" s="64">
        <v>44286</v>
      </c>
      <c r="F20" s="63">
        <v>0.94612659577318003</v>
      </c>
      <c r="G20" s="64">
        <v>44286</v>
      </c>
      <c r="H20" s="63">
        <v>0.94837000738248867</v>
      </c>
      <c r="I20" s="64">
        <v>44286</v>
      </c>
      <c r="J20" s="63">
        <v>0.96191470634803955</v>
      </c>
      <c r="K20" s="64">
        <v>44286</v>
      </c>
      <c r="L20" s="63">
        <v>0.96191470634803955</v>
      </c>
      <c r="M20" s="64">
        <v>44286</v>
      </c>
      <c r="N20" s="63">
        <v>0.81499445111116242</v>
      </c>
      <c r="O20" s="64">
        <v>44286</v>
      </c>
      <c r="P20" s="63">
        <v>0.83539419473120557</v>
      </c>
      <c r="Q20" s="64">
        <v>44286</v>
      </c>
      <c r="R20" s="63">
        <v>0.94221587235363935</v>
      </c>
      <c r="S20" s="64">
        <v>44286</v>
      </c>
      <c r="T20" s="63">
        <v>0.94901971778911309</v>
      </c>
      <c r="U20" s="64">
        <v>44286</v>
      </c>
      <c r="V20" s="63">
        <v>0.92421137136092291</v>
      </c>
      <c r="W20" s="64">
        <v>44286</v>
      </c>
      <c r="X20" s="63">
        <v>0.92339620803820999</v>
      </c>
      <c r="Y20" s="64">
        <v>44286</v>
      </c>
      <c r="Z20" s="63">
        <v>0.95404000391004751</v>
      </c>
      <c r="AA20" s="64">
        <v>44286</v>
      </c>
      <c r="AB20" s="63">
        <v>0.9557584743751516</v>
      </c>
      <c r="AC20" s="64">
        <v>44286</v>
      </c>
      <c r="AD20" s="63">
        <v>0.90833786945939599</v>
      </c>
      <c r="AE20" s="64">
        <v>44286</v>
      </c>
      <c r="AF20" s="63">
        <v>0.91406356020121371</v>
      </c>
    </row>
    <row r="21" spans="1:32" x14ac:dyDescent="0.25">
      <c r="A21" s="64">
        <v>44377</v>
      </c>
      <c r="B21" s="63">
        <v>0.88920981464154514</v>
      </c>
      <c r="C21" s="64">
        <v>44377</v>
      </c>
      <c r="D21" s="63">
        <v>0.88934821515033347</v>
      </c>
      <c r="E21" s="64">
        <v>44377</v>
      </c>
      <c r="F21" s="63">
        <v>0.93935326797671825</v>
      </c>
      <c r="G21" s="64">
        <v>44377</v>
      </c>
      <c r="H21" s="63">
        <v>0.94180022537019437</v>
      </c>
      <c r="I21" s="64">
        <v>44377</v>
      </c>
      <c r="J21" s="63">
        <v>0.94363685157007549</v>
      </c>
      <c r="K21" s="64">
        <v>44377</v>
      </c>
      <c r="L21" s="63">
        <v>0.94363685157007549</v>
      </c>
      <c r="M21" s="64">
        <v>44377</v>
      </c>
      <c r="N21" s="63">
        <v>0.79224090452021367</v>
      </c>
      <c r="O21" s="64">
        <v>44377</v>
      </c>
      <c r="P21" s="63">
        <v>0.81585517952789577</v>
      </c>
      <c r="Q21" s="64">
        <v>44377</v>
      </c>
      <c r="R21" s="63">
        <v>0.93552920241191018</v>
      </c>
      <c r="S21" s="64">
        <v>44377</v>
      </c>
      <c r="T21" s="63">
        <v>0.94317596317208585</v>
      </c>
      <c r="U21" s="64">
        <v>44377</v>
      </c>
      <c r="V21" s="63">
        <v>0.91515794943550888</v>
      </c>
      <c r="W21" s="64">
        <v>44377</v>
      </c>
      <c r="X21" s="63">
        <v>0.91420055031067238</v>
      </c>
      <c r="Y21" s="64">
        <v>44377</v>
      </c>
      <c r="Z21" s="63">
        <v>0.9481301059186853</v>
      </c>
      <c r="AA21" s="64">
        <v>44377</v>
      </c>
      <c r="AB21" s="63">
        <v>0.95010744691453197</v>
      </c>
      <c r="AC21" s="64">
        <v>44377</v>
      </c>
      <c r="AD21" s="63">
        <v>0.89805156209729986</v>
      </c>
      <c r="AE21" s="64">
        <v>44377</v>
      </c>
      <c r="AF21" s="63">
        <v>0.90396174531374263</v>
      </c>
    </row>
    <row r="22" spans="1:32" x14ac:dyDescent="0.25">
      <c r="A22" s="64">
        <v>44469</v>
      </c>
      <c r="B22" s="63">
        <v>0.87813225091556857</v>
      </c>
      <c r="C22" s="64">
        <v>44469</v>
      </c>
      <c r="D22" s="63">
        <v>0.87826821432652269</v>
      </c>
      <c r="E22" s="64">
        <v>44469</v>
      </c>
      <c r="F22" s="63">
        <v>0.93250550800666898</v>
      </c>
      <c r="G22" s="64">
        <v>44469</v>
      </c>
      <c r="H22" s="63">
        <v>0.93515824795117164</v>
      </c>
      <c r="I22" s="64">
        <v>44469</v>
      </c>
      <c r="J22" s="63">
        <v>0.92538298259781293</v>
      </c>
      <c r="K22" s="64">
        <v>44469</v>
      </c>
      <c r="L22" s="63">
        <v>0.92538298259781293</v>
      </c>
      <c r="M22" s="64">
        <v>44469</v>
      </c>
      <c r="N22" s="63">
        <v>0.76923731895573799</v>
      </c>
      <c r="O22" s="64">
        <v>44469</v>
      </c>
      <c r="P22" s="63">
        <v>0.79610144987180242</v>
      </c>
      <c r="Q22" s="64">
        <v>44469</v>
      </c>
      <c r="R22" s="63">
        <v>0.92876473784045499</v>
      </c>
      <c r="S22" s="64">
        <v>44469</v>
      </c>
      <c r="T22" s="63">
        <v>0.93726807790362521</v>
      </c>
      <c r="U22" s="64">
        <v>44469</v>
      </c>
      <c r="V22" s="63">
        <v>0.90600322165821323</v>
      </c>
      <c r="W22" s="64">
        <v>44469</v>
      </c>
      <c r="X22" s="63">
        <v>0.90490127391493846</v>
      </c>
      <c r="Y22" s="64">
        <v>44469</v>
      </c>
      <c r="Z22" s="63">
        <v>0.94215526399335214</v>
      </c>
      <c r="AA22" s="64">
        <v>44469</v>
      </c>
      <c r="AB22" s="63">
        <v>0.94439432025104841</v>
      </c>
      <c r="AC22" s="64">
        <v>44469</v>
      </c>
      <c r="AD22" s="63">
        <v>0.88765114396408007</v>
      </c>
      <c r="AE22" s="64">
        <v>44469</v>
      </c>
      <c r="AF22" s="63">
        <v>0.8937447949619981</v>
      </c>
    </row>
    <row r="23" spans="1:32" x14ac:dyDescent="0.25">
      <c r="A23" s="64">
        <v>44561</v>
      </c>
      <c r="B23" s="63">
        <v>0.86734643662886157</v>
      </c>
      <c r="C23" s="64">
        <v>44561</v>
      </c>
      <c r="D23" s="63">
        <v>0.86748002566570481</v>
      </c>
      <c r="E23" s="64">
        <v>44561</v>
      </c>
      <c r="F23" s="63">
        <v>0.92565774803661982</v>
      </c>
      <c r="G23" s="64">
        <v>44561</v>
      </c>
      <c r="H23" s="63">
        <v>0.9285162705321488</v>
      </c>
      <c r="I23" s="64">
        <v>44561</v>
      </c>
      <c r="J23" s="63">
        <v>0.90714431569346443</v>
      </c>
      <c r="K23" s="64">
        <v>44561</v>
      </c>
      <c r="L23" s="63">
        <v>0.90714431569346443</v>
      </c>
      <c r="M23" s="64">
        <v>44561</v>
      </c>
      <c r="N23" s="63">
        <v>0.74623373339126231</v>
      </c>
      <c r="O23" s="64">
        <v>44561</v>
      </c>
      <c r="P23" s="63">
        <v>0.77634772021570897</v>
      </c>
      <c r="Q23" s="64">
        <v>44561</v>
      </c>
      <c r="R23" s="63">
        <v>0.92190534898335752</v>
      </c>
      <c r="S23" s="64">
        <v>44561</v>
      </c>
      <c r="T23" s="63">
        <v>0.93136209414510951</v>
      </c>
      <c r="U23" s="64">
        <v>44561</v>
      </c>
      <c r="V23" s="63">
        <v>0.89680850450610394</v>
      </c>
      <c r="W23" s="64">
        <v>44561</v>
      </c>
      <c r="X23" s="63">
        <v>0.89554551286290596</v>
      </c>
      <c r="Y23" s="64">
        <v>44561</v>
      </c>
      <c r="Z23" s="63">
        <v>0.93618042206801899</v>
      </c>
      <c r="AA23" s="64">
        <v>44561</v>
      </c>
      <c r="AB23" s="63">
        <v>0.93868119358756485</v>
      </c>
      <c r="AC23" s="64">
        <v>44561</v>
      </c>
      <c r="AD23" s="63">
        <v>0.87722708844818675</v>
      </c>
      <c r="AE23" s="64">
        <v>44561</v>
      </c>
      <c r="AF23" s="63">
        <v>0.88343706140200018</v>
      </c>
    </row>
    <row r="24" spans="1:32" x14ac:dyDescent="0.25">
      <c r="A24" s="64">
        <v>44651</v>
      </c>
      <c r="B24" s="63">
        <v>0.856800448353224</v>
      </c>
      <c r="C24" s="64">
        <v>44651</v>
      </c>
      <c r="D24" s="63">
        <v>0.85693174472428713</v>
      </c>
      <c r="E24" s="64">
        <v>44651</v>
      </c>
      <c r="F24" s="63">
        <v>0.91894665038095424</v>
      </c>
      <c r="G24" s="64">
        <v>44651</v>
      </c>
      <c r="H24" s="63">
        <v>0.9220088512520539</v>
      </c>
      <c r="I24" s="64">
        <v>44651</v>
      </c>
      <c r="J24" s="63">
        <v>0.88885671952099232</v>
      </c>
      <c r="K24" s="64">
        <v>44651</v>
      </c>
      <c r="L24" s="63">
        <v>0.88885671952099232</v>
      </c>
      <c r="M24" s="64">
        <v>44651</v>
      </c>
      <c r="N24" s="63">
        <v>0.72383291883943246</v>
      </c>
      <c r="O24" s="64">
        <v>44651</v>
      </c>
      <c r="P24" s="63">
        <v>0.75704341578836309</v>
      </c>
      <c r="Q24" s="64">
        <v>44651</v>
      </c>
      <c r="R24" s="63">
        <v>0.91520768818488385</v>
      </c>
      <c r="S24" s="64">
        <v>44651</v>
      </c>
      <c r="T24" s="63">
        <v>0.92559852444154156</v>
      </c>
      <c r="U24" s="64">
        <v>44651</v>
      </c>
      <c r="V24" s="63">
        <v>0.88782584649840701</v>
      </c>
      <c r="W24" s="64">
        <v>44651</v>
      </c>
      <c r="X24" s="63">
        <v>0.88640460707183633</v>
      </c>
      <c r="Y24" s="64">
        <v>44651</v>
      </c>
      <c r="Z24" s="63">
        <v>0.93031970255816654</v>
      </c>
      <c r="AA24" s="64">
        <v>44651</v>
      </c>
      <c r="AB24" s="63">
        <v>0.93307799307149997</v>
      </c>
      <c r="AC24" s="64">
        <v>44651</v>
      </c>
      <c r="AD24" s="63">
        <v>0.86705067387811763</v>
      </c>
      <c r="AE24" s="64">
        <v>44651</v>
      </c>
      <c r="AF24" s="63">
        <v>0.8733698985776216</v>
      </c>
    </row>
    <row r="25" spans="1:32" x14ac:dyDescent="0.25">
      <c r="A25" s="64">
        <v>44742</v>
      </c>
      <c r="B25" s="63">
        <v>0.84622927370983525</v>
      </c>
      <c r="C25" s="64">
        <v>44742</v>
      </c>
      <c r="D25" s="63">
        <v>0.84635876918054398</v>
      </c>
      <c r="E25" s="64">
        <v>44742</v>
      </c>
      <c r="F25" s="63">
        <v>0.91195124558769081</v>
      </c>
      <c r="G25" s="64">
        <v>44742</v>
      </c>
      <c r="H25" s="63">
        <v>0.91526011456332768</v>
      </c>
      <c r="I25" s="64">
        <v>44742</v>
      </c>
      <c r="J25" s="63">
        <v>0.87101459564576356</v>
      </c>
      <c r="K25" s="64">
        <v>44742</v>
      </c>
      <c r="L25" s="63">
        <v>0.87101459564576356</v>
      </c>
      <c r="M25" s="64">
        <v>44742</v>
      </c>
      <c r="N25" s="63">
        <v>0.70294838604225862</v>
      </c>
      <c r="O25" s="64">
        <v>44742</v>
      </c>
      <c r="P25" s="63">
        <v>0.73786833366693372</v>
      </c>
      <c r="Q25" s="64">
        <v>44742</v>
      </c>
      <c r="R25" s="63">
        <v>0.9086523764562493</v>
      </c>
      <c r="S25" s="64">
        <v>44742</v>
      </c>
      <c r="T25" s="63">
        <v>0.92001195664556046</v>
      </c>
      <c r="U25" s="64">
        <v>44742</v>
      </c>
      <c r="V25" s="63">
        <v>0.87895263852259531</v>
      </c>
      <c r="W25" s="64">
        <v>44742</v>
      </c>
      <c r="X25" s="63">
        <v>0.87735927762539134</v>
      </c>
      <c r="Y25" s="64">
        <v>44742</v>
      </c>
      <c r="Z25" s="63">
        <v>0.92412287333201049</v>
      </c>
      <c r="AA25" s="64">
        <v>44742</v>
      </c>
      <c r="AB25" s="63">
        <v>0.92716721050965301</v>
      </c>
      <c r="AC25" s="64">
        <v>44742</v>
      </c>
      <c r="AD25" s="63">
        <v>0.8571226883016323</v>
      </c>
      <c r="AE25" s="64">
        <v>44742</v>
      </c>
      <c r="AF25" s="63">
        <v>0.8634743157969399</v>
      </c>
    </row>
    <row r="26" spans="1:32" x14ac:dyDescent="0.25">
      <c r="A26" s="64">
        <v>44834</v>
      </c>
      <c r="B26" s="63">
        <v>0.83554830294945526</v>
      </c>
      <c r="C26" s="64">
        <v>44834</v>
      </c>
      <c r="D26" s="63">
        <v>0.83567597890921708</v>
      </c>
      <c r="E26" s="64">
        <v>44834</v>
      </c>
      <c r="F26" s="63">
        <v>0.9048789682142816</v>
      </c>
      <c r="G26" s="64">
        <v>44834</v>
      </c>
      <c r="H26" s="63">
        <v>0.90843721593296711</v>
      </c>
      <c r="I26" s="64">
        <v>44834</v>
      </c>
      <c r="J26" s="63">
        <v>0.85327836466455154</v>
      </c>
      <c r="K26" s="64">
        <v>44834</v>
      </c>
      <c r="L26" s="63">
        <v>0.85327836466455154</v>
      </c>
      <c r="M26" s="64">
        <v>44834</v>
      </c>
      <c r="N26" s="63">
        <v>0.68183435288467631</v>
      </c>
      <c r="O26" s="64">
        <v>44834</v>
      </c>
      <c r="P26" s="63">
        <v>0.71848253635735693</v>
      </c>
      <c r="Q26" s="64">
        <v>44834</v>
      </c>
      <c r="R26" s="63">
        <v>0.90201955115177779</v>
      </c>
      <c r="S26" s="64">
        <v>44834</v>
      </c>
      <c r="T26" s="63">
        <v>0.91436238582604634</v>
      </c>
      <c r="U26" s="64">
        <v>44834</v>
      </c>
      <c r="V26" s="63">
        <v>0.86998003031896176</v>
      </c>
      <c r="W26" s="64">
        <v>44834</v>
      </c>
      <c r="X26" s="63">
        <v>0.86821198404598676</v>
      </c>
      <c r="Y26" s="64">
        <v>44834</v>
      </c>
      <c r="Z26" s="63">
        <v>0.91785794708139101</v>
      </c>
      <c r="AA26" s="64">
        <v>44834</v>
      </c>
      <c r="AB26" s="63">
        <v>0.92119147429328019</v>
      </c>
      <c r="AC26" s="64">
        <v>44834</v>
      </c>
      <c r="AD26" s="63">
        <v>0.84708170836120433</v>
      </c>
      <c r="AE26" s="64">
        <v>44834</v>
      </c>
      <c r="AF26" s="63">
        <v>0.85346326156787</v>
      </c>
    </row>
    <row r="27" spans="1:32" x14ac:dyDescent="0.25">
      <c r="A27" s="64">
        <v>44926</v>
      </c>
      <c r="B27" s="63">
        <v>0.82500748621037023</v>
      </c>
      <c r="C27" s="64">
        <v>44926</v>
      </c>
      <c r="D27" s="63">
        <v>0.82513336860865749</v>
      </c>
      <c r="E27" s="64">
        <v>44926</v>
      </c>
      <c r="F27" s="63">
        <v>0.89780669084087239</v>
      </c>
      <c r="G27" s="64">
        <v>44926</v>
      </c>
      <c r="H27" s="63">
        <v>0.90161431730260655</v>
      </c>
      <c r="I27" s="64">
        <v>44926</v>
      </c>
      <c r="J27" s="63">
        <v>0.83564112560393777</v>
      </c>
      <c r="K27" s="64">
        <v>44926</v>
      </c>
      <c r="L27" s="63">
        <v>0.83564112560393777</v>
      </c>
      <c r="M27" s="64">
        <v>44926</v>
      </c>
      <c r="N27" s="63">
        <v>0.66072031972709389</v>
      </c>
      <c r="O27" s="64">
        <v>44926</v>
      </c>
      <c r="P27" s="63">
        <v>0.69909673904778002</v>
      </c>
      <c r="Q27" s="64">
        <v>44926</v>
      </c>
      <c r="R27" s="63">
        <v>0.8952662278165886</v>
      </c>
      <c r="S27" s="64">
        <v>44926</v>
      </c>
      <c r="T27" s="63">
        <v>0.90867734729662597</v>
      </c>
      <c r="U27" s="64">
        <v>44926</v>
      </c>
      <c r="V27" s="63">
        <v>0.8609657882622348</v>
      </c>
      <c r="W27" s="64">
        <v>44926</v>
      </c>
      <c r="X27" s="63">
        <v>0.85900826248456774</v>
      </c>
      <c r="Y27" s="64">
        <v>44926</v>
      </c>
      <c r="Z27" s="63">
        <v>0.91159302083077165</v>
      </c>
      <c r="AA27" s="64">
        <v>44926</v>
      </c>
      <c r="AB27" s="63">
        <v>0.91521573807690748</v>
      </c>
      <c r="AC27" s="64">
        <v>44926</v>
      </c>
      <c r="AD27" s="63">
        <v>0.83695502475121053</v>
      </c>
      <c r="AE27" s="64">
        <v>44926</v>
      </c>
      <c r="AF27" s="63">
        <v>0.84330417416849246</v>
      </c>
    </row>
    <row r="28" spans="1:32" x14ac:dyDescent="0.25">
      <c r="A28" s="64">
        <v>45016</v>
      </c>
      <c r="B28" s="63">
        <v>0.81470458643451071</v>
      </c>
      <c r="C28" s="64">
        <v>45016</v>
      </c>
      <c r="D28" s="63">
        <v>0.81482872899292436</v>
      </c>
      <c r="E28" s="64">
        <v>45016</v>
      </c>
      <c r="F28" s="63">
        <v>0.89087814904234341</v>
      </c>
      <c r="G28" s="64">
        <v>45016</v>
      </c>
      <c r="H28" s="63">
        <v>0.89493012790417925</v>
      </c>
      <c r="I28" s="64">
        <v>45016</v>
      </c>
      <c r="J28" s="63">
        <v>0.81803849853177057</v>
      </c>
      <c r="K28" s="64">
        <v>45016</v>
      </c>
      <c r="L28" s="63">
        <v>0.81803849853177057</v>
      </c>
      <c r="M28" s="64">
        <v>45016</v>
      </c>
      <c r="N28" s="63">
        <v>0.64017007229495027</v>
      </c>
      <c r="O28" s="64">
        <v>45016</v>
      </c>
      <c r="P28" s="63">
        <v>0.68025493608113585</v>
      </c>
      <c r="Q28" s="64">
        <v>45016</v>
      </c>
      <c r="R28" s="63">
        <v>0.8886695518504405</v>
      </c>
      <c r="S28" s="64">
        <v>45016</v>
      </c>
      <c r="T28" s="63">
        <v>0.90312880386897221</v>
      </c>
      <c r="U28" s="64">
        <v>45016</v>
      </c>
      <c r="V28" s="63">
        <v>0.85216312438457942</v>
      </c>
      <c r="W28" s="64">
        <v>45016</v>
      </c>
      <c r="X28" s="63">
        <v>0.85001999215051482</v>
      </c>
      <c r="Y28" s="64">
        <v>45016</v>
      </c>
      <c r="Z28" s="63">
        <v>0.90545084805930187</v>
      </c>
      <c r="AA28" s="64">
        <v>45016</v>
      </c>
      <c r="AB28" s="63">
        <v>0.90936003578623414</v>
      </c>
      <c r="AC28" s="64">
        <v>45016</v>
      </c>
      <c r="AD28" s="63">
        <v>0.82706683822081528</v>
      </c>
      <c r="AE28" s="64">
        <v>45016</v>
      </c>
      <c r="AF28" s="63">
        <v>0.83338496363758618</v>
      </c>
    </row>
    <row r="29" spans="1:32" x14ac:dyDescent="0.25">
      <c r="A29" s="64">
        <v>45107</v>
      </c>
      <c r="B29" s="63">
        <v>0.80443793546348052</v>
      </c>
      <c r="C29" s="64">
        <v>45107</v>
      </c>
      <c r="D29" s="63">
        <v>0.80456057206229681</v>
      </c>
      <c r="E29" s="64">
        <v>45107</v>
      </c>
      <c r="F29" s="63">
        <v>0.8837005697945951</v>
      </c>
      <c r="G29" s="64">
        <v>45107</v>
      </c>
      <c r="H29" s="63">
        <v>0.8880064045611471</v>
      </c>
      <c r="I29" s="64">
        <v>45107</v>
      </c>
      <c r="J29" s="63">
        <v>0.80081961885173503</v>
      </c>
      <c r="K29" s="64">
        <v>45107</v>
      </c>
      <c r="L29" s="63">
        <v>0.80081961885173503</v>
      </c>
      <c r="M29" s="64">
        <v>45107</v>
      </c>
      <c r="N29" s="63">
        <v>0.62119262658188978</v>
      </c>
      <c r="O29" s="64">
        <v>45107</v>
      </c>
      <c r="P29" s="63">
        <v>0.66331051815251163</v>
      </c>
      <c r="Q29" s="64">
        <v>45107</v>
      </c>
      <c r="R29" s="63">
        <v>0.88216864926152061</v>
      </c>
      <c r="S29" s="64">
        <v>45107</v>
      </c>
      <c r="T29" s="63">
        <v>0.89774047223582187</v>
      </c>
      <c r="U29" s="64">
        <v>45107</v>
      </c>
      <c r="V29" s="63">
        <v>0.8435310816129522</v>
      </c>
      <c r="W29" s="64">
        <v>45107</v>
      </c>
      <c r="X29" s="63">
        <v>0.8411960509350469</v>
      </c>
      <c r="Y29" s="64">
        <v>45107</v>
      </c>
      <c r="Z29" s="63">
        <v>0.8990094004632071</v>
      </c>
      <c r="AA29" s="64">
        <v>45107</v>
      </c>
      <c r="AB29" s="63">
        <v>0.90326955764737826</v>
      </c>
      <c r="AC29" s="64">
        <v>45107</v>
      </c>
      <c r="AD29" s="63">
        <v>0.81738422972262825</v>
      </c>
      <c r="AE29" s="64">
        <v>45107</v>
      </c>
      <c r="AF29" s="63">
        <v>0.82368259509288744</v>
      </c>
    </row>
    <row r="30" spans="1:32" x14ac:dyDescent="0.25">
      <c r="A30" s="64">
        <v>45199</v>
      </c>
      <c r="B30" s="63">
        <v>0.79406439104741888</v>
      </c>
      <c r="C30" s="64">
        <v>45199</v>
      </c>
      <c r="D30" s="63">
        <v>0.79418550597494753</v>
      </c>
      <c r="E30" s="64">
        <v>45199</v>
      </c>
      <c r="F30" s="63">
        <v>0.87644411604961869</v>
      </c>
      <c r="G30" s="64">
        <v>45199</v>
      </c>
      <c r="H30" s="63">
        <v>0.88100659634621348</v>
      </c>
      <c r="I30" s="64">
        <v>45199</v>
      </c>
      <c r="J30" s="63">
        <v>0.7837258384944803</v>
      </c>
      <c r="K30" s="64">
        <v>45199</v>
      </c>
      <c r="L30" s="63">
        <v>0.7837258384944803</v>
      </c>
      <c r="M30" s="64">
        <v>45199</v>
      </c>
      <c r="N30" s="63">
        <v>0.60200663750934524</v>
      </c>
      <c r="O30" s="64">
        <v>45199</v>
      </c>
      <c r="P30" s="63">
        <v>0.64617989782906726</v>
      </c>
      <c r="Q30" s="64">
        <v>45199</v>
      </c>
      <c r="R30" s="63">
        <v>0.87559333427702835</v>
      </c>
      <c r="S30" s="64">
        <v>45199</v>
      </c>
      <c r="T30" s="63">
        <v>0.89229340620100861</v>
      </c>
      <c r="U30" s="64">
        <v>45199</v>
      </c>
      <c r="V30" s="63">
        <v>0.83480489942531422</v>
      </c>
      <c r="W30" s="64">
        <v>45199</v>
      </c>
      <c r="X30" s="63">
        <v>0.83227533940115805</v>
      </c>
      <c r="Y30" s="64">
        <v>45199</v>
      </c>
      <c r="Z30" s="63">
        <v>0.8924971677286937</v>
      </c>
      <c r="AA30" s="64">
        <v>45199</v>
      </c>
      <c r="AB30" s="63">
        <v>0.89711215117732623</v>
      </c>
      <c r="AC30" s="64">
        <v>45199</v>
      </c>
      <c r="AD30" s="63">
        <v>0.807594834558505</v>
      </c>
      <c r="AE30" s="64">
        <v>45199</v>
      </c>
      <c r="AF30" s="63">
        <v>0.81387120062823748</v>
      </c>
    </row>
    <row r="31" spans="1:32" x14ac:dyDescent="0.25">
      <c r="A31" s="64">
        <v>45291</v>
      </c>
      <c r="B31" s="63">
        <v>0.78382123832816764</v>
      </c>
      <c r="C31" s="64">
        <v>45291</v>
      </c>
      <c r="D31" s="63">
        <v>0.78394085000536951</v>
      </c>
      <c r="E31" s="64">
        <v>45291</v>
      </c>
      <c r="F31" s="63">
        <v>0.86918766230464239</v>
      </c>
      <c r="G31" s="64">
        <v>45291</v>
      </c>
      <c r="H31" s="63">
        <v>0.87400678813127985</v>
      </c>
      <c r="I31" s="64">
        <v>45291</v>
      </c>
      <c r="J31" s="63">
        <v>0.7666171482006684</v>
      </c>
      <c r="K31" s="64">
        <v>45291</v>
      </c>
      <c r="L31" s="63">
        <v>0.7666171482006684</v>
      </c>
      <c r="M31" s="64">
        <v>45291</v>
      </c>
      <c r="N31" s="63">
        <v>0.5828206484368007</v>
      </c>
      <c r="O31" s="64">
        <v>45291</v>
      </c>
      <c r="P31" s="63">
        <v>0.62904927750562301</v>
      </c>
      <c r="Q31" s="64">
        <v>45291</v>
      </c>
      <c r="R31" s="63">
        <v>0.86895259336968489</v>
      </c>
      <c r="S31" s="64">
        <v>45291</v>
      </c>
      <c r="T31" s="63">
        <v>0.88685685691125027</v>
      </c>
      <c r="U31" s="64">
        <v>45291</v>
      </c>
      <c r="V31" s="63">
        <v>0.8260945175686879</v>
      </c>
      <c r="W31" s="64">
        <v>45291</v>
      </c>
      <c r="X31" s="63">
        <v>0.82335894137563892</v>
      </c>
      <c r="Y31" s="64">
        <v>45291</v>
      </c>
      <c r="Z31" s="63">
        <v>0.8859849349941803</v>
      </c>
      <c r="AA31" s="64">
        <v>45291</v>
      </c>
      <c r="AB31" s="63">
        <v>0.8909547447072742</v>
      </c>
      <c r="AC31" s="64">
        <v>45291</v>
      </c>
      <c r="AD31" s="63">
        <v>0.79779698314994396</v>
      </c>
      <c r="AE31" s="64">
        <v>45291</v>
      </c>
      <c r="AF31" s="63">
        <v>0.80400686348491801</v>
      </c>
    </row>
    <row r="32" spans="1:32" x14ac:dyDescent="0.25">
      <c r="A32" s="64">
        <v>45382</v>
      </c>
      <c r="B32" s="63">
        <v>0.77370056604951831</v>
      </c>
      <c r="C32" s="64">
        <v>45382</v>
      </c>
      <c r="D32" s="63">
        <v>0.77381869738850362</v>
      </c>
      <c r="E32" s="64">
        <v>45382</v>
      </c>
      <c r="F32" s="63">
        <v>0.86199678896055476</v>
      </c>
      <c r="G32" s="64">
        <v>45382</v>
      </c>
      <c r="H32" s="63">
        <v>0.86707055810055289</v>
      </c>
      <c r="I32" s="64">
        <v>45382</v>
      </c>
      <c r="J32" s="63">
        <v>0.74971412638598678</v>
      </c>
      <c r="K32" s="64">
        <v>45382</v>
      </c>
      <c r="L32" s="63">
        <v>0.74971412638598678</v>
      </c>
      <c r="M32" s="64">
        <v>45382</v>
      </c>
      <c r="N32" s="63">
        <v>0.5639714100780141</v>
      </c>
      <c r="O32" s="64">
        <v>45382</v>
      </c>
      <c r="P32" s="63">
        <v>0.61171748123487779</v>
      </c>
      <c r="Q32" s="64">
        <v>45382</v>
      </c>
      <c r="R32" s="63">
        <v>0.86239354677812174</v>
      </c>
      <c r="S32" s="64">
        <v>45382</v>
      </c>
      <c r="T32" s="63">
        <v>0.88148351125940982</v>
      </c>
      <c r="U32" s="64">
        <v>45382</v>
      </c>
      <c r="V32" s="63">
        <v>0.81749143900055565</v>
      </c>
      <c r="W32" s="64">
        <v>45382</v>
      </c>
      <c r="X32" s="63">
        <v>0.81455159098364316</v>
      </c>
      <c r="Y32" s="64">
        <v>45382</v>
      </c>
      <c r="Z32" s="63">
        <v>0.87952850318964715</v>
      </c>
      <c r="AA32" s="64">
        <v>45382</v>
      </c>
      <c r="AB32" s="63">
        <v>0.8848549825966765</v>
      </c>
      <c r="AC32" s="64">
        <v>45382</v>
      </c>
      <c r="AD32" s="63">
        <v>0.78812268950745223</v>
      </c>
      <c r="AE32" s="64">
        <v>45382</v>
      </c>
      <c r="AF32" s="63">
        <v>0.79426878263014444</v>
      </c>
    </row>
    <row r="33" spans="1:32" x14ac:dyDescent="0.25">
      <c r="A33" s="64">
        <v>45473</v>
      </c>
      <c r="B33" s="63">
        <v>0.76377153314518842</v>
      </c>
      <c r="C33" s="64">
        <v>45473</v>
      </c>
      <c r="D33" s="63">
        <v>0.76388829719180074</v>
      </c>
      <c r="E33" s="64">
        <v>45473</v>
      </c>
      <c r="F33" s="63">
        <v>0.85457725715943311</v>
      </c>
      <c r="G33" s="64">
        <v>45473</v>
      </c>
      <c r="H33" s="63">
        <v>0.85991921304147634</v>
      </c>
      <c r="I33" s="64">
        <v>45473</v>
      </c>
      <c r="J33" s="63">
        <v>0.73325062757833537</v>
      </c>
      <c r="K33" s="64">
        <v>45473</v>
      </c>
      <c r="L33" s="63">
        <v>0.73325062757833537</v>
      </c>
      <c r="M33" s="64">
        <v>45473</v>
      </c>
      <c r="N33" s="63">
        <v>0.54732733821273816</v>
      </c>
      <c r="O33" s="64">
        <v>45473</v>
      </c>
      <c r="P33" s="63">
        <v>0.5877227774796534</v>
      </c>
      <c r="Q33" s="64">
        <v>45473</v>
      </c>
      <c r="R33" s="63">
        <v>0.85599811259616987</v>
      </c>
      <c r="S33" s="64">
        <v>45473</v>
      </c>
      <c r="T33" s="63">
        <v>0.87618086983427912</v>
      </c>
      <c r="U33" s="64">
        <v>45473</v>
      </c>
      <c r="V33" s="63">
        <v>0.80910551429958621</v>
      </c>
      <c r="W33" s="64">
        <v>45473</v>
      </c>
      <c r="X33" s="63">
        <v>0.80595288112695784</v>
      </c>
      <c r="Y33" s="64">
        <v>45473</v>
      </c>
      <c r="Z33" s="63">
        <v>0.87281434299997351</v>
      </c>
      <c r="AA33" s="64">
        <v>45473</v>
      </c>
      <c r="AB33" s="63">
        <v>0.87859553617211883</v>
      </c>
      <c r="AC33" s="64">
        <v>45473</v>
      </c>
      <c r="AD33" s="63">
        <v>0.77874181722149094</v>
      </c>
      <c r="AE33" s="64">
        <v>45473</v>
      </c>
      <c r="AF33" s="63">
        <v>0.78485810777678555</v>
      </c>
    </row>
    <row r="34" spans="1:32" x14ac:dyDescent="0.25">
      <c r="A34" s="64">
        <v>45565</v>
      </c>
      <c r="B34" s="63">
        <v>0.75373591249067695</v>
      </c>
      <c r="C34" s="64">
        <v>45565</v>
      </c>
      <c r="D34" s="63">
        <v>0.75385129443548393</v>
      </c>
      <c r="E34" s="64">
        <v>45565</v>
      </c>
      <c r="F34" s="63">
        <v>0.8470761920418155</v>
      </c>
      <c r="G34" s="64">
        <v>45565</v>
      </c>
      <c r="H34" s="63">
        <v>0.85268928177295933</v>
      </c>
      <c r="I34" s="64">
        <v>45565</v>
      </c>
      <c r="J34" s="63">
        <v>0.71693905674114744</v>
      </c>
      <c r="K34" s="64">
        <v>45565</v>
      </c>
      <c r="L34" s="63">
        <v>0.71693905674114744</v>
      </c>
      <c r="M34" s="64">
        <v>45565</v>
      </c>
      <c r="N34" s="63">
        <v>0.53050036445883275</v>
      </c>
      <c r="O34" s="64">
        <v>45565</v>
      </c>
      <c r="P34" s="63">
        <v>0.56346439566118478</v>
      </c>
      <c r="Q34" s="64">
        <v>45565</v>
      </c>
      <c r="R34" s="63">
        <v>0.84952604154379352</v>
      </c>
      <c r="S34" s="64">
        <v>45565</v>
      </c>
      <c r="T34" s="63">
        <v>0.87081623655684337</v>
      </c>
      <c r="U34" s="64">
        <v>45565</v>
      </c>
      <c r="V34" s="63">
        <v>0.80062654574555625</v>
      </c>
      <c r="W34" s="64">
        <v>45565</v>
      </c>
      <c r="X34" s="63">
        <v>0.79725830350530413</v>
      </c>
      <c r="Y34" s="64">
        <v>45565</v>
      </c>
      <c r="Z34" s="63">
        <v>0.86602640083019355</v>
      </c>
      <c r="AA34" s="64">
        <v>45565</v>
      </c>
      <c r="AB34" s="63">
        <v>0.87226730462201663</v>
      </c>
      <c r="AC34" s="64">
        <v>45565</v>
      </c>
      <c r="AD34" s="63">
        <v>0.76925235398183911</v>
      </c>
      <c r="AE34" s="64">
        <v>45565</v>
      </c>
      <c r="AF34" s="63">
        <v>0.77533726674169645</v>
      </c>
    </row>
    <row r="35" spans="1:32" x14ac:dyDescent="0.25">
      <c r="A35" s="64">
        <v>45657</v>
      </c>
      <c r="B35" s="63">
        <v>0.74375578686948274</v>
      </c>
      <c r="C35" s="64">
        <v>45657</v>
      </c>
      <c r="D35" s="63">
        <v>0.74386979145917187</v>
      </c>
      <c r="E35" s="64">
        <v>45657</v>
      </c>
      <c r="F35" s="63">
        <v>0.839575126924198</v>
      </c>
      <c r="G35" s="64">
        <v>45657</v>
      </c>
      <c r="H35" s="63">
        <v>0.84545935050444232</v>
      </c>
      <c r="I35" s="64">
        <v>45657</v>
      </c>
      <c r="J35" s="63">
        <v>0.70077907354093516</v>
      </c>
      <c r="K35" s="64">
        <v>45657</v>
      </c>
      <c r="L35" s="63">
        <v>0.70077907354093516</v>
      </c>
      <c r="M35" s="64">
        <v>45657</v>
      </c>
      <c r="N35" s="63">
        <v>0.51367339070492735</v>
      </c>
      <c r="O35" s="64">
        <v>45657</v>
      </c>
      <c r="P35" s="63">
        <v>0.53920601384271616</v>
      </c>
      <c r="Q35" s="64">
        <v>45657</v>
      </c>
      <c r="R35" s="63">
        <v>0.84291410826518776</v>
      </c>
      <c r="S35" s="64">
        <v>45657</v>
      </c>
      <c r="T35" s="63">
        <v>0.86536973979630993</v>
      </c>
      <c r="U35" s="64">
        <v>45657</v>
      </c>
      <c r="V35" s="63">
        <v>0.79212797883541908</v>
      </c>
      <c r="W35" s="64">
        <v>45657</v>
      </c>
      <c r="X35" s="63">
        <v>0.78853344403068815</v>
      </c>
      <c r="Y35" s="64">
        <v>45657</v>
      </c>
      <c r="Z35" s="63">
        <v>0.8592384586604136</v>
      </c>
      <c r="AA35" s="64">
        <v>45657</v>
      </c>
      <c r="AB35" s="63">
        <v>0.86593907307191442</v>
      </c>
      <c r="AC35" s="64">
        <v>45657</v>
      </c>
      <c r="AD35" s="63">
        <v>0.75964179295100953</v>
      </c>
      <c r="AE35" s="64">
        <v>45657</v>
      </c>
      <c r="AF35" s="63">
        <v>0.7656678779148488</v>
      </c>
    </row>
    <row r="36" spans="1:32" x14ac:dyDescent="0.25">
      <c r="A36" s="64">
        <v>45747</v>
      </c>
      <c r="B36" s="63">
        <v>0.73400973655273616</v>
      </c>
      <c r="C36" s="64">
        <v>45747</v>
      </c>
      <c r="D36" s="63">
        <v>0.73412239779363608</v>
      </c>
      <c r="E36" s="64">
        <v>45747</v>
      </c>
      <c r="F36" s="63">
        <v>0.8322284025713822</v>
      </c>
      <c r="G36" s="64">
        <v>45747</v>
      </c>
      <c r="H36" s="63">
        <v>0.83837890752366429</v>
      </c>
      <c r="I36" s="64">
        <v>45747</v>
      </c>
      <c r="J36" s="63">
        <v>0.68474773564308167</v>
      </c>
      <c r="K36" s="64">
        <v>45747</v>
      </c>
      <c r="L36" s="63">
        <v>0.68474773564308167</v>
      </c>
      <c r="M36" s="64">
        <v>45747</v>
      </c>
      <c r="N36" s="63">
        <v>0.49731684259535636</v>
      </c>
      <c r="O36" s="64">
        <v>45747</v>
      </c>
      <c r="P36" s="63">
        <v>0.51605583214176221</v>
      </c>
      <c r="Q36" s="64">
        <v>45747</v>
      </c>
      <c r="R36" s="63">
        <v>0.83645440259638659</v>
      </c>
      <c r="S36" s="64">
        <v>45747</v>
      </c>
      <c r="T36" s="63">
        <v>0.86004363060618183</v>
      </c>
      <c r="U36" s="64">
        <v>45747</v>
      </c>
      <c r="V36" s="63">
        <v>0.78382849482891159</v>
      </c>
      <c r="W36" s="64">
        <v>45747</v>
      </c>
      <c r="X36" s="63">
        <v>0.78001222352522748</v>
      </c>
      <c r="Y36" s="64">
        <v>45747</v>
      </c>
      <c r="Z36" s="63">
        <v>0.85258555873226427</v>
      </c>
      <c r="AA36" s="64">
        <v>45747</v>
      </c>
      <c r="AB36" s="63">
        <v>0.85974933224785899</v>
      </c>
      <c r="AC36" s="64">
        <v>45747</v>
      </c>
      <c r="AD36" s="63">
        <v>0.750260149229663</v>
      </c>
      <c r="AE36" s="64">
        <v>45747</v>
      </c>
      <c r="AF36" s="63">
        <v>0.75622864620366381</v>
      </c>
    </row>
    <row r="37" spans="1:32" x14ac:dyDescent="0.25">
      <c r="A37" s="64">
        <v>45838</v>
      </c>
      <c r="B37" s="63">
        <v>0.72444960270085312</v>
      </c>
      <c r="C37" s="64">
        <v>45838</v>
      </c>
      <c r="D37" s="63">
        <v>0.72456097551952414</v>
      </c>
      <c r="E37" s="64">
        <v>45838</v>
      </c>
      <c r="F37" s="63">
        <v>0.8246500599692036</v>
      </c>
      <c r="G37" s="64">
        <v>45838</v>
      </c>
      <c r="H37" s="63">
        <v>0.83108771127780723</v>
      </c>
      <c r="I37" s="64">
        <v>45838</v>
      </c>
      <c r="J37" s="63">
        <v>0.66948532217519896</v>
      </c>
      <c r="K37" s="64">
        <v>45838</v>
      </c>
      <c r="L37" s="63">
        <v>0.66948532217519896</v>
      </c>
      <c r="M37" s="64">
        <v>45838</v>
      </c>
      <c r="N37" s="63">
        <v>0.48257688871085686</v>
      </c>
      <c r="O37" s="64">
        <v>45838</v>
      </c>
      <c r="P37" s="63">
        <v>0.50263248902321467</v>
      </c>
      <c r="Q37" s="64">
        <v>45838</v>
      </c>
      <c r="R37" s="63">
        <v>0.83006885488076088</v>
      </c>
      <c r="S37" s="64">
        <v>45838</v>
      </c>
      <c r="T37" s="63">
        <v>0.85469247039525509</v>
      </c>
      <c r="U37" s="64">
        <v>45838</v>
      </c>
      <c r="V37" s="63">
        <v>0.77568313601897632</v>
      </c>
      <c r="W37" s="64">
        <v>45838</v>
      </c>
      <c r="X37" s="63">
        <v>0.77163641910009328</v>
      </c>
      <c r="Y37" s="64">
        <v>45838</v>
      </c>
      <c r="Z37" s="63">
        <v>0.84564350326439841</v>
      </c>
      <c r="AA37" s="64">
        <v>45838</v>
      </c>
      <c r="AB37" s="63">
        <v>0.85350663846752983</v>
      </c>
      <c r="AC37" s="64">
        <v>45838</v>
      </c>
      <c r="AD37" s="63">
        <v>0.7411179064869523</v>
      </c>
      <c r="AE37" s="64">
        <v>45838</v>
      </c>
      <c r="AF37" s="63">
        <v>0.7470275042245893</v>
      </c>
    </row>
    <row r="38" spans="1:32" x14ac:dyDescent="0.25">
      <c r="A38" s="64">
        <v>45930</v>
      </c>
      <c r="B38" s="63">
        <v>0.71478666683547942</v>
      </c>
      <c r="C38" s="64">
        <v>45930</v>
      </c>
      <c r="D38" s="63">
        <v>0.71489673721453273</v>
      </c>
      <c r="E38" s="64">
        <v>45930</v>
      </c>
      <c r="F38" s="63">
        <v>0.81698843887689121</v>
      </c>
      <c r="G38" s="64">
        <v>45930</v>
      </c>
      <c r="H38" s="63">
        <v>0.82371639199628144</v>
      </c>
      <c r="I38" s="64">
        <v>45930</v>
      </c>
      <c r="J38" s="63">
        <v>0.65441420334890665</v>
      </c>
      <c r="K38" s="64">
        <v>45930</v>
      </c>
      <c r="L38" s="63">
        <v>0.65441420334890665</v>
      </c>
      <c r="M38" s="64">
        <v>45930</v>
      </c>
      <c r="N38" s="63">
        <v>0.46767495731114306</v>
      </c>
      <c r="O38" s="64">
        <v>45930</v>
      </c>
      <c r="P38" s="63">
        <v>0.48906163663962821</v>
      </c>
      <c r="Q38" s="64">
        <v>45930</v>
      </c>
      <c r="R38" s="63">
        <v>0.82360640205072844</v>
      </c>
      <c r="S38" s="64">
        <v>45930</v>
      </c>
      <c r="T38" s="63">
        <v>0.84927750412094194</v>
      </c>
      <c r="U38" s="64">
        <v>45930</v>
      </c>
      <c r="V38" s="63">
        <v>0.76744763354633705</v>
      </c>
      <c r="W38" s="64">
        <v>45930</v>
      </c>
      <c r="X38" s="63">
        <v>0.76316751564338314</v>
      </c>
      <c r="Y38" s="64">
        <v>45930</v>
      </c>
      <c r="Z38" s="63">
        <v>0.83862516147270982</v>
      </c>
      <c r="AA38" s="64">
        <v>45930</v>
      </c>
      <c r="AB38" s="63">
        <v>0.84719534365664761</v>
      </c>
      <c r="AC38" s="64">
        <v>45930</v>
      </c>
      <c r="AD38" s="63">
        <v>0.73186960693461955</v>
      </c>
      <c r="AE38" s="64">
        <v>45930</v>
      </c>
      <c r="AF38" s="63">
        <v>0.73771867854889928</v>
      </c>
    </row>
    <row r="39" spans="1:32" x14ac:dyDescent="0.25">
      <c r="A39" s="64">
        <v>46022</v>
      </c>
      <c r="B39" s="63">
        <v>0.70517332782431319</v>
      </c>
      <c r="C39" s="64">
        <v>46022</v>
      </c>
      <c r="D39" s="63">
        <v>0.70528209886788629</v>
      </c>
      <c r="E39" s="64">
        <v>46022</v>
      </c>
      <c r="F39" s="63">
        <v>0.80932681778457882</v>
      </c>
      <c r="G39" s="64">
        <v>46022</v>
      </c>
      <c r="H39" s="63">
        <v>0.81634507271475565</v>
      </c>
      <c r="I39" s="64">
        <v>46022</v>
      </c>
      <c r="J39" s="63">
        <v>0.63953091336160883</v>
      </c>
      <c r="K39" s="64">
        <v>46022</v>
      </c>
      <c r="L39" s="63">
        <v>0.63953091336160883</v>
      </c>
      <c r="M39" s="64">
        <v>46022</v>
      </c>
      <c r="N39" s="63">
        <v>0.45277302591142926</v>
      </c>
      <c r="O39" s="64">
        <v>46022</v>
      </c>
      <c r="P39" s="63">
        <v>0.47549078425604169</v>
      </c>
      <c r="Q39" s="64">
        <v>46022</v>
      </c>
      <c r="R39" s="63">
        <v>0.81699579549213963</v>
      </c>
      <c r="S39" s="64">
        <v>46022</v>
      </c>
      <c r="T39" s="63">
        <v>0.84375249153609011</v>
      </c>
      <c r="U39" s="64">
        <v>46022</v>
      </c>
      <c r="V39" s="63">
        <v>0.75919817811858825</v>
      </c>
      <c r="W39" s="64">
        <v>46022</v>
      </c>
      <c r="X39" s="63">
        <v>0.75467535324313417</v>
      </c>
      <c r="Y39" s="64">
        <v>46022</v>
      </c>
      <c r="Z39" s="63">
        <v>0.83160681968102124</v>
      </c>
      <c r="AA39" s="64">
        <v>46022</v>
      </c>
      <c r="AB39" s="63">
        <v>0.8408840488457654</v>
      </c>
      <c r="AC39" s="64">
        <v>46022</v>
      </c>
      <c r="AD39" s="63">
        <v>0.72249827010180467</v>
      </c>
      <c r="AE39" s="64">
        <v>46022</v>
      </c>
      <c r="AF39" s="63">
        <v>0.72826526345469944</v>
      </c>
    </row>
    <row r="40" spans="1:32" x14ac:dyDescent="0.25">
      <c r="A40" s="64">
        <v>46112</v>
      </c>
      <c r="B40" s="63">
        <v>0.69578302500698297</v>
      </c>
      <c r="C40" s="64">
        <v>46112</v>
      </c>
      <c r="D40" s="63">
        <v>0.69589052927490935</v>
      </c>
      <c r="E40" s="64">
        <v>46112</v>
      </c>
      <c r="F40" s="63">
        <v>0.80182227725084554</v>
      </c>
      <c r="G40" s="64">
        <v>46112</v>
      </c>
      <c r="H40" s="63">
        <v>0.80911995465659803</v>
      </c>
      <c r="I40" s="64">
        <v>46112</v>
      </c>
      <c r="J40" s="63">
        <v>0.62477746299230275</v>
      </c>
      <c r="K40" s="64">
        <v>46112</v>
      </c>
      <c r="L40" s="63">
        <v>0.62477746299230275</v>
      </c>
      <c r="M40" s="64">
        <v>46112</v>
      </c>
      <c r="N40" s="63">
        <v>0.43828010278486779</v>
      </c>
      <c r="O40" s="64">
        <v>46112</v>
      </c>
      <c r="P40" s="63">
        <v>0.46224053720312569</v>
      </c>
      <c r="Q40" s="64">
        <v>46112</v>
      </c>
      <c r="R40" s="63">
        <v>0.81053502970682711</v>
      </c>
      <c r="S40" s="64">
        <v>46112</v>
      </c>
      <c r="T40" s="63">
        <v>0.83834625600457868</v>
      </c>
      <c r="U40" s="64">
        <v>46112</v>
      </c>
      <c r="V40" s="63">
        <v>0.75114095984887663</v>
      </c>
      <c r="W40" s="64">
        <v>46112</v>
      </c>
      <c r="X40" s="63">
        <v>0.74638041996123439</v>
      </c>
      <c r="Y40" s="64">
        <v>46112</v>
      </c>
      <c r="Z40" s="63">
        <v>0.82472775040666679</v>
      </c>
      <c r="AA40" s="64">
        <v>46112</v>
      </c>
      <c r="AB40" s="63">
        <v>0.83468204874053964</v>
      </c>
      <c r="AC40" s="64">
        <v>46112</v>
      </c>
      <c r="AD40" s="63">
        <v>0.71335068232317633</v>
      </c>
      <c r="AE40" s="64">
        <v>46112</v>
      </c>
      <c r="AF40" s="63">
        <v>0.71904007745195764</v>
      </c>
    </row>
    <row r="41" spans="1:32" x14ac:dyDescent="0.25">
      <c r="A41" s="64">
        <v>46203</v>
      </c>
      <c r="B41" s="63">
        <v>0.68652989906063899</v>
      </c>
      <c r="C41" s="64">
        <v>46203</v>
      </c>
      <c r="D41" s="63">
        <v>0.68663619662035935</v>
      </c>
      <c r="E41" s="64">
        <v>46203</v>
      </c>
      <c r="F41" s="63">
        <v>0.794071463773936</v>
      </c>
      <c r="G41" s="64">
        <v>46203</v>
      </c>
      <c r="H41" s="63">
        <v>0.80157314217769726</v>
      </c>
      <c r="I41" s="64">
        <v>46203</v>
      </c>
      <c r="J41" s="63">
        <v>0.61024833743877382</v>
      </c>
      <c r="K41" s="64">
        <v>46203</v>
      </c>
      <c r="L41" s="63">
        <v>0.61024833743877382</v>
      </c>
      <c r="M41" s="64">
        <v>46203</v>
      </c>
      <c r="N41" s="63">
        <v>0.42508811791794054</v>
      </c>
      <c r="O41" s="64">
        <v>46203</v>
      </c>
      <c r="P41" s="63">
        <v>0.44928287385536281</v>
      </c>
      <c r="Q41" s="64">
        <v>46203</v>
      </c>
      <c r="R41" s="63">
        <v>0.80410787878519119</v>
      </c>
      <c r="S41" s="64">
        <v>46203</v>
      </c>
      <c r="T41" s="63">
        <v>0.83285705703504775</v>
      </c>
      <c r="U41" s="64">
        <v>46203</v>
      </c>
      <c r="V41" s="63">
        <v>0.74321597371759862</v>
      </c>
      <c r="W41" s="64">
        <v>46203</v>
      </c>
      <c r="X41" s="63">
        <v>0.73821019111310437</v>
      </c>
      <c r="Y41" s="64">
        <v>46203</v>
      </c>
      <c r="Z41" s="63">
        <v>0.81754363256713602</v>
      </c>
      <c r="AA41" s="64">
        <v>46203</v>
      </c>
      <c r="AB41" s="63">
        <v>0.82793144109102457</v>
      </c>
      <c r="AC41" s="64">
        <v>46203</v>
      </c>
      <c r="AD41" s="63">
        <v>0.7044456508430621</v>
      </c>
      <c r="AE41" s="64">
        <v>46203</v>
      </c>
      <c r="AF41" s="63">
        <v>0.71010292210126447</v>
      </c>
    </row>
    <row r="42" spans="1:32" x14ac:dyDescent="0.25">
      <c r="A42" s="64">
        <v>46295</v>
      </c>
      <c r="B42" s="63">
        <v>0.6771770325483305</v>
      </c>
      <c r="C42" s="64">
        <v>46295</v>
      </c>
      <c r="D42" s="63">
        <v>0.67728211018227802</v>
      </c>
      <c r="E42" s="64">
        <v>46295</v>
      </c>
      <c r="F42" s="63">
        <v>0.78623547652255499</v>
      </c>
      <c r="G42" s="64">
        <v>46295</v>
      </c>
      <c r="H42" s="63">
        <v>0.79394339769353384</v>
      </c>
      <c r="I42" s="64">
        <v>46295</v>
      </c>
      <c r="J42" s="63">
        <v>0.59589869161717879</v>
      </c>
      <c r="K42" s="64">
        <v>46295</v>
      </c>
      <c r="L42" s="63">
        <v>0.59589869161717879</v>
      </c>
      <c r="M42" s="64">
        <v>46295</v>
      </c>
      <c r="N42" s="63">
        <v>0.41175116618434382</v>
      </c>
      <c r="O42" s="64">
        <v>46295</v>
      </c>
      <c r="P42" s="63">
        <v>0.43618281860267949</v>
      </c>
      <c r="Q42" s="64">
        <v>46295</v>
      </c>
      <c r="R42" s="63">
        <v>0.79760300407185147</v>
      </c>
      <c r="S42" s="64">
        <v>46295</v>
      </c>
      <c r="T42" s="63">
        <v>0.82730141079777875</v>
      </c>
      <c r="U42" s="64">
        <v>46295</v>
      </c>
      <c r="V42" s="63">
        <v>0.73520339590472472</v>
      </c>
      <c r="W42" s="64">
        <v>46295</v>
      </c>
      <c r="X42" s="63">
        <v>0.72994931386540973</v>
      </c>
      <c r="Y42" s="64">
        <v>46295</v>
      </c>
      <c r="Z42" s="63">
        <v>0.81028056837772044</v>
      </c>
      <c r="AA42" s="64">
        <v>46295</v>
      </c>
      <c r="AB42" s="63">
        <v>0.82110665093986657</v>
      </c>
      <c r="AC42" s="64">
        <v>46295</v>
      </c>
      <c r="AD42" s="63">
        <v>0.6954373129335395</v>
      </c>
      <c r="AE42" s="64">
        <v>46295</v>
      </c>
      <c r="AF42" s="63">
        <v>0.70106150822992885</v>
      </c>
    </row>
    <row r="43" spans="1:32" x14ac:dyDescent="0.25">
      <c r="A43" s="64">
        <v>46387</v>
      </c>
      <c r="B43" s="63">
        <v>0.6678668930443612</v>
      </c>
      <c r="C43" s="64">
        <v>46387</v>
      </c>
      <c r="D43" s="63">
        <v>0.66797075169771558</v>
      </c>
      <c r="E43" s="64">
        <v>46387</v>
      </c>
      <c r="F43" s="63">
        <v>0.77839948927117408</v>
      </c>
      <c r="G43" s="64">
        <v>46387</v>
      </c>
      <c r="H43" s="63">
        <v>0.78631365320937052</v>
      </c>
      <c r="I43" s="64">
        <v>46387</v>
      </c>
      <c r="J43" s="63">
        <v>0.5817299671884546</v>
      </c>
      <c r="K43" s="64">
        <v>46387</v>
      </c>
      <c r="L43" s="63">
        <v>0.5817299671884546</v>
      </c>
      <c r="M43" s="64">
        <v>46387</v>
      </c>
      <c r="N43" s="63">
        <v>0.3984142144507471</v>
      </c>
      <c r="O43" s="64">
        <v>46387</v>
      </c>
      <c r="P43" s="63">
        <v>0.42308276334999617</v>
      </c>
      <c r="Q43" s="64">
        <v>46387</v>
      </c>
      <c r="R43" s="63">
        <v>0.79094202264736135</v>
      </c>
      <c r="S43" s="64">
        <v>46387</v>
      </c>
      <c r="T43" s="63">
        <v>0.82161098376180819</v>
      </c>
      <c r="U43" s="64">
        <v>46387</v>
      </c>
      <c r="V43" s="63">
        <v>0.72717973180979811</v>
      </c>
      <c r="W43" s="64">
        <v>46387</v>
      </c>
      <c r="X43" s="63">
        <v>0.72166939198837943</v>
      </c>
      <c r="Y43" s="64">
        <v>46387</v>
      </c>
      <c r="Z43" s="63">
        <v>0.80301750418830475</v>
      </c>
      <c r="AA43" s="64">
        <v>46387</v>
      </c>
      <c r="AB43" s="63">
        <v>0.81428186078870846</v>
      </c>
      <c r="AC43" s="64">
        <v>46387</v>
      </c>
      <c r="AD43" s="63">
        <v>0.68630909833046627</v>
      </c>
      <c r="AE43" s="64">
        <v>46387</v>
      </c>
      <c r="AF43" s="63">
        <v>0.69188703786836425</v>
      </c>
    </row>
    <row r="44" spans="1:32" x14ac:dyDescent="0.25">
      <c r="A44" s="64">
        <v>46477</v>
      </c>
      <c r="B44" s="63">
        <v>0.65877460857248915</v>
      </c>
      <c r="C44" s="64">
        <v>46477</v>
      </c>
      <c r="D44" s="63">
        <v>0.6588772778980907</v>
      </c>
      <c r="E44" s="64">
        <v>46477</v>
      </c>
      <c r="F44" s="63">
        <v>0.77073196605248584</v>
      </c>
      <c r="G44" s="64">
        <v>46477</v>
      </c>
      <c r="H44" s="63">
        <v>0.77884702413283924</v>
      </c>
      <c r="I44" s="64">
        <v>46477</v>
      </c>
      <c r="J44" s="63">
        <v>0.56771076877058413</v>
      </c>
      <c r="K44" s="64">
        <v>46477</v>
      </c>
      <c r="L44" s="63">
        <v>0.56771076877058413</v>
      </c>
      <c r="M44" s="64">
        <v>46477</v>
      </c>
      <c r="N44" s="63">
        <v>0.38546188045055002</v>
      </c>
      <c r="O44" s="64">
        <v>46477</v>
      </c>
      <c r="P44" s="63">
        <v>0.41036206895805161</v>
      </c>
      <c r="Q44" s="64">
        <v>46477</v>
      </c>
      <c r="R44" s="63">
        <v>0.78443452875037067</v>
      </c>
      <c r="S44" s="64">
        <v>46477</v>
      </c>
      <c r="T44" s="63">
        <v>0.81604405201309271</v>
      </c>
      <c r="U44" s="64">
        <v>46477</v>
      </c>
      <c r="V44" s="63">
        <v>0.71934426041829469</v>
      </c>
      <c r="W44" s="64">
        <v>46477</v>
      </c>
      <c r="X44" s="63">
        <v>0.71358185143400099</v>
      </c>
      <c r="Y44" s="64">
        <v>46477</v>
      </c>
      <c r="Z44" s="63">
        <v>0.79591502598708486</v>
      </c>
      <c r="AA44" s="64">
        <v>46477</v>
      </c>
      <c r="AB44" s="63">
        <v>0.80761665652436321</v>
      </c>
      <c r="AC44" s="64">
        <v>46477</v>
      </c>
      <c r="AD44" s="63">
        <v>0.67739914441151727</v>
      </c>
      <c r="AE44" s="64">
        <v>46477</v>
      </c>
      <c r="AF44" s="63">
        <v>0.68293091814745244</v>
      </c>
    </row>
    <row r="45" spans="1:32" x14ac:dyDescent="0.25">
      <c r="A45" s="64">
        <v>46568</v>
      </c>
      <c r="B45" s="63">
        <v>0.64984705088703243</v>
      </c>
      <c r="C45" s="64">
        <v>46568</v>
      </c>
      <c r="D45" s="63">
        <v>0.6499485718712007</v>
      </c>
      <c r="E45" s="64">
        <v>46568</v>
      </c>
      <c r="F45" s="63">
        <v>0.76294687257982241</v>
      </c>
      <c r="G45" s="64">
        <v>46568</v>
      </c>
      <c r="H45" s="63">
        <v>0.7712501870812829</v>
      </c>
      <c r="I45" s="64">
        <v>46568</v>
      </c>
      <c r="J45" s="63">
        <v>0.55412404092234846</v>
      </c>
      <c r="K45" s="64">
        <v>46568</v>
      </c>
      <c r="L45" s="63">
        <v>0.55412404092234846</v>
      </c>
      <c r="M45" s="64">
        <v>46568</v>
      </c>
      <c r="N45" s="63">
        <v>0.37399314438472614</v>
      </c>
      <c r="O45" s="64">
        <v>46568</v>
      </c>
      <c r="P45" s="63">
        <v>0.3991257079366291</v>
      </c>
      <c r="Q45" s="64">
        <v>46568</v>
      </c>
      <c r="R45" s="63">
        <v>0.77800399051738311</v>
      </c>
      <c r="S45" s="64">
        <v>46568</v>
      </c>
      <c r="T45" s="63">
        <v>0.81041166184567237</v>
      </c>
      <c r="U45" s="64">
        <v>46568</v>
      </c>
      <c r="V45" s="63">
        <v>0.71165833712392357</v>
      </c>
      <c r="W45" s="64">
        <v>46568</v>
      </c>
      <c r="X45" s="63">
        <v>0.70561729968959419</v>
      </c>
      <c r="Y45" s="64">
        <v>46568</v>
      </c>
      <c r="Z45" s="63">
        <v>0.78877992599690538</v>
      </c>
      <c r="AA45" s="64">
        <v>46568</v>
      </c>
      <c r="AB45" s="63">
        <v>0.80107026895503375</v>
      </c>
      <c r="AC45" s="64">
        <v>46568</v>
      </c>
      <c r="AD45" s="63">
        <v>0.66873089603180169</v>
      </c>
      <c r="AE45" s="64">
        <v>46568</v>
      </c>
      <c r="AF45" s="63">
        <v>0.67420025280664297</v>
      </c>
    </row>
    <row r="46" spans="1:32" x14ac:dyDescent="0.25">
      <c r="A46" s="64">
        <v>46660</v>
      </c>
      <c r="B46" s="63">
        <v>0.64082526662673511</v>
      </c>
      <c r="C46" s="64">
        <v>46660</v>
      </c>
      <c r="D46" s="63">
        <v>0.64092562697418565</v>
      </c>
      <c r="E46" s="64">
        <v>46660</v>
      </c>
      <c r="F46" s="63">
        <v>0.75507622862943724</v>
      </c>
      <c r="G46" s="64">
        <v>46660</v>
      </c>
      <c r="H46" s="63">
        <v>0.7635698683038854</v>
      </c>
      <c r="I46" s="64">
        <v>46660</v>
      </c>
      <c r="J46" s="63">
        <v>0.54071224859677036</v>
      </c>
      <c r="K46" s="64">
        <v>46660</v>
      </c>
      <c r="L46" s="63">
        <v>0.54071224859677036</v>
      </c>
      <c r="M46" s="64">
        <v>46660</v>
      </c>
      <c r="N46" s="63">
        <v>0.36239837825224486</v>
      </c>
      <c r="O46" s="64">
        <v>46660</v>
      </c>
      <c r="P46" s="63">
        <v>0.38776587042046573</v>
      </c>
      <c r="Q46" s="64">
        <v>46660</v>
      </c>
      <c r="R46" s="63">
        <v>0.77149864513508914</v>
      </c>
      <c r="S46" s="64">
        <v>46660</v>
      </c>
      <c r="T46" s="63">
        <v>0.80471318341992915</v>
      </c>
      <c r="U46" s="64">
        <v>46660</v>
      </c>
      <c r="V46" s="63">
        <v>0.70388938942596191</v>
      </c>
      <c r="W46" s="64">
        <v>46660</v>
      </c>
      <c r="X46" s="63">
        <v>0.69756631335121189</v>
      </c>
      <c r="Y46" s="64">
        <v>46660</v>
      </c>
      <c r="Z46" s="63">
        <v>0.781566418314526</v>
      </c>
      <c r="AA46" s="64">
        <v>46660</v>
      </c>
      <c r="AB46" s="63">
        <v>0.7944519430607665</v>
      </c>
      <c r="AC46" s="64">
        <v>46660</v>
      </c>
      <c r="AD46" s="63">
        <v>0.65996620535406036</v>
      </c>
      <c r="AE46" s="64">
        <v>46660</v>
      </c>
      <c r="AF46" s="63">
        <v>0.66537188798909142</v>
      </c>
    </row>
    <row r="47" spans="1:32" x14ac:dyDescent="0.25">
      <c r="A47" s="64">
        <v>46752</v>
      </c>
      <c r="B47" s="63">
        <v>0.63188880836917694</v>
      </c>
      <c r="C47" s="64">
        <v>46752</v>
      </c>
      <c r="D47" s="63">
        <v>0.63198801520465642</v>
      </c>
      <c r="E47" s="64">
        <v>46752</v>
      </c>
      <c r="F47" s="63">
        <v>0.74720558467905218</v>
      </c>
      <c r="G47" s="64">
        <v>46752</v>
      </c>
      <c r="H47" s="63">
        <v>0.75588954952648779</v>
      </c>
      <c r="I47" s="64">
        <v>46752</v>
      </c>
      <c r="J47" s="63">
        <v>0.52737754847719598</v>
      </c>
      <c r="K47" s="64">
        <v>46752</v>
      </c>
      <c r="L47" s="63">
        <v>0.52737754847719598</v>
      </c>
      <c r="M47" s="64">
        <v>46752</v>
      </c>
      <c r="N47" s="63">
        <v>0.35080361211976357</v>
      </c>
      <c r="O47" s="64">
        <v>46752</v>
      </c>
      <c r="P47" s="63">
        <v>0.3764060329043023</v>
      </c>
      <c r="Q47" s="64">
        <v>46752</v>
      </c>
      <c r="R47" s="63">
        <v>0.7649021780848172</v>
      </c>
      <c r="S47" s="64">
        <v>46752</v>
      </c>
      <c r="T47" s="63">
        <v>0.79892244005485658</v>
      </c>
      <c r="U47" s="64">
        <v>46752</v>
      </c>
      <c r="V47" s="63">
        <v>0.6961520401509429</v>
      </c>
      <c r="W47" s="64">
        <v>46752</v>
      </c>
      <c r="X47" s="63">
        <v>0.6895392619714884</v>
      </c>
      <c r="Y47" s="64">
        <v>46752</v>
      </c>
      <c r="Z47" s="63">
        <v>0.77435291063214673</v>
      </c>
      <c r="AA47" s="64">
        <v>46752</v>
      </c>
      <c r="AB47" s="63">
        <v>0.78783361716649936</v>
      </c>
      <c r="AC47" s="64">
        <v>46752</v>
      </c>
      <c r="AD47" s="63">
        <v>0.65117540460715428</v>
      </c>
      <c r="AE47" s="64">
        <v>46752</v>
      </c>
      <c r="AF47" s="63">
        <v>0.6565048449853863</v>
      </c>
    </row>
    <row r="48" spans="1:32" x14ac:dyDescent="0.25">
      <c r="A48" s="64">
        <v>46843</v>
      </c>
      <c r="B48" s="63">
        <v>0.62306367994747813</v>
      </c>
      <c r="C48" s="64">
        <v>46843</v>
      </c>
      <c r="D48" s="63">
        <v>0.6231617478423388</v>
      </c>
      <c r="E48" s="64">
        <v>46843</v>
      </c>
      <c r="F48" s="63">
        <v>0.73942109420372204</v>
      </c>
      <c r="G48" s="64">
        <v>46843</v>
      </c>
      <c r="H48" s="63">
        <v>0.74828829314302159</v>
      </c>
      <c r="I48" s="64">
        <v>46843</v>
      </c>
      <c r="J48" s="63">
        <v>0.51428926351642357</v>
      </c>
      <c r="K48" s="64">
        <v>46843</v>
      </c>
      <c r="L48" s="63">
        <v>0.51428926351642357</v>
      </c>
      <c r="M48" s="64">
        <v>46843</v>
      </c>
      <c r="N48" s="63">
        <v>0.33942172212987803</v>
      </c>
      <c r="O48" s="64">
        <v>46843</v>
      </c>
      <c r="P48" s="63">
        <v>0.36523833248813015</v>
      </c>
      <c r="Q48" s="64">
        <v>46843</v>
      </c>
      <c r="R48" s="63">
        <v>0.7583871508692015</v>
      </c>
      <c r="S48" s="64">
        <v>46843</v>
      </c>
      <c r="T48" s="63">
        <v>0.79319827757879768</v>
      </c>
      <c r="U48" s="64">
        <v>46843</v>
      </c>
      <c r="V48" s="63">
        <v>0.68851039277948034</v>
      </c>
      <c r="W48" s="64">
        <v>46843</v>
      </c>
      <c r="X48" s="63">
        <v>0.68161336817200946</v>
      </c>
      <c r="Y48" s="64">
        <v>46843</v>
      </c>
      <c r="Z48" s="63">
        <v>0.7672102220311251</v>
      </c>
      <c r="AA48" s="64">
        <v>46843</v>
      </c>
      <c r="AB48" s="63">
        <v>0.78128431631645001</v>
      </c>
      <c r="AC48" s="64">
        <v>46843</v>
      </c>
      <c r="AD48" s="63">
        <v>0.6424960054383988</v>
      </c>
      <c r="AE48" s="64">
        <v>46843</v>
      </c>
      <c r="AF48" s="63">
        <v>0.64775676378318359</v>
      </c>
    </row>
    <row r="49" spans="1:32" x14ac:dyDescent="0.25">
      <c r="A49" s="64">
        <v>46934</v>
      </c>
      <c r="B49" s="63">
        <v>0.61448269555006119</v>
      </c>
      <c r="C49" s="64">
        <v>46934</v>
      </c>
      <c r="D49" s="63">
        <v>0.61457965947497384</v>
      </c>
      <c r="E49" s="64">
        <v>46934</v>
      </c>
      <c r="F49" s="63">
        <v>0.73164697528252609</v>
      </c>
      <c r="G49" s="64">
        <v>46934</v>
      </c>
      <c r="H49" s="63">
        <v>0.74061102425070335</v>
      </c>
      <c r="I49" s="64">
        <v>46934</v>
      </c>
      <c r="J49" s="63">
        <v>0.50165116846575575</v>
      </c>
      <c r="K49" s="64">
        <v>46934</v>
      </c>
      <c r="L49" s="63">
        <v>0.50165116846575575</v>
      </c>
      <c r="M49" s="64">
        <v>46934</v>
      </c>
      <c r="N49" s="63">
        <v>0.32953358464613147</v>
      </c>
      <c r="O49" s="64">
        <v>46934</v>
      </c>
      <c r="P49" s="63">
        <v>0.35525159448226273</v>
      </c>
      <c r="Q49" s="64">
        <v>46934</v>
      </c>
      <c r="R49" s="63">
        <v>0.75203963627418624</v>
      </c>
      <c r="S49" s="64">
        <v>46934</v>
      </c>
      <c r="T49" s="63">
        <v>0.78753668915595765</v>
      </c>
      <c r="U49" s="64">
        <v>46934</v>
      </c>
      <c r="V49" s="63">
        <v>0.68106827024125371</v>
      </c>
      <c r="W49" s="64">
        <v>46934</v>
      </c>
      <c r="X49" s="63">
        <v>0.67392667514696114</v>
      </c>
      <c r="Y49" s="64">
        <v>46934</v>
      </c>
      <c r="Z49" s="63">
        <v>0.75993700932361996</v>
      </c>
      <c r="AA49" s="64">
        <v>46934</v>
      </c>
      <c r="AB49" s="63">
        <v>0.77468490703801929</v>
      </c>
      <c r="AC49" s="64">
        <v>46934</v>
      </c>
      <c r="AD49" s="63">
        <v>0.63408921588288869</v>
      </c>
      <c r="AE49" s="64">
        <v>46934</v>
      </c>
      <c r="AF49" s="63">
        <v>0.63939707404874002</v>
      </c>
    </row>
    <row r="50" spans="1:32" x14ac:dyDescent="0.25">
      <c r="A50" s="64">
        <v>47026</v>
      </c>
      <c r="B50" s="63">
        <v>0.60580934689146271</v>
      </c>
      <c r="C50" s="64">
        <v>47026</v>
      </c>
      <c r="D50" s="63">
        <v>0.60590519473089799</v>
      </c>
      <c r="E50" s="64">
        <v>47026</v>
      </c>
      <c r="F50" s="63">
        <v>0.72378742648307526</v>
      </c>
      <c r="G50" s="64">
        <v>47026</v>
      </c>
      <c r="H50" s="63">
        <v>0.73284938976616187</v>
      </c>
      <c r="I50" s="64">
        <v>47026</v>
      </c>
      <c r="J50" s="63">
        <v>0.48919131352165535</v>
      </c>
      <c r="K50" s="64">
        <v>47026</v>
      </c>
      <c r="L50" s="63">
        <v>0.48919131352165535</v>
      </c>
      <c r="M50" s="64">
        <v>47026</v>
      </c>
      <c r="N50" s="63">
        <v>0.31953678631091509</v>
      </c>
      <c r="O50" s="64">
        <v>47026</v>
      </c>
      <c r="P50" s="63">
        <v>0.3451551121027045</v>
      </c>
      <c r="Q50" s="64">
        <v>47026</v>
      </c>
      <c r="R50" s="63">
        <v>0.74561565448139433</v>
      </c>
      <c r="S50" s="64">
        <v>47026</v>
      </c>
      <c r="T50" s="63">
        <v>0.78180610285494057</v>
      </c>
      <c r="U50" s="64">
        <v>47026</v>
      </c>
      <c r="V50" s="63">
        <v>0.67354425325393874</v>
      </c>
      <c r="W50" s="64">
        <v>47026</v>
      </c>
      <c r="X50" s="63">
        <v>0.66615521855442217</v>
      </c>
      <c r="Y50" s="64">
        <v>47026</v>
      </c>
      <c r="Z50" s="63">
        <v>0.75258387120174663</v>
      </c>
      <c r="AA50" s="64">
        <v>47026</v>
      </c>
      <c r="AB50" s="63">
        <v>0.76801297677850677</v>
      </c>
      <c r="AC50" s="64">
        <v>47026</v>
      </c>
      <c r="AD50" s="63">
        <v>0.62558524173470975</v>
      </c>
      <c r="AE50" s="64">
        <v>47026</v>
      </c>
      <c r="AF50" s="63">
        <v>0.63094057618098065</v>
      </c>
    </row>
    <row r="51" spans="1:32" x14ac:dyDescent="0.25">
      <c r="A51" s="64">
        <v>47118</v>
      </c>
      <c r="B51" s="63">
        <v>0.59717850818734497</v>
      </c>
      <c r="C51" s="64">
        <v>47118</v>
      </c>
      <c r="D51" s="63">
        <v>0.59727324029348938</v>
      </c>
      <c r="E51" s="64">
        <v>47118</v>
      </c>
      <c r="F51" s="63">
        <v>0.71592787768362443</v>
      </c>
      <c r="G51" s="64">
        <v>47118</v>
      </c>
      <c r="H51" s="63">
        <v>0.72508775528162039</v>
      </c>
      <c r="I51" s="64">
        <v>47118</v>
      </c>
      <c r="J51" s="63">
        <v>0.47691356612954372</v>
      </c>
      <c r="K51" s="64">
        <v>47118</v>
      </c>
      <c r="L51" s="63">
        <v>0.47691356612954372</v>
      </c>
      <c r="M51" s="64">
        <v>47118</v>
      </c>
      <c r="N51" s="63">
        <v>0.30953998797569876</v>
      </c>
      <c r="O51" s="64">
        <v>47118</v>
      </c>
      <c r="P51" s="63">
        <v>0.33505862972314626</v>
      </c>
      <c r="Q51" s="64">
        <v>47118</v>
      </c>
      <c r="R51" s="63">
        <v>0.73904395830554004</v>
      </c>
      <c r="S51" s="64">
        <v>47118</v>
      </c>
      <c r="T51" s="63">
        <v>0.7759262988966944</v>
      </c>
      <c r="U51" s="64">
        <v>47118</v>
      </c>
      <c r="V51" s="63">
        <v>0.66601775284647213</v>
      </c>
      <c r="W51" s="64">
        <v>47118</v>
      </c>
      <c r="X51" s="63">
        <v>0.65837728486776026</v>
      </c>
      <c r="Y51" s="64">
        <v>47118</v>
      </c>
      <c r="Z51" s="63">
        <v>0.74523073307987342</v>
      </c>
      <c r="AA51" s="64">
        <v>47118</v>
      </c>
      <c r="AB51" s="63">
        <v>0.76134104651899437</v>
      </c>
      <c r="AC51" s="64">
        <v>47118</v>
      </c>
      <c r="AD51" s="63">
        <v>0.61697561720958527</v>
      </c>
      <c r="AE51" s="64">
        <v>47118</v>
      </c>
      <c r="AF51" s="63">
        <v>0.62237532327211431</v>
      </c>
    </row>
    <row r="52" spans="1:32" x14ac:dyDescent="0.25">
      <c r="A52" s="64">
        <v>47208</v>
      </c>
      <c r="B52" s="63">
        <v>0.58875322839271926</v>
      </c>
      <c r="C52" s="64">
        <v>47208</v>
      </c>
      <c r="D52" s="63">
        <v>0.58884687095194721</v>
      </c>
      <c r="E52" s="64">
        <v>47208</v>
      </c>
      <c r="F52" s="63">
        <v>0.7082440838630405</v>
      </c>
      <c r="G52" s="64">
        <v>47208</v>
      </c>
      <c r="H52" s="63">
        <v>0.71749840440761448</v>
      </c>
      <c r="I52" s="64">
        <v>47208</v>
      </c>
      <c r="J52" s="63">
        <v>0.46484912589202187</v>
      </c>
      <c r="K52" s="64">
        <v>47208</v>
      </c>
      <c r="L52" s="63">
        <v>0.46484912589202187</v>
      </c>
      <c r="M52" s="64">
        <v>47208</v>
      </c>
      <c r="N52" s="63">
        <v>0.29984037212658915</v>
      </c>
      <c r="O52" s="64">
        <v>47208</v>
      </c>
      <c r="P52" s="63">
        <v>0.32525580770262852</v>
      </c>
      <c r="Q52" s="64">
        <v>47208</v>
      </c>
      <c r="R52" s="63">
        <v>0.73262754375025596</v>
      </c>
      <c r="S52" s="64">
        <v>47208</v>
      </c>
      <c r="T52" s="63">
        <v>0.77018439387215165</v>
      </c>
      <c r="U52" s="64">
        <v>47208</v>
      </c>
      <c r="V52" s="63">
        <v>0.65867023507241418</v>
      </c>
      <c r="W52" s="64">
        <v>47208</v>
      </c>
      <c r="X52" s="63">
        <v>0.65078800066405407</v>
      </c>
      <c r="Y52" s="64">
        <v>47208</v>
      </c>
      <c r="Z52" s="63">
        <v>0.73804205038409398</v>
      </c>
      <c r="AA52" s="64">
        <v>47208</v>
      </c>
      <c r="AB52" s="63">
        <v>0.75480308142862618</v>
      </c>
      <c r="AC52" s="64">
        <v>47208</v>
      </c>
      <c r="AD52" s="63">
        <v>0.6085731543143843</v>
      </c>
      <c r="AE52" s="64">
        <v>47208</v>
      </c>
      <c r="AF52" s="63">
        <v>0.61401458185553603</v>
      </c>
    </row>
    <row r="53" spans="1:32" x14ac:dyDescent="0.25">
      <c r="A53" s="64">
        <v>47299</v>
      </c>
      <c r="B53" s="63">
        <v>0.58054256520955483</v>
      </c>
      <c r="C53" s="64">
        <v>47299</v>
      </c>
      <c r="D53" s="63">
        <v>0.58063513931273836</v>
      </c>
      <c r="E53" s="64">
        <v>47299</v>
      </c>
      <c r="F53" s="63">
        <v>0.70055905798874318</v>
      </c>
      <c r="G53" s="64">
        <v>47299</v>
      </c>
      <c r="H53" s="63">
        <v>0.70988578967011662</v>
      </c>
      <c r="I53" s="64">
        <v>47299</v>
      </c>
      <c r="J53" s="63">
        <v>0.45406850216013533</v>
      </c>
      <c r="K53" s="64">
        <v>47299</v>
      </c>
      <c r="L53" s="63">
        <v>0.45406850216013533</v>
      </c>
      <c r="M53" s="64">
        <v>47299</v>
      </c>
      <c r="N53" s="63">
        <v>0.29140570089648643</v>
      </c>
      <c r="O53" s="64">
        <v>47299</v>
      </c>
      <c r="P53" s="63">
        <v>0.31661899302895052</v>
      </c>
      <c r="Q53" s="64">
        <v>47299</v>
      </c>
      <c r="R53" s="63">
        <v>0.72635329867068077</v>
      </c>
      <c r="S53" s="64">
        <v>47299</v>
      </c>
      <c r="T53" s="63">
        <v>0.76455190420163588</v>
      </c>
      <c r="U53" s="64">
        <v>47299</v>
      </c>
      <c r="V53" s="63">
        <v>0.65150515213185056</v>
      </c>
      <c r="W53" s="64">
        <v>47299</v>
      </c>
      <c r="X53" s="63">
        <v>0.64345067395297018</v>
      </c>
      <c r="Y53" s="64">
        <v>47299</v>
      </c>
      <c r="Z53" s="63">
        <v>0.73085264134849548</v>
      </c>
      <c r="AA53" s="64">
        <v>47299</v>
      </c>
      <c r="AB53" s="63">
        <v>0.74800207451724976</v>
      </c>
      <c r="AC53" s="64">
        <v>47299</v>
      </c>
      <c r="AD53" s="63">
        <v>0.60042103766920052</v>
      </c>
      <c r="AE53" s="64">
        <v>47299</v>
      </c>
      <c r="AF53" s="63">
        <v>0.60587567774790008</v>
      </c>
    </row>
    <row r="54" spans="1:32" x14ac:dyDescent="0.25">
      <c r="A54" s="64">
        <v>47391</v>
      </c>
      <c r="B54" s="63">
        <v>0.57224372945937829</v>
      </c>
      <c r="C54" s="64">
        <v>47391</v>
      </c>
      <c r="D54" s="63">
        <v>0.57233522341303045</v>
      </c>
      <c r="E54" s="64">
        <v>47391</v>
      </c>
      <c r="F54" s="63">
        <v>0.69278958128066248</v>
      </c>
      <c r="G54" s="64">
        <v>47391</v>
      </c>
      <c r="H54" s="63">
        <v>0.70218951982561317</v>
      </c>
      <c r="I54" s="64">
        <v>47391</v>
      </c>
      <c r="J54" s="63">
        <v>0.44348509635623501</v>
      </c>
      <c r="K54" s="64">
        <v>47391</v>
      </c>
      <c r="L54" s="63">
        <v>0.44348509635623501</v>
      </c>
      <c r="M54" s="64">
        <v>47391</v>
      </c>
      <c r="N54" s="63">
        <v>0.2828783409715474</v>
      </c>
      <c r="O54" s="64">
        <v>47391</v>
      </c>
      <c r="P54" s="63">
        <v>0.30788726830391344</v>
      </c>
      <c r="Q54" s="64">
        <v>47391</v>
      </c>
      <c r="R54" s="63">
        <v>0.72000370133929947</v>
      </c>
      <c r="S54" s="64">
        <v>47391</v>
      </c>
      <c r="T54" s="63">
        <v>0.75885099033523207</v>
      </c>
      <c r="U54" s="64">
        <v>47391</v>
      </c>
      <c r="V54" s="63">
        <v>0.64426146398901118</v>
      </c>
      <c r="W54" s="64">
        <v>47391</v>
      </c>
      <c r="X54" s="63">
        <v>0.63603288680985226</v>
      </c>
      <c r="Y54" s="64">
        <v>47391</v>
      </c>
      <c r="Z54" s="63">
        <v>0.72358422781800025</v>
      </c>
      <c r="AA54" s="64">
        <v>47391</v>
      </c>
      <c r="AB54" s="63">
        <v>0.74112633126618799</v>
      </c>
      <c r="AC54" s="64">
        <v>47391</v>
      </c>
      <c r="AD54" s="63">
        <v>0.5921749248421071</v>
      </c>
      <c r="AE54" s="64">
        <v>47391</v>
      </c>
      <c r="AF54" s="63">
        <v>0.59764273011354452</v>
      </c>
    </row>
    <row r="55" spans="1:32" x14ac:dyDescent="0.25">
      <c r="A55" s="64">
        <v>47483</v>
      </c>
      <c r="B55" s="63">
        <v>0.56399009272976663</v>
      </c>
      <c r="C55" s="64">
        <v>47483</v>
      </c>
      <c r="D55" s="63">
        <v>0.56408050758522732</v>
      </c>
      <c r="E55" s="64">
        <v>47483</v>
      </c>
      <c r="F55" s="63">
        <v>0.68502010457258178</v>
      </c>
      <c r="G55" s="64">
        <v>47483</v>
      </c>
      <c r="H55" s="63">
        <v>0.69449324998110984</v>
      </c>
      <c r="I55" s="64">
        <v>47483</v>
      </c>
      <c r="J55" s="63">
        <v>0.43309167762506423</v>
      </c>
      <c r="K55" s="64">
        <v>47483</v>
      </c>
      <c r="L55" s="63">
        <v>0.43309167762506423</v>
      </c>
      <c r="M55" s="64">
        <v>47483</v>
      </c>
      <c r="N55" s="63">
        <v>0.27435098104660838</v>
      </c>
      <c r="O55" s="64">
        <v>47483</v>
      </c>
      <c r="P55" s="63">
        <v>0.29915554357887642</v>
      </c>
      <c r="Q55" s="64">
        <v>47483</v>
      </c>
      <c r="R55" s="63">
        <v>0.71351320492698278</v>
      </c>
      <c r="S55" s="64">
        <v>47483</v>
      </c>
      <c r="T55" s="63">
        <v>0.75300644495875257</v>
      </c>
      <c r="U55" s="64">
        <v>47483</v>
      </c>
      <c r="V55" s="63">
        <v>0.63702067924986816</v>
      </c>
      <c r="W55" s="64">
        <v>47483</v>
      </c>
      <c r="X55" s="63">
        <v>0.62861882936686075</v>
      </c>
      <c r="Y55" s="64">
        <v>47483</v>
      </c>
      <c r="Z55" s="63">
        <v>0.71631581428750501</v>
      </c>
      <c r="AA55" s="64">
        <v>47483</v>
      </c>
      <c r="AB55" s="63">
        <v>0.7342505880151261</v>
      </c>
      <c r="AC55" s="64">
        <v>47483</v>
      </c>
      <c r="AD55" s="63">
        <v>0.58383173739974903</v>
      </c>
      <c r="AE55" s="64">
        <v>47483</v>
      </c>
      <c r="AF55" s="63">
        <v>0.58930847203825776</v>
      </c>
    </row>
    <row r="56" spans="1:32" x14ac:dyDescent="0.25">
      <c r="A56" s="64">
        <v>47573</v>
      </c>
      <c r="B56" s="63">
        <v>0.55593438360115455</v>
      </c>
      <c r="C56" s="64">
        <v>47573</v>
      </c>
      <c r="D56" s="63">
        <v>0.55602374451972492</v>
      </c>
      <c r="E56" s="64">
        <v>47573</v>
      </c>
      <c r="F56" s="63">
        <v>0.67743021948787074</v>
      </c>
      <c r="G56" s="64">
        <v>47573</v>
      </c>
      <c r="H56" s="63">
        <v>0.68697050523193481</v>
      </c>
      <c r="I56" s="64">
        <v>47573</v>
      </c>
      <c r="J56" s="63">
        <v>0.42284266339410609</v>
      </c>
      <c r="K56" s="64">
        <v>47573</v>
      </c>
      <c r="L56" s="63">
        <v>0.42284266339410609</v>
      </c>
      <c r="M56" s="64">
        <v>47573</v>
      </c>
      <c r="N56" s="63">
        <v>0.26600899851134191</v>
      </c>
      <c r="O56" s="64">
        <v>47573</v>
      </c>
      <c r="P56" s="63">
        <v>0.29061363895655751</v>
      </c>
      <c r="Q56" s="64">
        <v>47573</v>
      </c>
      <c r="R56" s="63">
        <v>0.70717253497399213</v>
      </c>
      <c r="S56" s="64">
        <v>47573</v>
      </c>
      <c r="T56" s="63">
        <v>0.74728205362121569</v>
      </c>
      <c r="U56" s="64">
        <v>47573</v>
      </c>
      <c r="V56" s="63">
        <v>0.6299494863374806</v>
      </c>
      <c r="W56" s="64">
        <v>47573</v>
      </c>
      <c r="X56" s="63">
        <v>0.62137835230384575</v>
      </c>
      <c r="Y56" s="64">
        <v>47573</v>
      </c>
      <c r="Z56" s="63">
        <v>0.70921213653091331</v>
      </c>
      <c r="AA56" s="64">
        <v>47573</v>
      </c>
      <c r="AB56" s="63">
        <v>0.72753055607707107</v>
      </c>
      <c r="AC56" s="64">
        <v>47573</v>
      </c>
      <c r="AD56" s="63">
        <v>0.57569026181497951</v>
      </c>
      <c r="AE56" s="64">
        <v>47573</v>
      </c>
      <c r="AF56" s="63">
        <v>0.58117538116347489</v>
      </c>
    </row>
    <row r="57" spans="1:32" x14ac:dyDescent="0.25">
      <c r="A57" s="64">
        <v>47664</v>
      </c>
      <c r="B57" s="63">
        <v>0.54810717333768733</v>
      </c>
      <c r="C57" s="64">
        <v>47664</v>
      </c>
      <c r="D57" s="63">
        <v>0.54819549787553246</v>
      </c>
      <c r="E57" s="64">
        <v>47664</v>
      </c>
      <c r="F57" s="63">
        <v>0.66993975080918244</v>
      </c>
      <c r="G57" s="64">
        <v>47664</v>
      </c>
      <c r="H57" s="63">
        <v>0.67947100133441474</v>
      </c>
      <c r="I57" s="64">
        <v>47664</v>
      </c>
      <c r="J57" s="63">
        <v>0.41288116598501334</v>
      </c>
      <c r="K57" s="64">
        <v>47664</v>
      </c>
      <c r="L57" s="63">
        <v>0.41288116598501334</v>
      </c>
      <c r="M57" s="64">
        <v>47664</v>
      </c>
      <c r="N57" s="63">
        <v>0.25757432728123919</v>
      </c>
      <c r="O57" s="64">
        <v>47664</v>
      </c>
      <c r="P57" s="63">
        <v>0.28197682428287951</v>
      </c>
      <c r="Q57" s="64">
        <v>47664</v>
      </c>
      <c r="R57" s="63">
        <v>0.70091144998014698</v>
      </c>
      <c r="S57" s="64">
        <v>47664</v>
      </c>
      <c r="T57" s="63">
        <v>0.74137543233688818</v>
      </c>
      <c r="U57" s="64">
        <v>47664</v>
      </c>
      <c r="V57" s="63">
        <v>0.62300914480435343</v>
      </c>
      <c r="W57" s="64">
        <v>47664</v>
      </c>
      <c r="X57" s="63">
        <v>0.61427065741249054</v>
      </c>
      <c r="Y57" s="64">
        <v>47664</v>
      </c>
      <c r="Z57" s="63">
        <v>0.70214515496612051</v>
      </c>
      <c r="AA57" s="64">
        <v>47664</v>
      </c>
      <c r="AB57" s="63">
        <v>0.72084309229786858</v>
      </c>
      <c r="AC57" s="64">
        <v>47664</v>
      </c>
      <c r="AD57" s="63">
        <v>0.56780791675182507</v>
      </c>
      <c r="AE57" s="64">
        <v>47664</v>
      </c>
      <c r="AF57" s="63">
        <v>0.5732954885736099</v>
      </c>
    </row>
    <row r="58" spans="1:32" x14ac:dyDescent="0.25">
      <c r="A58" s="64">
        <v>47756</v>
      </c>
      <c r="B58" s="63">
        <v>0.54019613041132941</v>
      </c>
      <c r="C58" s="64">
        <v>47756</v>
      </c>
      <c r="D58" s="63">
        <v>0.54028340726830382</v>
      </c>
      <c r="E58" s="64">
        <v>47756</v>
      </c>
      <c r="F58" s="63">
        <v>0.6623669692878712</v>
      </c>
      <c r="G58" s="64">
        <v>47756</v>
      </c>
      <c r="H58" s="63">
        <v>0.67188908530615266</v>
      </c>
      <c r="I58" s="64">
        <v>47756</v>
      </c>
      <c r="J58" s="63">
        <v>0.4031023192775452</v>
      </c>
      <c r="K58" s="64">
        <v>47756</v>
      </c>
      <c r="L58" s="63">
        <v>0.4031023192775452</v>
      </c>
      <c r="M58" s="64">
        <v>47756</v>
      </c>
      <c r="N58" s="63">
        <v>0.24904696735630016</v>
      </c>
      <c r="O58" s="64">
        <v>47756</v>
      </c>
      <c r="P58" s="63">
        <v>0.27324509955784243</v>
      </c>
      <c r="Q58" s="64">
        <v>47756</v>
      </c>
      <c r="R58" s="63">
        <v>0.69457530216640662</v>
      </c>
      <c r="S58" s="64">
        <v>47756</v>
      </c>
      <c r="T58" s="63">
        <v>0.73539680133454943</v>
      </c>
      <c r="U58" s="64">
        <v>47756</v>
      </c>
      <c r="V58" s="63">
        <v>0.61599275907453421</v>
      </c>
      <c r="W58" s="64">
        <v>47756</v>
      </c>
      <c r="X58" s="63">
        <v>0.60708513359910621</v>
      </c>
      <c r="Y58" s="64">
        <v>47756</v>
      </c>
      <c r="Z58" s="63">
        <v>0.69500051426325304</v>
      </c>
      <c r="AA58" s="64">
        <v>47756</v>
      </c>
      <c r="AB58" s="63">
        <v>0.71408213990570779</v>
      </c>
      <c r="AC58" s="64">
        <v>47756</v>
      </c>
      <c r="AD58" s="63">
        <v>0.55983496036916924</v>
      </c>
      <c r="AE58" s="64">
        <v>47756</v>
      </c>
      <c r="AF58" s="63">
        <v>0.56532482937272599</v>
      </c>
    </row>
    <row r="59" spans="1:32" x14ac:dyDescent="0.25">
      <c r="A59" s="64">
        <v>47848</v>
      </c>
      <c r="B59" s="63">
        <v>0.53233306149254278</v>
      </c>
      <c r="C59" s="64">
        <v>47848</v>
      </c>
      <c r="D59" s="63">
        <v>0.53241929261902632</v>
      </c>
      <c r="E59" s="64">
        <v>47848</v>
      </c>
      <c r="F59" s="63">
        <v>0.65479418776656007</v>
      </c>
      <c r="G59" s="64">
        <v>47848</v>
      </c>
      <c r="H59" s="63">
        <v>0.66430716927789057</v>
      </c>
      <c r="I59" s="64">
        <v>47848</v>
      </c>
      <c r="J59" s="63">
        <v>0.3935006359650226</v>
      </c>
      <c r="K59" s="64">
        <v>47848</v>
      </c>
      <c r="L59" s="63">
        <v>0.3935006359650226</v>
      </c>
      <c r="M59" s="64">
        <v>47848</v>
      </c>
      <c r="N59" s="63">
        <v>0.24051960743136114</v>
      </c>
      <c r="O59" s="64">
        <v>47848</v>
      </c>
      <c r="P59" s="63">
        <v>0.26451337483280535</v>
      </c>
      <c r="Q59" s="64">
        <v>47848</v>
      </c>
      <c r="R59" s="63">
        <v>0.68810144121457817</v>
      </c>
      <c r="S59" s="64">
        <v>47848</v>
      </c>
      <c r="T59" s="63">
        <v>0.729261930912394</v>
      </c>
      <c r="U59" s="64">
        <v>47848</v>
      </c>
      <c r="V59" s="63">
        <v>0.608981285783739</v>
      </c>
      <c r="W59" s="64">
        <v>47848</v>
      </c>
      <c r="X59" s="63">
        <v>0.5999057173209702</v>
      </c>
      <c r="Y59" s="64">
        <v>47848</v>
      </c>
      <c r="Z59" s="63">
        <v>0.68785587356038558</v>
      </c>
      <c r="AA59" s="64">
        <v>47848</v>
      </c>
      <c r="AB59" s="63">
        <v>0.707321187513547</v>
      </c>
      <c r="AC59" s="64">
        <v>47848</v>
      </c>
      <c r="AD59" s="63">
        <v>0.55177417684088503</v>
      </c>
      <c r="AE59" s="64">
        <v>47848</v>
      </c>
      <c r="AF59" s="63">
        <v>0.55726233370719447</v>
      </c>
    </row>
    <row r="60" spans="1:32" x14ac:dyDescent="0.25">
      <c r="A60" s="64">
        <v>47938</v>
      </c>
      <c r="B60" s="63">
        <v>0.52466360073806007</v>
      </c>
      <c r="C60" s="64">
        <v>47938</v>
      </c>
      <c r="D60" s="63">
        <v>0.52474880978499849</v>
      </c>
      <c r="E60" s="64">
        <v>47938</v>
      </c>
      <c r="F60" s="63">
        <v>0.64739972696338866</v>
      </c>
      <c r="G60" s="64">
        <v>47938</v>
      </c>
      <c r="H60" s="63">
        <v>0.65689891384432986</v>
      </c>
      <c r="I60" s="64">
        <v>47938</v>
      </c>
      <c r="J60" s="63">
        <v>0.38402437256297989</v>
      </c>
      <c r="K60" s="64">
        <v>47938</v>
      </c>
      <c r="L60" s="63">
        <v>0.38402437256297989</v>
      </c>
      <c r="M60" s="64">
        <v>47938</v>
      </c>
      <c r="N60" s="63">
        <v>0.23229683832316378</v>
      </c>
      <c r="O60" s="64">
        <v>47938</v>
      </c>
      <c r="P60" s="63">
        <v>0.25608588741202132</v>
      </c>
      <c r="Q60" s="64">
        <v>47938</v>
      </c>
      <c r="R60" s="63">
        <v>0.68178896728021521</v>
      </c>
      <c r="S60" s="64">
        <v>47938</v>
      </c>
      <c r="T60" s="63">
        <v>0.72328157307402063</v>
      </c>
      <c r="U60" s="64">
        <v>47938</v>
      </c>
      <c r="V60" s="63">
        <v>0.60214095144493573</v>
      </c>
      <c r="W60" s="64">
        <v>47938</v>
      </c>
      <c r="X60" s="63">
        <v>0.59291146317864718</v>
      </c>
      <c r="Y60" s="64">
        <v>47938</v>
      </c>
      <c r="Z60" s="63">
        <v>0.68086590935452296</v>
      </c>
      <c r="AA60" s="64">
        <v>47938</v>
      </c>
      <c r="AB60" s="63">
        <v>0.70069667033500882</v>
      </c>
      <c r="AC60" s="64">
        <v>47938</v>
      </c>
      <c r="AD60" s="63">
        <v>0.54391829772178413</v>
      </c>
      <c r="AE60" s="64">
        <v>47938</v>
      </c>
      <c r="AF60" s="63">
        <v>0.54941017332769437</v>
      </c>
    </row>
    <row r="61" spans="1:32" x14ac:dyDescent="0.25">
      <c r="A61" s="64">
        <v>48029</v>
      </c>
      <c r="B61" s="63">
        <v>0.51729862823867956</v>
      </c>
      <c r="C61" s="64">
        <v>48029</v>
      </c>
      <c r="D61" s="63">
        <v>0.5173828196234358</v>
      </c>
      <c r="E61" s="64">
        <v>48029</v>
      </c>
      <c r="F61" s="63">
        <v>0.6401585078833707</v>
      </c>
      <c r="G61" s="64">
        <v>48029</v>
      </c>
      <c r="H61" s="63">
        <v>0.6495602312113653</v>
      </c>
      <c r="I61" s="64">
        <v>48029</v>
      </c>
      <c r="J61" s="63">
        <v>0.37459958227821843</v>
      </c>
      <c r="K61" s="64">
        <v>48029</v>
      </c>
      <c r="L61" s="63">
        <v>0.37459958227821843</v>
      </c>
      <c r="M61" s="64">
        <v>48029</v>
      </c>
      <c r="N61" s="63">
        <v>0.22603185146571816</v>
      </c>
      <c r="O61" s="64">
        <v>48029</v>
      </c>
      <c r="P61" s="63">
        <v>0.24953146580627703</v>
      </c>
      <c r="Q61" s="64">
        <v>48029</v>
      </c>
      <c r="R61" s="63">
        <v>0.67576132094088148</v>
      </c>
      <c r="S61" s="64">
        <v>48029</v>
      </c>
      <c r="T61" s="63">
        <v>0.71759824023165097</v>
      </c>
      <c r="U61" s="64">
        <v>48029</v>
      </c>
      <c r="V61" s="63">
        <v>0.59554631409676306</v>
      </c>
      <c r="W61" s="64">
        <v>48029</v>
      </c>
      <c r="X61" s="63">
        <v>0.58633948324789198</v>
      </c>
      <c r="Y61" s="64">
        <v>48029</v>
      </c>
      <c r="Z61" s="63">
        <v>0.67378724740930118</v>
      </c>
      <c r="AA61" s="64">
        <v>48029</v>
      </c>
      <c r="AB61" s="63">
        <v>0.69381734193205591</v>
      </c>
      <c r="AC61" s="64">
        <v>48029</v>
      </c>
      <c r="AD61" s="63">
        <v>0.53648512512649404</v>
      </c>
      <c r="AE61" s="64">
        <v>48029</v>
      </c>
      <c r="AF61" s="63">
        <v>0.54207347175315168</v>
      </c>
    </row>
    <row r="62" spans="1:32" x14ac:dyDescent="0.25">
      <c r="A62" s="64">
        <v>48121</v>
      </c>
      <c r="B62" s="63">
        <v>0.50985673052037783</v>
      </c>
      <c r="C62" s="64">
        <v>48121</v>
      </c>
      <c r="D62" s="63">
        <v>0.50993989350056201</v>
      </c>
      <c r="E62" s="64">
        <v>48121</v>
      </c>
      <c r="F62" s="63">
        <v>0.63283771496730867</v>
      </c>
      <c r="G62" s="64">
        <v>48121</v>
      </c>
      <c r="H62" s="63">
        <v>0.64214090371430221</v>
      </c>
      <c r="I62" s="64">
        <v>48121</v>
      </c>
      <c r="J62" s="63">
        <v>0.36533649355569292</v>
      </c>
      <c r="K62" s="64">
        <v>48121</v>
      </c>
      <c r="L62" s="63">
        <v>0.36533649355569292</v>
      </c>
      <c r="M62" s="64">
        <v>48121</v>
      </c>
      <c r="N62" s="63">
        <v>0.21969801859885008</v>
      </c>
      <c r="O62" s="64">
        <v>48121</v>
      </c>
      <c r="P62" s="63">
        <v>0.2429050175894806</v>
      </c>
      <c r="Q62" s="64">
        <v>48121</v>
      </c>
      <c r="R62" s="63">
        <v>0.66966444339683573</v>
      </c>
      <c r="S62" s="64">
        <v>48121</v>
      </c>
      <c r="T62" s="63">
        <v>0.71184855084650633</v>
      </c>
      <c r="U62" s="64">
        <v>48121</v>
      </c>
      <c r="V62" s="63">
        <v>0.58888121742770394</v>
      </c>
      <c r="W62" s="64">
        <v>48121</v>
      </c>
      <c r="X62" s="63">
        <v>0.5796976779527071</v>
      </c>
      <c r="Y62" s="64">
        <v>48121</v>
      </c>
      <c r="Z62" s="63">
        <v>0.66663079797017566</v>
      </c>
      <c r="AA62" s="64">
        <v>48121</v>
      </c>
      <c r="AB62" s="63">
        <v>0.68686241651368596</v>
      </c>
      <c r="AC62" s="64">
        <v>48121</v>
      </c>
      <c r="AD62" s="63">
        <v>0.52897017854825479</v>
      </c>
      <c r="AE62" s="64">
        <v>48121</v>
      </c>
      <c r="AF62" s="63">
        <v>0.53465602491622555</v>
      </c>
    </row>
    <row r="63" spans="1:32" x14ac:dyDescent="0.25">
      <c r="A63" s="64">
        <v>48213</v>
      </c>
      <c r="B63" s="63">
        <v>0.50250302078785636</v>
      </c>
      <c r="C63" s="64">
        <v>48213</v>
      </c>
      <c r="D63" s="63">
        <v>0.50258516505911188</v>
      </c>
      <c r="E63" s="64">
        <v>48213</v>
      </c>
      <c r="F63" s="63">
        <v>0.62551692205124654</v>
      </c>
      <c r="G63" s="64">
        <v>48213</v>
      </c>
      <c r="H63" s="63">
        <v>0.63472157621723924</v>
      </c>
      <c r="I63" s="64">
        <v>48213</v>
      </c>
      <c r="J63" s="63">
        <v>0.35616389340376747</v>
      </c>
      <c r="K63" s="64">
        <v>48213</v>
      </c>
      <c r="L63" s="63">
        <v>0.35616389340376747</v>
      </c>
      <c r="M63" s="64">
        <v>48213</v>
      </c>
      <c r="N63" s="63">
        <v>0.21336418573198199</v>
      </c>
      <c r="O63" s="64">
        <v>48213</v>
      </c>
      <c r="P63" s="63">
        <v>0.23627856937268421</v>
      </c>
      <c r="Q63" s="64">
        <v>48213</v>
      </c>
      <c r="R63" s="63">
        <v>0.66350171253006429</v>
      </c>
      <c r="S63" s="64">
        <v>48213</v>
      </c>
      <c r="T63" s="63">
        <v>0.70601301007561301</v>
      </c>
      <c r="U63" s="64">
        <v>48213</v>
      </c>
      <c r="V63" s="63">
        <v>0.58226032362947167</v>
      </c>
      <c r="W63" s="64">
        <v>48213</v>
      </c>
      <c r="X63" s="63">
        <v>0.57310854495299646</v>
      </c>
      <c r="Y63" s="64">
        <v>48213</v>
      </c>
      <c r="Z63" s="63">
        <v>0.65947434853105025</v>
      </c>
      <c r="AA63" s="64">
        <v>48213</v>
      </c>
      <c r="AB63" s="63">
        <v>0.67990749109531601</v>
      </c>
      <c r="AC63" s="64">
        <v>48213</v>
      </c>
      <c r="AD63" s="63">
        <v>0.52145323508245867</v>
      </c>
      <c r="AE63" s="64">
        <v>48213</v>
      </c>
      <c r="AF63" s="63">
        <v>0.52723589037982965</v>
      </c>
    </row>
    <row r="64" spans="1:32" x14ac:dyDescent="0.25">
      <c r="A64" s="64">
        <v>48304</v>
      </c>
      <c r="B64" s="63">
        <v>0.49524457367840508</v>
      </c>
      <c r="C64" s="64">
        <v>48304</v>
      </c>
      <c r="D64" s="63">
        <v>0.49532571177929169</v>
      </c>
      <c r="E64" s="64">
        <v>48304</v>
      </c>
      <c r="F64" s="63">
        <v>0.6182917308788225</v>
      </c>
      <c r="G64" s="64">
        <v>48304</v>
      </c>
      <c r="H64" s="63">
        <v>0.6273974041617133</v>
      </c>
      <c r="I64" s="64">
        <v>48304</v>
      </c>
      <c r="J64" s="63">
        <v>0.347190797699158</v>
      </c>
      <c r="K64" s="64">
        <v>48304</v>
      </c>
      <c r="L64" s="63">
        <v>0.347190797699158</v>
      </c>
      <c r="M64" s="64">
        <v>48304</v>
      </c>
      <c r="N64" s="63">
        <v>0.20709919887453637</v>
      </c>
      <c r="O64" s="64">
        <v>48304</v>
      </c>
      <c r="P64" s="63">
        <v>0.22972414776693992</v>
      </c>
      <c r="Q64" s="64">
        <v>48304</v>
      </c>
      <c r="R64" s="63">
        <v>0.65741070406330926</v>
      </c>
      <c r="S64" s="64">
        <v>48304</v>
      </c>
      <c r="T64" s="63">
        <v>0.70024307564803467</v>
      </c>
      <c r="U64" s="64">
        <v>48304</v>
      </c>
      <c r="V64" s="63">
        <v>0.57572437422532863</v>
      </c>
      <c r="W64" s="64">
        <v>48304</v>
      </c>
      <c r="X64" s="63">
        <v>0.56660454472666633</v>
      </c>
      <c r="Y64" s="64">
        <v>48304</v>
      </c>
      <c r="Z64" s="63">
        <v>0.65242702697194144</v>
      </c>
      <c r="AA64" s="64">
        <v>48304</v>
      </c>
      <c r="AB64" s="63">
        <v>0.67305845010058829</v>
      </c>
      <c r="AC64" s="64">
        <v>48304</v>
      </c>
      <c r="AD64" s="63">
        <v>0.51403527668969506</v>
      </c>
      <c r="AE64" s="64">
        <v>48304</v>
      </c>
      <c r="AF64" s="63">
        <v>0.51991359225011036</v>
      </c>
    </row>
    <row r="65" spans="1:32" x14ac:dyDescent="0.25">
      <c r="A65" s="64">
        <v>48395</v>
      </c>
      <c r="B65" s="63">
        <v>0.48824981969228992</v>
      </c>
      <c r="C65" s="64">
        <v>48395</v>
      </c>
      <c r="D65" s="63">
        <v>0.48832997683175905</v>
      </c>
      <c r="E65" s="64">
        <v>48395</v>
      </c>
      <c r="F65" s="63">
        <v>0.61134221971701297</v>
      </c>
      <c r="G65" s="64">
        <v>48395</v>
      </c>
      <c r="H65" s="63">
        <v>0.6203228140381315</v>
      </c>
      <c r="I65" s="64">
        <v>48395</v>
      </c>
      <c r="J65" s="63">
        <v>0.33847192703778012</v>
      </c>
      <c r="K65" s="64">
        <v>48395</v>
      </c>
      <c r="L65" s="63">
        <v>0.33847192703778012</v>
      </c>
      <c r="M65" s="64">
        <v>48395</v>
      </c>
      <c r="N65" s="63">
        <v>0.20083421201709076</v>
      </c>
      <c r="O65" s="64">
        <v>48395</v>
      </c>
      <c r="P65" s="63">
        <v>0.22316972616119563</v>
      </c>
      <c r="Q65" s="64">
        <v>48395</v>
      </c>
      <c r="R65" s="63">
        <v>0.651401158149569</v>
      </c>
      <c r="S65" s="64">
        <v>48395</v>
      </c>
      <c r="T65" s="63">
        <v>0.69451057792048054</v>
      </c>
      <c r="U65" s="64">
        <v>48395</v>
      </c>
      <c r="V65" s="63">
        <v>0.5694116491241995</v>
      </c>
      <c r="W65" s="64">
        <v>48395</v>
      </c>
      <c r="X65" s="63">
        <v>0.56033294681557611</v>
      </c>
      <c r="Y65" s="64">
        <v>48395</v>
      </c>
      <c r="Z65" s="63">
        <v>0.64591876005397697</v>
      </c>
      <c r="AA65" s="64">
        <v>48395</v>
      </c>
      <c r="AB65" s="63">
        <v>0.66673035252733259</v>
      </c>
      <c r="AC65" s="64">
        <v>48395</v>
      </c>
      <c r="AD65" s="63">
        <v>0.50691451994861725</v>
      </c>
      <c r="AE65" s="64">
        <v>48395</v>
      </c>
      <c r="AF65" s="63">
        <v>0.5128868377714676</v>
      </c>
    </row>
    <row r="66" spans="1:32" x14ac:dyDescent="0.25">
      <c r="A66" s="64">
        <v>48487</v>
      </c>
      <c r="B66" s="63">
        <v>0.48118060663939005</v>
      </c>
      <c r="C66" s="64">
        <v>48487</v>
      </c>
      <c r="D66" s="63">
        <v>0.48125977223566729</v>
      </c>
      <c r="E66" s="64">
        <v>48487</v>
      </c>
      <c r="F66" s="63">
        <v>0.60431634030067805</v>
      </c>
      <c r="G66" s="64">
        <v>48487</v>
      </c>
      <c r="H66" s="63">
        <v>0.61317048116593886</v>
      </c>
      <c r="I66" s="64">
        <v>48487</v>
      </c>
      <c r="J66" s="63">
        <v>0.32990656775675714</v>
      </c>
      <c r="K66" s="64">
        <v>48487</v>
      </c>
      <c r="L66" s="63">
        <v>0.32990656775675714</v>
      </c>
      <c r="M66" s="64">
        <v>48487</v>
      </c>
      <c r="N66" s="63">
        <v>0.19450037915022267</v>
      </c>
      <c r="O66" s="64">
        <v>48487</v>
      </c>
      <c r="P66" s="63">
        <v>0.2165432779443992</v>
      </c>
      <c r="Q66" s="64">
        <v>48487</v>
      </c>
      <c r="R66" s="63">
        <v>0.64532008701549903</v>
      </c>
      <c r="S66" s="64">
        <v>48487</v>
      </c>
      <c r="T66" s="63">
        <v>0.6887088938218261</v>
      </c>
      <c r="U66" s="64">
        <v>48487</v>
      </c>
      <c r="V66" s="63">
        <v>0.56303020582574081</v>
      </c>
      <c r="W66" s="64">
        <v>48487</v>
      </c>
      <c r="X66" s="63">
        <v>0.55399341515655298</v>
      </c>
      <c r="Y66" s="64">
        <v>48487</v>
      </c>
      <c r="Z66" s="63">
        <v>0.63933897371933157</v>
      </c>
      <c r="AA66" s="64">
        <v>48487</v>
      </c>
      <c r="AB66" s="63">
        <v>0.66033271542030481</v>
      </c>
      <c r="AC66" s="64">
        <v>48487</v>
      </c>
      <c r="AD66" s="63">
        <v>0.49971253774636432</v>
      </c>
      <c r="AE66" s="64">
        <v>48487</v>
      </c>
      <c r="AF66" s="63">
        <v>0.50577985019161575</v>
      </c>
    </row>
    <row r="67" spans="1:32" x14ac:dyDescent="0.25">
      <c r="A67" s="64">
        <v>48579</v>
      </c>
      <c r="B67" s="63">
        <v>0.47416433354244153</v>
      </c>
      <c r="C67" s="64">
        <v>48579</v>
      </c>
      <c r="D67" s="63">
        <v>0.47424251195199807</v>
      </c>
      <c r="E67" s="64">
        <v>48579</v>
      </c>
      <c r="F67" s="63">
        <v>0.59729046088434312</v>
      </c>
      <c r="G67" s="64">
        <v>48579</v>
      </c>
      <c r="H67" s="63">
        <v>0.60601814829374623</v>
      </c>
      <c r="I67" s="64">
        <v>48579</v>
      </c>
      <c r="J67" s="63">
        <v>0.3214952604811962</v>
      </c>
      <c r="K67" s="64">
        <v>48579</v>
      </c>
      <c r="L67" s="63">
        <v>0.3214952604811962</v>
      </c>
      <c r="M67" s="64">
        <v>48579</v>
      </c>
      <c r="N67" s="63">
        <v>0.18816654628335458</v>
      </c>
      <c r="O67" s="64">
        <v>48579</v>
      </c>
      <c r="P67" s="63">
        <v>0.20991682972760281</v>
      </c>
      <c r="Q67" s="64">
        <v>48579</v>
      </c>
      <c r="R67" s="63">
        <v>0.63911831828804766</v>
      </c>
      <c r="S67" s="64">
        <v>48579</v>
      </c>
      <c r="T67" s="63">
        <v>0.68277098813046122</v>
      </c>
      <c r="U67" s="64">
        <v>48579</v>
      </c>
      <c r="V67" s="63">
        <v>0.55666311550718228</v>
      </c>
      <c r="W67" s="64">
        <v>48579</v>
      </c>
      <c r="X67" s="63">
        <v>0.54767555152700564</v>
      </c>
      <c r="Y67" s="64">
        <v>48579</v>
      </c>
      <c r="Z67" s="63">
        <v>0.63275918738468606</v>
      </c>
      <c r="AA67" s="64">
        <v>48579</v>
      </c>
      <c r="AB67" s="63">
        <v>0.65393507831327702</v>
      </c>
      <c r="AC67" s="64">
        <v>48579</v>
      </c>
      <c r="AD67" s="63">
        <v>0.49244509702796802</v>
      </c>
      <c r="AE67" s="64">
        <v>48579</v>
      </c>
      <c r="AF67" s="63">
        <v>0.4986065101931898</v>
      </c>
    </row>
    <row r="68" spans="1:32" x14ac:dyDescent="0.25">
      <c r="A68" s="64">
        <v>48669</v>
      </c>
      <c r="B68" s="63">
        <v>0.46732090199392889</v>
      </c>
      <c r="C68" s="64">
        <v>48669</v>
      </c>
      <c r="D68" s="63">
        <v>0.46739811596546416</v>
      </c>
      <c r="E68" s="64">
        <v>48669</v>
      </c>
      <c r="F68" s="63">
        <v>0.59043310645777414</v>
      </c>
      <c r="G68" s="64">
        <v>48669</v>
      </c>
      <c r="H68" s="63">
        <v>0.5990357522776254</v>
      </c>
      <c r="I68" s="64">
        <v>48669</v>
      </c>
      <c r="J68" s="63">
        <v>0.31321564491132059</v>
      </c>
      <c r="K68" s="64">
        <v>48669</v>
      </c>
      <c r="L68" s="63">
        <v>0.31321564491132059</v>
      </c>
      <c r="M68" s="64">
        <v>48669</v>
      </c>
      <c r="N68" s="63">
        <v>0.18197040543533144</v>
      </c>
      <c r="O68" s="64">
        <v>48669</v>
      </c>
      <c r="P68" s="63">
        <v>0.20343443473291067</v>
      </c>
      <c r="Q68" s="64">
        <v>48669</v>
      </c>
      <c r="R68" s="63">
        <v>0.63305320579161217</v>
      </c>
      <c r="S68" s="64">
        <v>48669</v>
      </c>
      <c r="T68" s="63">
        <v>0.67696130615956829</v>
      </c>
      <c r="U68" s="64">
        <v>48669</v>
      </c>
      <c r="V68" s="63">
        <v>0.55044966356401703</v>
      </c>
      <c r="W68" s="64">
        <v>48669</v>
      </c>
      <c r="X68" s="63">
        <v>0.54151072602402117</v>
      </c>
      <c r="Y68" s="64">
        <v>48669</v>
      </c>
      <c r="Z68" s="63">
        <v>0.62632529687955452</v>
      </c>
      <c r="AA68" s="64">
        <v>48669</v>
      </c>
      <c r="AB68" s="63">
        <v>0.64767799191332054</v>
      </c>
      <c r="AC68" s="64">
        <v>48669</v>
      </c>
      <c r="AD68" s="63">
        <v>0.48535417861380481</v>
      </c>
      <c r="AE68" s="64">
        <v>48669</v>
      </c>
      <c r="AF68" s="63">
        <v>0.49160754344318303</v>
      </c>
    </row>
    <row r="69" spans="1:32" x14ac:dyDescent="0.25">
      <c r="A69" s="64">
        <v>48760</v>
      </c>
      <c r="B69" s="63">
        <v>0.46075060521294736</v>
      </c>
      <c r="C69" s="64">
        <v>48760</v>
      </c>
      <c r="D69" s="63">
        <v>0.46082686617181134</v>
      </c>
      <c r="E69" s="64">
        <v>48760</v>
      </c>
      <c r="F69" s="63">
        <v>0.58377094564498166</v>
      </c>
      <c r="G69" s="64">
        <v>48760</v>
      </c>
      <c r="H69" s="63">
        <v>0.59222417688511841</v>
      </c>
      <c r="I69" s="64">
        <v>48760</v>
      </c>
      <c r="J69" s="63">
        <v>0.30515739796457736</v>
      </c>
      <c r="K69" s="64">
        <v>48760</v>
      </c>
      <c r="L69" s="63">
        <v>0.30515739796457736</v>
      </c>
      <c r="M69" s="64">
        <v>48760</v>
      </c>
      <c r="N69" s="63">
        <v>0.17570541857788582</v>
      </c>
      <c r="O69" s="64">
        <v>48760</v>
      </c>
      <c r="P69" s="63">
        <v>0.19688001312716638</v>
      </c>
      <c r="Q69" s="64">
        <v>48760</v>
      </c>
      <c r="R69" s="63">
        <v>0.62695224771917457</v>
      </c>
      <c r="S69" s="64">
        <v>48760</v>
      </c>
      <c r="T69" s="63">
        <v>0.67107226933867836</v>
      </c>
      <c r="U69" s="64">
        <v>48760</v>
      </c>
      <c r="V69" s="63">
        <v>0.54442884605503905</v>
      </c>
      <c r="W69" s="64">
        <v>48760</v>
      </c>
      <c r="X69" s="63">
        <v>0.53554715224915583</v>
      </c>
      <c r="Y69" s="64">
        <v>48760</v>
      </c>
      <c r="Z69" s="63">
        <v>0.61986902729155691</v>
      </c>
      <c r="AA69" s="64">
        <v>48760</v>
      </c>
      <c r="AB69" s="63">
        <v>0.64137667817945943</v>
      </c>
      <c r="AC69" s="64">
        <v>48760</v>
      </c>
      <c r="AD69" s="63">
        <v>0.47850305903428486</v>
      </c>
      <c r="AE69" s="64">
        <v>48760</v>
      </c>
      <c r="AF69" s="63">
        <v>0.48484762008833082</v>
      </c>
    </row>
    <row r="70" spans="1:32" x14ac:dyDescent="0.25">
      <c r="A70" s="64">
        <v>48852</v>
      </c>
      <c r="B70" s="63">
        <v>0.45411056940575467</v>
      </c>
      <c r="C70" s="64">
        <v>48852</v>
      </c>
      <c r="D70" s="63">
        <v>0.45418586712804876</v>
      </c>
      <c r="E70" s="64">
        <v>48852</v>
      </c>
      <c r="F70" s="63">
        <v>0.57703557427380692</v>
      </c>
      <c r="G70" s="64">
        <v>48852</v>
      </c>
      <c r="H70" s="63">
        <v>0.58533774901577063</v>
      </c>
      <c r="I70" s="64">
        <v>48852</v>
      </c>
      <c r="J70" s="63">
        <v>0.29724141035026347</v>
      </c>
      <c r="K70" s="64">
        <v>48852</v>
      </c>
      <c r="L70" s="63">
        <v>0.29724141035026347</v>
      </c>
      <c r="M70" s="64">
        <v>48852</v>
      </c>
      <c r="N70" s="63">
        <v>0.16937158571101774</v>
      </c>
      <c r="O70" s="64">
        <v>48852</v>
      </c>
      <c r="P70" s="63">
        <v>0.19025356491036996</v>
      </c>
      <c r="Q70" s="64">
        <v>48852</v>
      </c>
      <c r="R70" s="63">
        <v>0.62077874961281088</v>
      </c>
      <c r="S70" s="64">
        <v>48852</v>
      </c>
      <c r="T70" s="63">
        <v>0.66511226309088189</v>
      </c>
      <c r="U70" s="64">
        <v>48852</v>
      </c>
      <c r="V70" s="63">
        <v>0.53834263464488286</v>
      </c>
      <c r="W70" s="64">
        <v>48852</v>
      </c>
      <c r="X70" s="63">
        <v>0.5295191118895225</v>
      </c>
      <c r="Y70" s="64">
        <v>48852</v>
      </c>
      <c r="Z70" s="63">
        <v>0.61334180968610863</v>
      </c>
      <c r="AA70" s="64">
        <v>48852</v>
      </c>
      <c r="AB70" s="63">
        <v>0.63500611923973183</v>
      </c>
      <c r="AC70" s="64">
        <v>48852</v>
      </c>
      <c r="AD70" s="63">
        <v>0.47157398451882249</v>
      </c>
      <c r="AE70" s="64">
        <v>48852</v>
      </c>
      <c r="AF70" s="63">
        <v>0.47801068493400933</v>
      </c>
    </row>
    <row r="71" spans="1:32" x14ac:dyDescent="0.25">
      <c r="A71" s="64">
        <v>48944</v>
      </c>
      <c r="B71" s="63">
        <v>0.44752469841951453</v>
      </c>
      <c r="C71" s="64">
        <v>48944</v>
      </c>
      <c r="D71" s="63">
        <v>0.44759903837813869</v>
      </c>
      <c r="E71" s="64">
        <v>48944</v>
      </c>
      <c r="F71" s="63">
        <v>0.57030020290263217</v>
      </c>
      <c r="G71" s="64">
        <v>48944</v>
      </c>
      <c r="H71" s="63">
        <v>0.57845132114642295</v>
      </c>
      <c r="I71" s="64">
        <v>48944</v>
      </c>
      <c r="J71" s="63">
        <v>0.28946969547536117</v>
      </c>
      <c r="K71" s="64">
        <v>48944</v>
      </c>
      <c r="L71" s="63">
        <v>0.28946969547536117</v>
      </c>
      <c r="M71" s="64">
        <v>48944</v>
      </c>
      <c r="N71" s="63">
        <v>0.16303775284414965</v>
      </c>
      <c r="O71" s="64">
        <v>48944</v>
      </c>
      <c r="P71" s="63">
        <v>0.18362711669357354</v>
      </c>
      <c r="Q71" s="64">
        <v>48944</v>
      </c>
      <c r="R71" s="63">
        <v>0.61448432765670657</v>
      </c>
      <c r="S71" s="64">
        <v>48944</v>
      </c>
      <c r="T71" s="63">
        <v>0.65901465263860626</v>
      </c>
      <c r="U71" s="64">
        <v>48944</v>
      </c>
      <c r="V71" s="63">
        <v>0.53227333966372592</v>
      </c>
      <c r="W71" s="64">
        <v>48944</v>
      </c>
      <c r="X71" s="63">
        <v>0.52351454977539968</v>
      </c>
      <c r="Y71" s="64">
        <v>48944</v>
      </c>
      <c r="Z71" s="63">
        <v>0.60681459208066046</v>
      </c>
      <c r="AA71" s="64">
        <v>48944</v>
      </c>
      <c r="AB71" s="63">
        <v>0.62863556030000411</v>
      </c>
      <c r="AC71" s="64">
        <v>48944</v>
      </c>
      <c r="AD71" s="63">
        <v>0.46458621603624789</v>
      </c>
      <c r="AE71" s="64">
        <v>48944</v>
      </c>
      <c r="AF71" s="63">
        <v>0.47111375737605365</v>
      </c>
    </row>
    <row r="72" spans="1:32" x14ac:dyDescent="0.25">
      <c r="A72" s="64">
        <v>49034</v>
      </c>
      <c r="B72" s="63">
        <v>0.44109924324944461</v>
      </c>
      <c r="C72" s="64">
        <v>49034</v>
      </c>
      <c r="D72" s="63">
        <v>0.4411726479200988</v>
      </c>
      <c r="E72" s="64">
        <v>49034</v>
      </c>
      <c r="F72" s="63">
        <v>0.56372758933103539</v>
      </c>
      <c r="G72" s="64">
        <v>49034</v>
      </c>
      <c r="H72" s="63">
        <v>0.57172413176500203</v>
      </c>
      <c r="I72" s="64">
        <v>49034</v>
      </c>
      <c r="J72" s="63">
        <v>0.28184043111874657</v>
      </c>
      <c r="K72" s="64">
        <v>49034</v>
      </c>
      <c r="L72" s="63">
        <v>0.28184043111874657</v>
      </c>
      <c r="M72" s="64">
        <v>49034</v>
      </c>
      <c r="N72" s="63">
        <v>0.15698073205026522</v>
      </c>
      <c r="O72" s="64">
        <v>49034</v>
      </c>
      <c r="P72" s="63">
        <v>0.17728369207782577</v>
      </c>
      <c r="Q72" s="64">
        <v>49034</v>
      </c>
      <c r="R72" s="63">
        <v>0.60836660844292623</v>
      </c>
      <c r="S72" s="64">
        <v>49034</v>
      </c>
      <c r="T72" s="63">
        <v>0.65308459404058061</v>
      </c>
      <c r="U72" s="64">
        <v>49034</v>
      </c>
      <c r="V72" s="63">
        <v>0.52634897930548763</v>
      </c>
      <c r="W72" s="64">
        <v>49034</v>
      </c>
      <c r="X72" s="63">
        <v>0.51765255988793457</v>
      </c>
      <c r="Y72" s="64">
        <v>49034</v>
      </c>
      <c r="Z72" s="63">
        <v>0.60046821898945346</v>
      </c>
      <c r="AA72" s="64">
        <v>49034</v>
      </c>
      <c r="AB72" s="63">
        <v>0.62243622603162851</v>
      </c>
      <c r="AC72" s="64">
        <v>49034</v>
      </c>
      <c r="AD72" s="63">
        <v>0.45779169919413021</v>
      </c>
      <c r="AE72" s="64">
        <v>49034</v>
      </c>
      <c r="AF72" s="63">
        <v>0.46440905275449801</v>
      </c>
    </row>
    <row r="73" spans="1:32" x14ac:dyDescent="0.25">
      <c r="A73" s="64">
        <v>49125</v>
      </c>
      <c r="B73" s="63">
        <v>0.43489881149888299</v>
      </c>
      <c r="C73" s="64">
        <v>49125</v>
      </c>
      <c r="D73" s="63">
        <v>0.4349712989328034</v>
      </c>
      <c r="E73" s="64">
        <v>49125</v>
      </c>
      <c r="F73" s="63">
        <v>0.55736275614544684</v>
      </c>
      <c r="G73" s="64">
        <v>49125</v>
      </c>
      <c r="H73" s="63">
        <v>0.565086066695761</v>
      </c>
      <c r="I73" s="64">
        <v>49125</v>
      </c>
      <c r="J73" s="63">
        <v>0.27467840303305407</v>
      </c>
      <c r="K73" s="64">
        <v>49125</v>
      </c>
      <c r="L73" s="63">
        <v>0.27467840303305407</v>
      </c>
      <c r="M73" s="64">
        <v>49125</v>
      </c>
      <c r="N73" s="63">
        <v>0.15324773017814416</v>
      </c>
      <c r="O73" s="64">
        <v>49125</v>
      </c>
      <c r="P73" s="63">
        <v>0.17325853136886907</v>
      </c>
      <c r="Q73" s="64">
        <v>49125</v>
      </c>
      <c r="R73" s="63">
        <v>0.60286619229661498</v>
      </c>
      <c r="S73" s="64">
        <v>49125</v>
      </c>
      <c r="T73" s="63">
        <v>0.64769017287901631</v>
      </c>
      <c r="U73" s="64">
        <v>49125</v>
      </c>
      <c r="V73" s="63">
        <v>0.52058213530565922</v>
      </c>
      <c r="W73" s="64">
        <v>49125</v>
      </c>
      <c r="X73" s="63">
        <v>0.51193236122463692</v>
      </c>
      <c r="Y73" s="64">
        <v>49125</v>
      </c>
      <c r="Z73" s="63">
        <v>0.594720811725447</v>
      </c>
      <c r="AA73" s="64">
        <v>49125</v>
      </c>
      <c r="AB73" s="63">
        <v>0.61673067582282959</v>
      </c>
      <c r="AC73" s="64">
        <v>49125</v>
      </c>
      <c r="AD73" s="63">
        <v>0.45163233878218512</v>
      </c>
      <c r="AE73" s="64">
        <v>49125</v>
      </c>
      <c r="AF73" s="63">
        <v>0.45835676486128718</v>
      </c>
    </row>
    <row r="74" spans="1:32" x14ac:dyDescent="0.25">
      <c r="A74" s="64">
        <v>49217</v>
      </c>
      <c r="B74" s="63">
        <v>0.42863268776102542</v>
      </c>
      <c r="C74" s="64">
        <v>49217</v>
      </c>
      <c r="D74" s="63">
        <v>0.42870424814859487</v>
      </c>
      <c r="E74" s="64">
        <v>49217</v>
      </c>
      <c r="F74" s="63">
        <v>0.55092797973803864</v>
      </c>
      <c r="G74" s="64">
        <v>49217</v>
      </c>
      <c r="H74" s="63">
        <v>0.55837505585652836</v>
      </c>
      <c r="I74" s="64">
        <v>49217</v>
      </c>
      <c r="J74" s="63">
        <v>0.26764957249243077</v>
      </c>
      <c r="K74" s="64">
        <v>49217</v>
      </c>
      <c r="L74" s="63">
        <v>0.26764957249243077</v>
      </c>
      <c r="M74" s="64">
        <v>49217</v>
      </c>
      <c r="N74" s="63">
        <v>0.14947370630742837</v>
      </c>
      <c r="O74" s="64">
        <v>49217</v>
      </c>
      <c r="P74" s="63">
        <v>0.16918913812464909</v>
      </c>
      <c r="Q74" s="64">
        <v>49217</v>
      </c>
      <c r="R74" s="63">
        <v>0.5973008667099573</v>
      </c>
      <c r="S74" s="64">
        <v>49217</v>
      </c>
      <c r="T74" s="63">
        <v>0.64223127237433464</v>
      </c>
      <c r="U74" s="64">
        <v>49217</v>
      </c>
      <c r="V74" s="63">
        <v>0.51475273859998338</v>
      </c>
      <c r="W74" s="64">
        <v>49217</v>
      </c>
      <c r="X74" s="63">
        <v>0.50615036529134561</v>
      </c>
      <c r="Y74" s="64">
        <v>49217</v>
      </c>
      <c r="Z74" s="63">
        <v>0.58891024613985798</v>
      </c>
      <c r="AA74" s="64">
        <v>49217</v>
      </c>
      <c r="AB74" s="63">
        <v>0.61096242726008787</v>
      </c>
      <c r="AC74" s="64">
        <v>49217</v>
      </c>
      <c r="AD74" s="63">
        <v>0.44540319358639247</v>
      </c>
      <c r="AE74" s="64">
        <v>49217</v>
      </c>
      <c r="AF74" s="63">
        <v>0.45223582331486845</v>
      </c>
    </row>
    <row r="75" spans="1:32" x14ac:dyDescent="0.25">
      <c r="A75" s="64">
        <v>49309</v>
      </c>
      <c r="B75" s="63">
        <v>0.42242034578081489</v>
      </c>
      <c r="C75" s="64">
        <v>49309</v>
      </c>
      <c r="D75" s="63">
        <v>0.42249098505999561</v>
      </c>
      <c r="E75" s="64">
        <v>49309</v>
      </c>
      <c r="F75" s="63">
        <v>0.54449320333063034</v>
      </c>
      <c r="G75" s="64">
        <v>49309</v>
      </c>
      <c r="H75" s="63">
        <v>0.55166404501729571</v>
      </c>
      <c r="I75" s="64">
        <v>49309</v>
      </c>
      <c r="J75" s="63">
        <v>0.26075399180312003</v>
      </c>
      <c r="K75" s="64">
        <v>49309</v>
      </c>
      <c r="L75" s="63">
        <v>0.26075399180312003</v>
      </c>
      <c r="M75" s="64">
        <v>49309</v>
      </c>
      <c r="N75" s="63">
        <v>0.14569968243671261</v>
      </c>
      <c r="O75" s="64">
        <v>49309</v>
      </c>
      <c r="P75" s="63">
        <v>0.16511974488042913</v>
      </c>
      <c r="Q75" s="64">
        <v>49309</v>
      </c>
      <c r="R75" s="63">
        <v>0.59163730437214856</v>
      </c>
      <c r="S75" s="64">
        <v>49309</v>
      </c>
      <c r="T75" s="63">
        <v>0.63665797209639352</v>
      </c>
      <c r="U75" s="64">
        <v>49309</v>
      </c>
      <c r="V75" s="63">
        <v>0.50894136443155757</v>
      </c>
      <c r="W75" s="64">
        <v>49309</v>
      </c>
      <c r="X75" s="63">
        <v>0.50039173458953967</v>
      </c>
      <c r="Y75" s="64">
        <v>49309</v>
      </c>
      <c r="Z75" s="63">
        <v>0.58309968055426908</v>
      </c>
      <c r="AA75" s="64">
        <v>49309</v>
      </c>
      <c r="AB75" s="63">
        <v>0.60519417869734626</v>
      </c>
      <c r="AC75" s="64">
        <v>49309</v>
      </c>
      <c r="AD75" s="63">
        <v>0.43912785928950238</v>
      </c>
      <c r="AE75" s="64">
        <v>49309</v>
      </c>
      <c r="AF75" s="63">
        <v>0.44606769187755274</v>
      </c>
    </row>
    <row r="76" spans="1:32" x14ac:dyDescent="0.25">
      <c r="A76" s="64">
        <v>49399</v>
      </c>
      <c r="B76" s="63">
        <v>0.41635656857982134</v>
      </c>
      <c r="C76" s="64">
        <v>49399</v>
      </c>
      <c r="D76" s="63">
        <v>0.41642630876628561</v>
      </c>
      <c r="E76" s="64">
        <v>49399</v>
      </c>
      <c r="F76" s="63">
        <v>0.53821525797641323</v>
      </c>
      <c r="G76" s="64">
        <v>49399</v>
      </c>
      <c r="H76" s="63">
        <v>0.54511462659350651</v>
      </c>
      <c r="I76" s="64">
        <v>49399</v>
      </c>
      <c r="J76" s="63">
        <v>0.25397281579993253</v>
      </c>
      <c r="K76" s="64">
        <v>49399</v>
      </c>
      <c r="L76" s="63">
        <v>0.25397281579993253</v>
      </c>
      <c r="M76" s="64">
        <v>49399</v>
      </c>
      <c r="N76" s="63">
        <v>0.14200770256318629</v>
      </c>
      <c r="O76" s="64">
        <v>49399</v>
      </c>
      <c r="P76" s="63">
        <v>0.16113881670673566</v>
      </c>
      <c r="Q76" s="64">
        <v>49399</v>
      </c>
      <c r="R76" s="63">
        <v>0.5860923518672867</v>
      </c>
      <c r="S76" s="64">
        <v>49399</v>
      </c>
      <c r="T76" s="63">
        <v>0.63119882107941538</v>
      </c>
      <c r="U76" s="64">
        <v>49399</v>
      </c>
      <c r="V76" s="63">
        <v>0.50327082596905137</v>
      </c>
      <c r="W76" s="64">
        <v>49399</v>
      </c>
      <c r="X76" s="63">
        <v>0.49477310685158199</v>
      </c>
      <c r="Y76" s="64">
        <v>49399</v>
      </c>
      <c r="Z76" s="63">
        <v>0.57742280552183411</v>
      </c>
      <c r="AA76" s="64">
        <v>49399</v>
      </c>
      <c r="AB76" s="63">
        <v>0.59955721891203895</v>
      </c>
      <c r="AC76" s="64">
        <v>49399</v>
      </c>
      <c r="AD76" s="63">
        <v>0.43300473563133063</v>
      </c>
      <c r="AE76" s="64">
        <v>49399</v>
      </c>
      <c r="AF76" s="63">
        <v>0.44004937613063944</v>
      </c>
    </row>
    <row r="77" spans="1:32" x14ac:dyDescent="0.25">
      <c r="A77" s="64">
        <v>49490</v>
      </c>
      <c r="B77" s="63">
        <v>0.41045770442810497</v>
      </c>
      <c r="C77" s="64">
        <v>49490</v>
      </c>
      <c r="D77" s="63">
        <v>0.41052656976492619</v>
      </c>
      <c r="E77" s="64">
        <v>49490</v>
      </c>
      <c r="F77" s="63">
        <v>0.53215881668466825</v>
      </c>
      <c r="G77" s="64">
        <v>49490</v>
      </c>
      <c r="H77" s="63">
        <v>0.5387623174576408</v>
      </c>
      <c r="I77" s="64">
        <v>49490</v>
      </c>
      <c r="J77" s="63">
        <v>0.2473816610996509</v>
      </c>
      <c r="K77" s="64">
        <v>49490</v>
      </c>
      <c r="L77" s="63">
        <v>0.2473816610996509</v>
      </c>
      <c r="M77" s="64">
        <v>49490</v>
      </c>
      <c r="N77" s="63">
        <v>0.13827470069106523</v>
      </c>
      <c r="O77" s="64">
        <v>49490</v>
      </c>
      <c r="P77" s="63">
        <v>0.15711365599777896</v>
      </c>
      <c r="Q77" s="64">
        <v>49490</v>
      </c>
      <c r="R77" s="63">
        <v>0.58040824819825965</v>
      </c>
      <c r="S77" s="64">
        <v>49490</v>
      </c>
      <c r="T77" s="63">
        <v>0.62555852833100967</v>
      </c>
      <c r="U77" s="64">
        <v>49490</v>
      </c>
      <c r="V77" s="63">
        <v>0.49778654593572774</v>
      </c>
      <c r="W77" s="64">
        <v>49490</v>
      </c>
      <c r="X77" s="63">
        <v>0.48934670914785694</v>
      </c>
      <c r="Y77" s="64">
        <v>49490</v>
      </c>
      <c r="Z77" s="63">
        <v>0.57180960341962705</v>
      </c>
      <c r="AA77" s="64">
        <v>49490</v>
      </c>
      <c r="AB77" s="63">
        <v>0.59395890436902632</v>
      </c>
      <c r="AC77" s="64">
        <v>49490</v>
      </c>
      <c r="AD77" s="63">
        <v>0.42708499545791978</v>
      </c>
      <c r="AE77" s="64">
        <v>49490</v>
      </c>
      <c r="AF77" s="63">
        <v>0.43423450055342006</v>
      </c>
    </row>
    <row r="78" spans="1:32" x14ac:dyDescent="0.25">
      <c r="A78" s="64">
        <v>49582</v>
      </c>
      <c r="B78" s="63">
        <v>0.40449771179913607</v>
      </c>
      <c r="C78" s="64">
        <v>49582</v>
      </c>
      <c r="D78" s="63">
        <v>0.4045656931564649</v>
      </c>
      <c r="E78" s="64">
        <v>49582</v>
      </c>
      <c r="F78" s="63">
        <v>0.52603582109301406</v>
      </c>
      <c r="G78" s="64">
        <v>49582</v>
      </c>
      <c r="H78" s="63">
        <v>0.53234020272687554</v>
      </c>
      <c r="I78" s="64">
        <v>49582</v>
      </c>
      <c r="J78" s="63">
        <v>0.24091057368681285</v>
      </c>
      <c r="K78" s="64">
        <v>49582</v>
      </c>
      <c r="L78" s="63">
        <v>0.24091057368681285</v>
      </c>
      <c r="M78" s="64">
        <v>49582</v>
      </c>
      <c r="N78" s="63">
        <v>0.13450067682034944</v>
      </c>
      <c r="O78" s="64">
        <v>49582</v>
      </c>
      <c r="P78" s="63">
        <v>0.15304426275355898</v>
      </c>
      <c r="Q78" s="64">
        <v>49582</v>
      </c>
      <c r="R78" s="63">
        <v>0.57465938144777196</v>
      </c>
      <c r="S78" s="64">
        <v>49582</v>
      </c>
      <c r="T78" s="63">
        <v>0.61985301644646273</v>
      </c>
      <c r="U78" s="64">
        <v>49582</v>
      </c>
      <c r="V78" s="63">
        <v>0.49224414215990503</v>
      </c>
      <c r="W78" s="64">
        <v>49582</v>
      </c>
      <c r="X78" s="63">
        <v>0.48386304859202622</v>
      </c>
      <c r="Y78" s="64">
        <v>49582</v>
      </c>
      <c r="Z78" s="63">
        <v>0.56613471777783531</v>
      </c>
      <c r="AA78" s="64">
        <v>49582</v>
      </c>
      <c r="AB78" s="63">
        <v>0.58829906988598069</v>
      </c>
      <c r="AC78" s="64">
        <v>49582</v>
      </c>
      <c r="AD78" s="63">
        <v>0.42110090180052834</v>
      </c>
      <c r="AE78" s="64">
        <v>49582</v>
      </c>
      <c r="AF78" s="63">
        <v>0.4283563622900089</v>
      </c>
    </row>
    <row r="79" spans="1:32" x14ac:dyDescent="0.25">
      <c r="A79" s="64">
        <v>49674</v>
      </c>
      <c r="B79" s="63">
        <v>0.39861899169630094</v>
      </c>
      <c r="C79" s="64">
        <v>49674</v>
      </c>
      <c r="D79" s="63">
        <v>0.39868609971956254</v>
      </c>
      <c r="E79" s="64">
        <v>49674</v>
      </c>
      <c r="F79" s="63">
        <v>0.51991282550135975</v>
      </c>
      <c r="G79" s="64">
        <v>49674</v>
      </c>
      <c r="H79" s="63">
        <v>0.52591808799611028</v>
      </c>
      <c r="I79" s="64">
        <v>49674</v>
      </c>
      <c r="J79" s="63">
        <v>0.23451351522040717</v>
      </c>
      <c r="K79" s="64">
        <v>49674</v>
      </c>
      <c r="L79" s="63">
        <v>0.23451351522040717</v>
      </c>
      <c r="M79" s="64">
        <v>49674</v>
      </c>
      <c r="N79" s="63">
        <v>0.13072665294963365</v>
      </c>
      <c r="O79" s="64">
        <v>49674</v>
      </c>
      <c r="P79" s="63">
        <v>0.14897486950933903</v>
      </c>
      <c r="Q79" s="64">
        <v>49674</v>
      </c>
      <c r="R79" s="63">
        <v>0.56885990581414903</v>
      </c>
      <c r="S79" s="64">
        <v>49674</v>
      </c>
      <c r="T79" s="63">
        <v>0.61407627082466465</v>
      </c>
      <c r="U79" s="64">
        <v>49674</v>
      </c>
      <c r="V79" s="63">
        <v>0.48674888594726762</v>
      </c>
      <c r="W79" s="64">
        <v>49674</v>
      </c>
      <c r="X79" s="63">
        <v>0.47843148165780314</v>
      </c>
      <c r="Y79" s="64">
        <v>49674</v>
      </c>
      <c r="Z79" s="63">
        <v>0.56045983213604367</v>
      </c>
      <c r="AA79" s="64">
        <v>49674</v>
      </c>
      <c r="AB79" s="63">
        <v>0.58263923540293494</v>
      </c>
      <c r="AC79" s="64">
        <v>49674</v>
      </c>
      <c r="AD79" s="63">
        <v>0.4151321774715544</v>
      </c>
      <c r="AE79" s="64">
        <v>49674</v>
      </c>
      <c r="AF79" s="63">
        <v>0.42249223902596988</v>
      </c>
    </row>
    <row r="80" spans="1:32" x14ac:dyDescent="0.25">
      <c r="A80" s="64">
        <v>49765</v>
      </c>
      <c r="B80" s="63">
        <v>0.3928249387335041</v>
      </c>
      <c r="C80" s="64">
        <v>49765</v>
      </c>
      <c r="D80" s="63">
        <v>0.39289118355000957</v>
      </c>
      <c r="E80" s="64">
        <v>49765</v>
      </c>
      <c r="F80" s="63">
        <v>0.51388187909834315</v>
      </c>
      <c r="G80" s="64">
        <v>49765</v>
      </c>
      <c r="H80" s="63">
        <v>0.51959023214494859</v>
      </c>
      <c r="I80" s="64">
        <v>49765</v>
      </c>
      <c r="J80" s="63">
        <v>0.22826572796637093</v>
      </c>
      <c r="K80" s="64">
        <v>49765</v>
      </c>
      <c r="L80" s="63">
        <v>0.22826572796637093</v>
      </c>
      <c r="M80" s="64">
        <v>49765</v>
      </c>
      <c r="N80" s="63">
        <v>0.12699365107751259</v>
      </c>
      <c r="O80" s="64">
        <v>49765</v>
      </c>
      <c r="P80" s="63">
        <v>0.1449497088003823</v>
      </c>
      <c r="Q80" s="64">
        <v>49765</v>
      </c>
      <c r="R80" s="63">
        <v>0.56314036764718689</v>
      </c>
      <c r="S80" s="64">
        <v>49765</v>
      </c>
      <c r="T80" s="63">
        <v>0.60837752376437326</v>
      </c>
      <c r="U80" s="64">
        <v>49765</v>
      </c>
      <c r="V80" s="63">
        <v>0.4813276862765955</v>
      </c>
      <c r="W80" s="64">
        <v>49765</v>
      </c>
      <c r="X80" s="63">
        <v>0.47307355033038029</v>
      </c>
      <c r="Y80" s="64">
        <v>49765</v>
      </c>
      <c r="Z80" s="63">
        <v>0.55485192463926081</v>
      </c>
      <c r="AA80" s="64">
        <v>49765</v>
      </c>
      <c r="AB80" s="63">
        <v>0.57704488507289908</v>
      </c>
      <c r="AC80" s="64">
        <v>49765</v>
      </c>
      <c r="AD80" s="63">
        <v>0.40924327956001877</v>
      </c>
      <c r="AE80" s="64">
        <v>49765</v>
      </c>
      <c r="AF80" s="63">
        <v>0.41670674137780989</v>
      </c>
    </row>
    <row r="81" spans="1:32" x14ac:dyDescent="0.25">
      <c r="A81" s="64">
        <v>49856</v>
      </c>
      <c r="B81" s="63">
        <v>0.38738809551666153</v>
      </c>
      <c r="C81" s="64">
        <v>49856</v>
      </c>
      <c r="D81" s="63">
        <v>0.38745348804066299</v>
      </c>
      <c r="E81" s="64">
        <v>49856</v>
      </c>
      <c r="F81" s="63">
        <v>0.50828944478145488</v>
      </c>
      <c r="G81" s="64">
        <v>49856</v>
      </c>
      <c r="H81" s="63">
        <v>0.5136829727906963</v>
      </c>
      <c r="I81" s="64">
        <v>49856</v>
      </c>
      <c r="J81" s="63">
        <v>0.22220050524272988</v>
      </c>
      <c r="K81" s="64">
        <v>49856</v>
      </c>
      <c r="L81" s="63">
        <v>0.22220050524272988</v>
      </c>
      <c r="M81" s="64">
        <v>49856</v>
      </c>
      <c r="N81" s="63">
        <v>0.12326064920539155</v>
      </c>
      <c r="O81" s="64">
        <v>49856</v>
      </c>
      <c r="P81" s="63">
        <v>0.1409245480914256</v>
      </c>
      <c r="Q81" s="64">
        <v>49856</v>
      </c>
      <c r="R81" s="63">
        <v>0.55771150411441728</v>
      </c>
      <c r="S81" s="64">
        <v>49856</v>
      </c>
      <c r="T81" s="63">
        <v>0.60294035169357307</v>
      </c>
      <c r="U81" s="64">
        <v>49856</v>
      </c>
      <c r="V81" s="63">
        <v>0.47615288514014659</v>
      </c>
      <c r="W81" s="64">
        <v>49856</v>
      </c>
      <c r="X81" s="63">
        <v>0.46796668457830559</v>
      </c>
      <c r="Y81" s="64">
        <v>49856</v>
      </c>
      <c r="Z81" s="63">
        <v>0.5493350843557735</v>
      </c>
      <c r="AA81" s="64">
        <v>49856</v>
      </c>
      <c r="AB81" s="63">
        <v>0.57151871920606345</v>
      </c>
      <c r="AC81" s="64">
        <v>49856</v>
      </c>
      <c r="AD81" s="63">
        <v>0.4036115040886572</v>
      </c>
      <c r="AE81" s="64">
        <v>49856</v>
      </c>
      <c r="AF81" s="63">
        <v>0.41117726823427397</v>
      </c>
    </row>
    <row r="82" spans="1:32" x14ac:dyDescent="0.25">
      <c r="A82" s="64">
        <v>49948</v>
      </c>
      <c r="B82" s="63">
        <v>0.38189387008918391</v>
      </c>
      <c r="C82" s="64">
        <v>49948</v>
      </c>
      <c r="D82" s="63">
        <v>0.38195840127600561</v>
      </c>
      <c r="E82" s="64">
        <v>49948</v>
      </c>
      <c r="F82" s="63">
        <v>0.50263555514240288</v>
      </c>
      <c r="G82" s="64">
        <v>49948</v>
      </c>
      <c r="H82" s="63">
        <v>0.50771079849848511</v>
      </c>
      <c r="I82" s="64">
        <v>49948</v>
      </c>
      <c r="J82" s="63">
        <v>0.21624800483720824</v>
      </c>
      <c r="K82" s="64">
        <v>49948</v>
      </c>
      <c r="L82" s="63">
        <v>0.21624800483720824</v>
      </c>
      <c r="M82" s="64">
        <v>49948</v>
      </c>
      <c r="N82" s="63">
        <v>0.11948662533467577</v>
      </c>
      <c r="O82" s="64">
        <v>49948</v>
      </c>
      <c r="P82" s="63">
        <v>0.13685515484720562</v>
      </c>
      <c r="Q82" s="64">
        <v>49948</v>
      </c>
      <c r="R82" s="63">
        <v>0.55221878485218201</v>
      </c>
      <c r="S82" s="64">
        <v>49948</v>
      </c>
      <c r="T82" s="63">
        <v>0.59743849135797067</v>
      </c>
      <c r="U82" s="64">
        <v>49948</v>
      </c>
      <c r="V82" s="63">
        <v>0.47092216891625438</v>
      </c>
      <c r="W82" s="64">
        <v>49948</v>
      </c>
      <c r="X82" s="63">
        <v>0.46280484143530681</v>
      </c>
      <c r="Y82" s="64">
        <v>49948</v>
      </c>
      <c r="Z82" s="63">
        <v>0.54375761945378642</v>
      </c>
      <c r="AA82" s="64">
        <v>49948</v>
      </c>
      <c r="AB82" s="63">
        <v>0.56593182624179006</v>
      </c>
      <c r="AC82" s="64">
        <v>49948</v>
      </c>
      <c r="AD82" s="63">
        <v>0.39791610353172291</v>
      </c>
      <c r="AE82" s="64">
        <v>49948</v>
      </c>
      <c r="AF82" s="63">
        <v>0.40558521336693437</v>
      </c>
    </row>
    <row r="83" spans="1:32" x14ac:dyDescent="0.25">
      <c r="A83" s="64">
        <v>50040</v>
      </c>
      <c r="B83" s="63">
        <v>0.37645163768455492</v>
      </c>
      <c r="C83" s="64">
        <v>50040</v>
      </c>
      <c r="D83" s="63">
        <v>0.37651531460006771</v>
      </c>
      <c r="E83" s="64">
        <v>50040</v>
      </c>
      <c r="F83" s="63">
        <v>0.49698166550335093</v>
      </c>
      <c r="G83" s="64">
        <v>50040</v>
      </c>
      <c r="H83" s="63">
        <v>0.50173862420627402</v>
      </c>
      <c r="I83" s="64">
        <v>50040</v>
      </c>
      <c r="J83" s="63">
        <v>0.21041051576558811</v>
      </c>
      <c r="K83" s="64">
        <v>50040</v>
      </c>
      <c r="L83" s="63">
        <v>0.21041051576558811</v>
      </c>
      <c r="M83" s="64">
        <v>50040</v>
      </c>
      <c r="N83" s="63">
        <v>0.11571260146395998</v>
      </c>
      <c r="O83" s="64">
        <v>50040</v>
      </c>
      <c r="P83" s="63">
        <v>0.13278576160298566</v>
      </c>
      <c r="Q83" s="64">
        <v>50040</v>
      </c>
      <c r="R83" s="63">
        <v>0.54663371204412803</v>
      </c>
      <c r="S83" s="64">
        <v>50040</v>
      </c>
      <c r="T83" s="63">
        <v>0.59182797035669277</v>
      </c>
      <c r="U83" s="64">
        <v>50040</v>
      </c>
      <c r="V83" s="63">
        <v>0.46571237159280704</v>
      </c>
      <c r="W83" s="64">
        <v>50040</v>
      </c>
      <c r="X83" s="63">
        <v>0.45766812257709499</v>
      </c>
      <c r="Y83" s="64">
        <v>50040</v>
      </c>
      <c r="Z83" s="63">
        <v>0.53818015455179924</v>
      </c>
      <c r="AA83" s="64">
        <v>50040</v>
      </c>
      <c r="AB83" s="63">
        <v>0.56034493327751667</v>
      </c>
      <c r="AC83" s="64">
        <v>50040</v>
      </c>
      <c r="AD83" s="63">
        <v>0.39218247922812194</v>
      </c>
      <c r="AE83" s="64">
        <v>50040</v>
      </c>
      <c r="AF83" s="63">
        <v>0.39995315628094291</v>
      </c>
    </row>
    <row r="84" spans="1:32" x14ac:dyDescent="0.25">
      <c r="A84" s="64">
        <v>50130</v>
      </c>
      <c r="B84" s="63">
        <v>0.37113969692308024</v>
      </c>
      <c r="C84" s="64">
        <v>50130</v>
      </c>
      <c r="D84" s="63">
        <v>0.37120254006928571</v>
      </c>
      <c r="E84" s="64">
        <v>50130</v>
      </c>
      <c r="F84" s="63">
        <v>0.49145881010251741</v>
      </c>
      <c r="G84" s="64">
        <v>50130</v>
      </c>
      <c r="H84" s="63">
        <v>0.49590340884283735</v>
      </c>
      <c r="I84" s="64">
        <v>50130</v>
      </c>
      <c r="J84" s="63">
        <v>0.20467713374470847</v>
      </c>
      <c r="K84" s="64">
        <v>50130</v>
      </c>
      <c r="L84" s="63">
        <v>0.20467713374470847</v>
      </c>
      <c r="M84" s="64">
        <v>50130</v>
      </c>
      <c r="N84" s="63">
        <v>0.11202062159043366</v>
      </c>
      <c r="O84" s="64">
        <v>50130</v>
      </c>
      <c r="P84" s="63">
        <v>0.12880483342929222</v>
      </c>
      <c r="Q84" s="64">
        <v>50130</v>
      </c>
      <c r="R84" s="63">
        <v>0.54118115545755652</v>
      </c>
      <c r="S84" s="64">
        <v>50130</v>
      </c>
      <c r="T84" s="63">
        <v>0.58634869672560264</v>
      </c>
      <c r="U84" s="64">
        <v>50130</v>
      </c>
      <c r="V84" s="63">
        <v>0.46062585319999955</v>
      </c>
      <c r="W84" s="64">
        <v>50130</v>
      </c>
      <c r="X84" s="63">
        <v>0.4526533673787359</v>
      </c>
      <c r="Y84" s="64">
        <v>50130</v>
      </c>
      <c r="Z84" s="63">
        <v>0.5327299965117086</v>
      </c>
      <c r="AA84" s="64">
        <v>50130</v>
      </c>
      <c r="AB84" s="63">
        <v>0.55488428642641274</v>
      </c>
      <c r="AC84" s="64">
        <v>50130</v>
      </c>
      <c r="AD84" s="63">
        <v>0.38658931479368835</v>
      </c>
      <c r="AE84" s="64">
        <v>50130</v>
      </c>
      <c r="AF84" s="63">
        <v>0.39445929156310372</v>
      </c>
    </row>
    <row r="85" spans="1:32" x14ac:dyDescent="0.25">
      <c r="A85" s="64">
        <v>50221</v>
      </c>
      <c r="B85" s="63">
        <v>0.36597469604207838</v>
      </c>
      <c r="C85" s="64">
        <v>50221</v>
      </c>
      <c r="D85" s="63">
        <v>0.36603672934466125</v>
      </c>
      <c r="E85" s="64">
        <v>50221</v>
      </c>
      <c r="F85" s="63">
        <v>0.48601422519444915</v>
      </c>
      <c r="G85" s="64">
        <v>50221</v>
      </c>
      <c r="H85" s="63">
        <v>0.49012589825058051</v>
      </c>
      <c r="I85" s="64">
        <v>50221</v>
      </c>
      <c r="J85" s="63">
        <v>0.19910033851649359</v>
      </c>
      <c r="K85" s="64">
        <v>50221</v>
      </c>
      <c r="L85" s="63">
        <v>0.19910033851649359</v>
      </c>
      <c r="M85" s="64">
        <v>50221</v>
      </c>
      <c r="N85" s="63">
        <v>0.10828761971831261</v>
      </c>
      <c r="O85" s="64">
        <v>50221</v>
      </c>
      <c r="P85" s="63">
        <v>0.12477967272033549</v>
      </c>
      <c r="Q85" s="64">
        <v>50221</v>
      </c>
      <c r="R85" s="63">
        <v>0.53585883899564468</v>
      </c>
      <c r="S85" s="64">
        <v>50221</v>
      </c>
      <c r="T85" s="63">
        <v>0.58096804695472593</v>
      </c>
      <c r="U85" s="64">
        <v>50221</v>
      </c>
      <c r="V85" s="63">
        <v>0.45565509300930573</v>
      </c>
      <c r="W85" s="64">
        <v>50221</v>
      </c>
      <c r="X85" s="63">
        <v>0.44775986704744603</v>
      </c>
      <c r="Y85" s="64">
        <v>50221</v>
      </c>
      <c r="Z85" s="63">
        <v>0.527323405001342</v>
      </c>
      <c r="AA85" s="64">
        <v>50221</v>
      </c>
      <c r="AB85" s="63">
        <v>0.54944533347252777</v>
      </c>
      <c r="AC85" s="64">
        <v>50221</v>
      </c>
      <c r="AD85" s="63">
        <v>0.38120586119211364</v>
      </c>
      <c r="AE85" s="64">
        <v>50221</v>
      </c>
      <c r="AF85" s="63">
        <v>0.38917521795961191</v>
      </c>
    </row>
    <row r="86" spans="1:32" x14ac:dyDescent="0.25">
      <c r="A86" s="64">
        <v>50313</v>
      </c>
      <c r="B86" s="63">
        <v>0.36075520766050245</v>
      </c>
      <c r="C86" s="64">
        <v>50313</v>
      </c>
      <c r="D86" s="63">
        <v>0.36081642252690088</v>
      </c>
      <c r="E86" s="64">
        <v>50313</v>
      </c>
      <c r="F86" s="63">
        <v>0.4805098096829955</v>
      </c>
      <c r="G86" s="64">
        <v>50313</v>
      </c>
      <c r="H86" s="63">
        <v>0.4842848985309362</v>
      </c>
      <c r="I86" s="64">
        <v>50313</v>
      </c>
      <c r="J86" s="63">
        <v>0.19362705926228449</v>
      </c>
      <c r="K86" s="64">
        <v>50313</v>
      </c>
      <c r="L86" s="63">
        <v>0.19362705926228449</v>
      </c>
      <c r="M86" s="64">
        <v>50313</v>
      </c>
      <c r="N86" s="63">
        <v>0.10451359584759681</v>
      </c>
      <c r="O86" s="64">
        <v>50313</v>
      </c>
      <c r="P86" s="63">
        <v>0.12071027947611551</v>
      </c>
      <c r="Q86" s="64">
        <v>50313</v>
      </c>
      <c r="R86" s="63">
        <v>0.53047406252472296</v>
      </c>
      <c r="S86" s="64">
        <v>50313</v>
      </c>
      <c r="T86" s="63">
        <v>0.57552357326311687</v>
      </c>
      <c r="U86" s="64">
        <v>50313</v>
      </c>
      <c r="V86" s="63">
        <v>0.45063063793997377</v>
      </c>
      <c r="W86" s="64">
        <v>50313</v>
      </c>
      <c r="X86" s="63">
        <v>0.44281369206502552</v>
      </c>
      <c r="Y86" s="64">
        <v>50313</v>
      </c>
      <c r="Z86" s="63">
        <v>0.52185740039745487</v>
      </c>
      <c r="AA86" s="64">
        <v>50313</v>
      </c>
      <c r="AB86" s="63">
        <v>0.54394661180486392</v>
      </c>
      <c r="AC86" s="64">
        <v>50313</v>
      </c>
      <c r="AD86" s="63">
        <v>0.37576167888672674</v>
      </c>
      <c r="AE86" s="64">
        <v>50313</v>
      </c>
      <c r="AF86" s="63">
        <v>0.38383141070123039</v>
      </c>
    </row>
    <row r="87" spans="1:32" x14ac:dyDescent="0.25">
      <c r="A87" s="64">
        <v>50405</v>
      </c>
      <c r="B87" s="63">
        <v>0.35558567579796957</v>
      </c>
      <c r="C87" s="64">
        <v>50405</v>
      </c>
      <c r="D87" s="63">
        <v>0.35564607897819228</v>
      </c>
      <c r="E87" s="64">
        <v>50405</v>
      </c>
      <c r="F87" s="63">
        <v>0.47500539417154192</v>
      </c>
      <c r="G87" s="64">
        <v>50405</v>
      </c>
      <c r="H87" s="63">
        <v>0.4784438988112919</v>
      </c>
      <c r="I87" s="64">
        <v>50405</v>
      </c>
      <c r="J87" s="63">
        <v>0.18826057000288499</v>
      </c>
      <c r="K87" s="64">
        <v>50405</v>
      </c>
      <c r="L87" s="63">
        <v>0.18826057000288499</v>
      </c>
      <c r="M87" s="64">
        <v>50405</v>
      </c>
      <c r="N87" s="63">
        <v>0.10073957197688103</v>
      </c>
      <c r="O87" s="64">
        <v>50405</v>
      </c>
      <c r="P87" s="63">
        <v>0.11664088623189554</v>
      </c>
      <c r="Q87" s="64">
        <v>50405</v>
      </c>
      <c r="R87" s="63">
        <v>0.52500187972549495</v>
      </c>
      <c r="S87" s="64">
        <v>50405</v>
      </c>
      <c r="T87" s="63">
        <v>0.56997578974352059</v>
      </c>
      <c r="U87" s="64">
        <v>50405</v>
      </c>
      <c r="V87" s="63">
        <v>0.44562661778450707</v>
      </c>
      <c r="W87" s="64">
        <v>50405</v>
      </c>
      <c r="X87" s="63">
        <v>0.43789171879386823</v>
      </c>
      <c r="Y87" s="64">
        <v>50405</v>
      </c>
      <c r="Z87" s="63">
        <v>0.51639139579356763</v>
      </c>
      <c r="AA87" s="64">
        <v>50405</v>
      </c>
      <c r="AB87" s="63">
        <v>0.53844789013719996</v>
      </c>
      <c r="AC87" s="64">
        <v>50405</v>
      </c>
      <c r="AD87" s="63">
        <v>0.37028295937477573</v>
      </c>
      <c r="AE87" s="64">
        <v>50405</v>
      </c>
      <c r="AF87" s="63">
        <v>0.37845093137897684</v>
      </c>
    </row>
    <row r="88" spans="1:32" x14ac:dyDescent="0.25">
      <c r="A88" s="64">
        <v>50495</v>
      </c>
      <c r="B88" s="63">
        <v>0.3505399030790935</v>
      </c>
      <c r="C88" s="64">
        <v>50495</v>
      </c>
      <c r="D88" s="63">
        <v>0.3505995140549551</v>
      </c>
      <c r="E88" s="64">
        <v>50495</v>
      </c>
      <c r="F88" s="63">
        <v>0.46962868468363445</v>
      </c>
      <c r="G88" s="64">
        <v>50495</v>
      </c>
      <c r="H88" s="63">
        <v>0.47273708326926672</v>
      </c>
      <c r="I88" s="64">
        <v>50495</v>
      </c>
      <c r="J88" s="63">
        <v>0.18299353109931271</v>
      </c>
      <c r="K88" s="64">
        <v>50495</v>
      </c>
      <c r="L88" s="63">
        <v>0.18299353109931271</v>
      </c>
      <c r="M88" s="64">
        <v>50495</v>
      </c>
      <c r="N88" s="63">
        <v>9.704759210335473E-2</v>
      </c>
      <c r="O88" s="64">
        <v>50495</v>
      </c>
      <c r="P88" s="63">
        <v>0.1126599580582021</v>
      </c>
      <c r="Q88" s="64">
        <v>50495</v>
      </c>
      <c r="R88" s="63">
        <v>0.51965951594000037</v>
      </c>
      <c r="S88" s="64">
        <v>50495</v>
      </c>
      <c r="T88" s="63">
        <v>0.5645577954294756</v>
      </c>
      <c r="U88" s="64">
        <v>50495</v>
      </c>
      <c r="V88" s="63">
        <v>0.44074100437633629</v>
      </c>
      <c r="W88" s="64">
        <v>50495</v>
      </c>
      <c r="X88" s="63">
        <v>0.43308660884331324</v>
      </c>
      <c r="Y88" s="64">
        <v>50495</v>
      </c>
      <c r="Z88" s="63">
        <v>0.51104969910129538</v>
      </c>
      <c r="AA88" s="64">
        <v>50495</v>
      </c>
      <c r="AB88" s="63">
        <v>0.53307301572800569</v>
      </c>
      <c r="AC88" s="64">
        <v>50495</v>
      </c>
      <c r="AD88" s="63">
        <v>0.36493841957151857</v>
      </c>
      <c r="AE88" s="64">
        <v>50495</v>
      </c>
      <c r="AF88" s="63">
        <v>0.37320244065209113</v>
      </c>
    </row>
    <row r="89" spans="1:32" x14ac:dyDescent="0.25">
      <c r="A89" s="64">
        <v>50586</v>
      </c>
      <c r="B89" s="63">
        <v>0.34563364167531518</v>
      </c>
      <c r="C89" s="64">
        <v>50586</v>
      </c>
      <c r="D89" s="63">
        <v>0.34569248321130214</v>
      </c>
      <c r="E89" s="64">
        <v>50586</v>
      </c>
      <c r="F89" s="63">
        <v>0.46433051544087978</v>
      </c>
      <c r="G89" s="64">
        <v>50586</v>
      </c>
      <c r="H89" s="63">
        <v>0.46709072047277483</v>
      </c>
      <c r="I89" s="64">
        <v>50586</v>
      </c>
      <c r="J89" s="63">
        <v>0.17786914562873943</v>
      </c>
      <c r="K89" s="64">
        <v>50586</v>
      </c>
      <c r="L89" s="63">
        <v>0.17786914562873943</v>
      </c>
      <c r="M89" s="64">
        <v>50586</v>
      </c>
      <c r="N89" s="63">
        <v>9.3314590231233674E-2</v>
      </c>
      <c r="O89" s="64">
        <v>50586</v>
      </c>
      <c r="P89" s="63">
        <v>0.10863479734924539</v>
      </c>
      <c r="Q89" s="64">
        <v>50586</v>
      </c>
      <c r="R89" s="63">
        <v>0.51444443841797305</v>
      </c>
      <c r="S89" s="64">
        <v>50586</v>
      </c>
      <c r="T89" s="63">
        <v>0.55923748483576252</v>
      </c>
      <c r="U89" s="64">
        <v>50586</v>
      </c>
      <c r="V89" s="63">
        <v>0.43596652709226952</v>
      </c>
      <c r="W89" s="64">
        <v>50586</v>
      </c>
      <c r="X89" s="63">
        <v>0.42839765829191151</v>
      </c>
      <c r="Y89" s="64">
        <v>50586</v>
      </c>
      <c r="Z89" s="63">
        <v>0.50574287497817227</v>
      </c>
      <c r="AA89" s="64">
        <v>50586</v>
      </c>
      <c r="AB89" s="63">
        <v>0.52771250169671413</v>
      </c>
      <c r="AC89" s="64">
        <v>50586</v>
      </c>
      <c r="AD89" s="63">
        <v>0.35979365477167502</v>
      </c>
      <c r="AE89" s="64">
        <v>50586</v>
      </c>
      <c r="AF89" s="63">
        <v>0.36815383889588238</v>
      </c>
    </row>
    <row r="90" spans="1:32" x14ac:dyDescent="0.25">
      <c r="A90" s="64">
        <v>50678</v>
      </c>
      <c r="B90" s="63">
        <v>0.34067564738160522</v>
      </c>
      <c r="C90" s="64">
        <v>50678</v>
      </c>
      <c r="D90" s="63">
        <v>0.34073371131540187</v>
      </c>
      <c r="E90" s="64">
        <v>50678</v>
      </c>
      <c r="F90" s="63">
        <v>0.45897412455809483</v>
      </c>
      <c r="G90" s="64">
        <v>50678</v>
      </c>
      <c r="H90" s="63">
        <v>0.46138230973346439</v>
      </c>
      <c r="I90" s="64">
        <v>50678</v>
      </c>
      <c r="J90" s="63">
        <v>0.17283969458476084</v>
      </c>
      <c r="K90" s="64">
        <v>50678</v>
      </c>
      <c r="L90" s="63">
        <v>0.17283969458476084</v>
      </c>
      <c r="M90" s="64">
        <v>50678</v>
      </c>
      <c r="N90" s="63">
        <v>8.9540566360517881E-2</v>
      </c>
      <c r="O90" s="64">
        <v>50678</v>
      </c>
      <c r="P90" s="63">
        <v>0.10456540410502542</v>
      </c>
      <c r="Q90" s="64">
        <v>50678</v>
      </c>
      <c r="R90" s="63">
        <v>0.50916829997433066</v>
      </c>
      <c r="S90" s="64">
        <v>50678</v>
      </c>
      <c r="T90" s="63">
        <v>0.55385425504575891</v>
      </c>
      <c r="U90" s="64">
        <v>50678</v>
      </c>
      <c r="V90" s="63">
        <v>0.43114049045032904</v>
      </c>
      <c r="W90" s="64">
        <v>50678</v>
      </c>
      <c r="X90" s="63">
        <v>0.42365824059047918</v>
      </c>
      <c r="Y90" s="64">
        <v>50678</v>
      </c>
      <c r="Z90" s="63">
        <v>0.50037773410644337</v>
      </c>
      <c r="AA90" s="64">
        <v>50678</v>
      </c>
      <c r="AB90" s="63">
        <v>0.52229308091782589</v>
      </c>
      <c r="AC90" s="64">
        <v>50678</v>
      </c>
      <c r="AD90" s="63">
        <v>0.35459094348181042</v>
      </c>
      <c r="AE90" s="64">
        <v>50678</v>
      </c>
      <c r="AF90" s="63">
        <v>0.36304823507338563</v>
      </c>
    </row>
    <row r="91" spans="1:32" x14ac:dyDescent="0.25">
      <c r="A91" s="64">
        <v>50770</v>
      </c>
      <c r="B91" s="63">
        <v>0.33576565863998131</v>
      </c>
      <c r="C91" s="64">
        <v>50770</v>
      </c>
      <c r="D91" s="63">
        <v>0.33582295141907625</v>
      </c>
      <c r="E91" s="64">
        <v>50770</v>
      </c>
      <c r="F91" s="63">
        <v>0.45361773367530994</v>
      </c>
      <c r="G91" s="64">
        <v>50770</v>
      </c>
      <c r="H91" s="63">
        <v>0.45567389899415395</v>
      </c>
      <c r="I91" s="64">
        <v>50770</v>
      </c>
      <c r="J91" s="63">
        <v>0.16790935729022186</v>
      </c>
      <c r="K91" s="64">
        <v>50770</v>
      </c>
      <c r="L91" s="63">
        <v>0.16790935729022186</v>
      </c>
      <c r="M91" s="64">
        <v>50770</v>
      </c>
      <c r="N91" s="63">
        <v>8.5766542489802103E-2</v>
      </c>
      <c r="O91" s="64">
        <v>50770</v>
      </c>
      <c r="P91" s="63">
        <v>0.10049601086080545</v>
      </c>
      <c r="Q91" s="64">
        <v>50770</v>
      </c>
      <c r="R91" s="63">
        <v>0.50380960922751339</v>
      </c>
      <c r="S91" s="64">
        <v>50770</v>
      </c>
      <c r="T91" s="63">
        <v>0.54837303187210928</v>
      </c>
      <c r="U91" s="64">
        <v>50770</v>
      </c>
      <c r="V91" s="63">
        <v>0.42633441716867876</v>
      </c>
      <c r="W91" s="64">
        <v>50770</v>
      </c>
      <c r="X91" s="63">
        <v>0.41894213802937119</v>
      </c>
      <c r="Y91" s="64">
        <v>50770</v>
      </c>
      <c r="Z91" s="63">
        <v>0.49501259323471442</v>
      </c>
      <c r="AA91" s="64">
        <v>50770</v>
      </c>
      <c r="AB91" s="63">
        <v>0.51687366013893765</v>
      </c>
      <c r="AC91" s="64">
        <v>50770</v>
      </c>
      <c r="AD91" s="63">
        <v>0.34935719870375437</v>
      </c>
      <c r="AE91" s="64">
        <v>50770</v>
      </c>
      <c r="AF91" s="63">
        <v>0.35790912687647208</v>
      </c>
    </row>
    <row r="92" spans="1:32" x14ac:dyDescent="0.25">
      <c r="A92" s="64">
        <v>50860</v>
      </c>
      <c r="B92" s="63">
        <v>0.33098094942398204</v>
      </c>
      <c r="C92" s="64">
        <v>50860</v>
      </c>
      <c r="D92" s="63">
        <v>0.33103748893038137</v>
      </c>
      <c r="E92" s="64">
        <v>50860</v>
      </c>
      <c r="F92" s="63">
        <v>0.44841414739336832</v>
      </c>
      <c r="G92" s="64">
        <v>50860</v>
      </c>
      <c r="H92" s="63">
        <v>0.45012743486793338</v>
      </c>
      <c r="I92" s="64">
        <v>50860</v>
      </c>
      <c r="J92" s="63">
        <v>0.16312742714520498</v>
      </c>
      <c r="K92" s="64">
        <v>50860</v>
      </c>
      <c r="L92" s="63">
        <v>0.16312742714520498</v>
      </c>
      <c r="M92" s="64">
        <v>50860</v>
      </c>
      <c r="N92" s="63">
        <v>8.2172816127809481E-2</v>
      </c>
      <c r="O92" s="64">
        <v>50860</v>
      </c>
      <c r="P92" s="63">
        <v>9.6616338388649844E-2</v>
      </c>
      <c r="Q92" s="64">
        <v>50860</v>
      </c>
      <c r="R92" s="63">
        <v>0.49859380485350446</v>
      </c>
      <c r="S92" s="64">
        <v>50860</v>
      </c>
      <c r="T92" s="63">
        <v>0.54304131422523971</v>
      </c>
      <c r="U92" s="64">
        <v>50860</v>
      </c>
      <c r="V92" s="63">
        <v>0.42165061385856178</v>
      </c>
      <c r="W92" s="64">
        <v>50860</v>
      </c>
      <c r="X92" s="63">
        <v>0.41434466855266605</v>
      </c>
      <c r="Y92" s="64">
        <v>50860</v>
      </c>
      <c r="Z92" s="63">
        <v>0.48981225836390224</v>
      </c>
      <c r="AA92" s="64">
        <v>50860</v>
      </c>
      <c r="AB92" s="63">
        <v>0.51161796058961717</v>
      </c>
      <c r="AC92" s="64">
        <v>50860</v>
      </c>
      <c r="AD92" s="63">
        <v>0.34428206622285218</v>
      </c>
      <c r="AE92" s="64">
        <v>50860</v>
      </c>
      <c r="AF92" s="63">
        <v>0.3529432028416909</v>
      </c>
    </row>
    <row r="93" spans="1:32" x14ac:dyDescent="0.25">
      <c r="A93" s="64">
        <v>50951</v>
      </c>
      <c r="B93" s="63">
        <v>0.32646176977205665</v>
      </c>
      <c r="C93" s="64">
        <v>50951</v>
      </c>
      <c r="D93" s="63">
        <v>0.32651756684934785</v>
      </c>
      <c r="E93" s="64">
        <v>50951</v>
      </c>
      <c r="F93" s="63">
        <v>0.4437777541888609</v>
      </c>
      <c r="G93" s="64">
        <v>50951</v>
      </c>
      <c r="H93" s="63">
        <v>0.44516995531108017</v>
      </c>
      <c r="I93" s="64">
        <v>50951</v>
      </c>
      <c r="J93" s="63">
        <v>0.15939224115618955</v>
      </c>
      <c r="K93" s="64">
        <v>50951</v>
      </c>
      <c r="L93" s="63">
        <v>0.15939224115618955</v>
      </c>
      <c r="M93" s="64">
        <v>50951</v>
      </c>
      <c r="N93" s="63">
        <v>8.0228028165601747E-2</v>
      </c>
      <c r="O93" s="64">
        <v>50951</v>
      </c>
      <c r="P93" s="63">
        <v>9.4434031447681963E-2</v>
      </c>
      <c r="Q93" s="64">
        <v>50951</v>
      </c>
      <c r="R93" s="63">
        <v>0.49377371508704504</v>
      </c>
      <c r="S93" s="64">
        <v>50951</v>
      </c>
      <c r="T93" s="63">
        <v>0.53817201228738765</v>
      </c>
      <c r="U93" s="64">
        <v>50951</v>
      </c>
      <c r="V93" s="63">
        <v>0.41722056064392149</v>
      </c>
      <c r="W93" s="64">
        <v>50951</v>
      </c>
      <c r="X93" s="63">
        <v>0.40997301388134977</v>
      </c>
      <c r="Y93" s="64">
        <v>50951</v>
      </c>
      <c r="Z93" s="63">
        <v>0.48538217380821441</v>
      </c>
      <c r="AA93" s="64">
        <v>50951</v>
      </c>
      <c r="AB93" s="63">
        <v>0.50709296732394227</v>
      </c>
      <c r="AC93" s="64">
        <v>50951</v>
      </c>
      <c r="AD93" s="63">
        <v>0.33992121128404829</v>
      </c>
      <c r="AE93" s="64">
        <v>50951</v>
      </c>
      <c r="AF93" s="63">
        <v>0.34897860693720834</v>
      </c>
    </row>
    <row r="94" spans="1:32" x14ac:dyDescent="0.25">
      <c r="A94" s="64">
        <v>51043</v>
      </c>
      <c r="B94" s="63">
        <v>0.32189606695447043</v>
      </c>
      <c r="C94" s="64">
        <v>51043</v>
      </c>
      <c r="D94" s="63">
        <v>0.32195111394483072</v>
      </c>
      <c r="E94" s="64">
        <v>51043</v>
      </c>
      <c r="F94" s="63">
        <v>0.43909041160847978</v>
      </c>
      <c r="G94" s="64">
        <v>51043</v>
      </c>
      <c r="H94" s="63">
        <v>0.44015799795689886</v>
      </c>
      <c r="I94" s="64">
        <v>51043</v>
      </c>
      <c r="J94" s="63">
        <v>0.15573916842165741</v>
      </c>
      <c r="K94" s="64">
        <v>51043</v>
      </c>
      <c r="L94" s="63">
        <v>0.15573916842165741</v>
      </c>
      <c r="M94" s="64">
        <v>51043</v>
      </c>
      <c r="N94" s="63">
        <v>7.8261868907106014E-2</v>
      </c>
      <c r="O94" s="64">
        <v>51043</v>
      </c>
      <c r="P94" s="63">
        <v>9.2227743111758381E-2</v>
      </c>
      <c r="Q94" s="64">
        <v>51043</v>
      </c>
      <c r="R94" s="63">
        <v>0.4888993315337421</v>
      </c>
      <c r="S94" s="64">
        <v>51043</v>
      </c>
      <c r="T94" s="63">
        <v>0.53324724370137555</v>
      </c>
      <c r="U94" s="64">
        <v>51043</v>
      </c>
      <c r="V94" s="63">
        <v>0.41274382959438105</v>
      </c>
      <c r="W94" s="64">
        <v>51043</v>
      </c>
      <c r="X94" s="63">
        <v>0.40555544462439519</v>
      </c>
      <c r="Y94" s="64">
        <v>51043</v>
      </c>
      <c r="Z94" s="63">
        <v>0.48090340700466183</v>
      </c>
      <c r="AA94" s="64">
        <v>51043</v>
      </c>
      <c r="AB94" s="63">
        <v>0.50251824885754559</v>
      </c>
      <c r="AC94" s="64">
        <v>51043</v>
      </c>
      <c r="AD94" s="63">
        <v>0.33551327097997474</v>
      </c>
      <c r="AE94" s="64">
        <v>51043</v>
      </c>
      <c r="AF94" s="63">
        <v>0.34497120956205146</v>
      </c>
    </row>
    <row r="95" spans="1:32" x14ac:dyDescent="0.25">
      <c r="A95" s="64">
        <v>51135</v>
      </c>
      <c r="B95" s="63">
        <v>0.31739940341918316</v>
      </c>
      <c r="C95" s="64">
        <v>51135</v>
      </c>
      <c r="D95" s="63">
        <v>0.31745371133886796</v>
      </c>
      <c r="E95" s="64">
        <v>51135</v>
      </c>
      <c r="F95" s="63">
        <v>0.43440306902809867</v>
      </c>
      <c r="G95" s="64">
        <v>51135</v>
      </c>
      <c r="H95" s="63">
        <v>0.43514604060271755</v>
      </c>
      <c r="I95" s="64">
        <v>51135</v>
      </c>
      <c r="J95" s="63">
        <v>0.15213108286320332</v>
      </c>
      <c r="K95" s="64">
        <v>51135</v>
      </c>
      <c r="L95" s="63">
        <v>0.15213108286320332</v>
      </c>
      <c r="M95" s="64">
        <v>51135</v>
      </c>
      <c r="N95" s="63">
        <v>7.629570964861028E-2</v>
      </c>
      <c r="O95" s="64">
        <v>51135</v>
      </c>
      <c r="P95" s="63">
        <v>9.0021454775834814E-2</v>
      </c>
      <c r="Q95" s="64">
        <v>51135</v>
      </c>
      <c r="R95" s="63">
        <v>0.48399578109693792</v>
      </c>
      <c r="S95" s="64">
        <v>51135</v>
      </c>
      <c r="T95" s="63">
        <v>0.52827940273093066</v>
      </c>
      <c r="U95" s="64">
        <v>51135</v>
      </c>
      <c r="V95" s="63">
        <v>0.40831118805310468</v>
      </c>
      <c r="W95" s="64">
        <v>51135</v>
      </c>
      <c r="X95" s="63">
        <v>0.40118463803030913</v>
      </c>
      <c r="Y95" s="64">
        <v>51135</v>
      </c>
      <c r="Z95" s="63">
        <v>0.47642464020110925</v>
      </c>
      <c r="AA95" s="64">
        <v>51135</v>
      </c>
      <c r="AB95" s="63">
        <v>0.49794353039114886</v>
      </c>
      <c r="AC95" s="64">
        <v>51135</v>
      </c>
      <c r="AD95" s="63">
        <v>0.33112372526253564</v>
      </c>
      <c r="AE95" s="64">
        <v>51135</v>
      </c>
      <c r="AF95" s="63">
        <v>0.34098065356720841</v>
      </c>
    </row>
    <row r="96" spans="1:32" x14ac:dyDescent="0.25">
      <c r="A96" s="64">
        <v>51226</v>
      </c>
      <c r="B96" s="63">
        <v>0.31296054120331962</v>
      </c>
      <c r="C96" s="64">
        <v>51226</v>
      </c>
      <c r="D96" s="63">
        <v>0.31301411956860448</v>
      </c>
      <c r="E96" s="64">
        <v>51226</v>
      </c>
      <c r="F96" s="63">
        <v>0.42977441747650214</v>
      </c>
      <c r="G96" s="64">
        <v>51226</v>
      </c>
      <c r="H96" s="63">
        <v>0.43019577808936527</v>
      </c>
      <c r="I96" s="64">
        <v>51226</v>
      </c>
      <c r="J96" s="63">
        <v>0.14861070278095703</v>
      </c>
      <c r="K96" s="64">
        <v>51226</v>
      </c>
      <c r="L96" s="63">
        <v>0.14861070278095703</v>
      </c>
      <c r="M96" s="64">
        <v>51226</v>
      </c>
      <c r="N96" s="63">
        <v>7.4350921686402546E-2</v>
      </c>
      <c r="O96" s="64">
        <v>51226</v>
      </c>
      <c r="P96" s="63">
        <v>8.7839147834866932E-2</v>
      </c>
      <c r="Q96" s="64">
        <v>51226</v>
      </c>
      <c r="R96" s="63">
        <v>0.47915487009371549</v>
      </c>
      <c r="S96" s="64">
        <v>51226</v>
      </c>
      <c r="T96" s="63">
        <v>0.52337370577083286</v>
      </c>
      <c r="U96" s="64">
        <v>51226</v>
      </c>
      <c r="V96" s="63">
        <v>0.40393433797356182</v>
      </c>
      <c r="W96" s="64">
        <v>51226</v>
      </c>
      <c r="X96" s="63">
        <v>0.3968691100961117</v>
      </c>
      <c r="Y96" s="64">
        <v>51226</v>
      </c>
      <c r="Z96" s="63">
        <v>0.47200114668375037</v>
      </c>
      <c r="AA96" s="64">
        <v>51226</v>
      </c>
      <c r="AB96" s="63">
        <v>0.49342422187758767</v>
      </c>
      <c r="AC96" s="64">
        <v>51226</v>
      </c>
      <c r="AD96" s="63">
        <v>0.32679425428450753</v>
      </c>
      <c r="AE96" s="64">
        <v>51226</v>
      </c>
      <c r="AF96" s="63">
        <v>0.33704583874074651</v>
      </c>
    </row>
    <row r="97" spans="1:32" x14ac:dyDescent="0.25">
      <c r="A97" s="64">
        <v>51317</v>
      </c>
      <c r="B97" s="63">
        <v>0.30867518110755476</v>
      </c>
      <c r="C97" s="64">
        <v>51317</v>
      </c>
      <c r="D97" s="63">
        <v>0.30872805542429665</v>
      </c>
      <c r="E97" s="64">
        <v>51317</v>
      </c>
      <c r="F97" s="63">
        <v>0.42527892235497239</v>
      </c>
      <c r="G97" s="64">
        <v>51317</v>
      </c>
      <c r="H97" s="63">
        <v>0.42536964872422905</v>
      </c>
      <c r="I97" s="64">
        <v>51317</v>
      </c>
      <c r="J97" s="63">
        <v>0.14520791132792299</v>
      </c>
      <c r="K97" s="64">
        <v>51317</v>
      </c>
      <c r="L97" s="63">
        <v>0.14520791132792299</v>
      </c>
      <c r="M97" s="64">
        <v>51317</v>
      </c>
      <c r="N97" s="63">
        <v>7.2406133724194799E-2</v>
      </c>
      <c r="O97" s="64">
        <v>51317</v>
      </c>
      <c r="P97" s="63">
        <v>8.5656840893899036E-2</v>
      </c>
      <c r="Q97" s="64">
        <v>51317</v>
      </c>
      <c r="R97" s="63">
        <v>0.47447460661426299</v>
      </c>
      <c r="S97" s="64">
        <v>51317</v>
      </c>
      <c r="T97" s="63">
        <v>0.51860811552031694</v>
      </c>
      <c r="U97" s="64">
        <v>51317</v>
      </c>
      <c r="V97" s="63">
        <v>0.39968838979116333</v>
      </c>
      <c r="W97" s="64">
        <v>51317</v>
      </c>
      <c r="X97" s="63">
        <v>0.3926872243139739</v>
      </c>
      <c r="Y97" s="64">
        <v>51317</v>
      </c>
      <c r="Z97" s="63">
        <v>0.46769101902564952</v>
      </c>
      <c r="AA97" s="64">
        <v>51317</v>
      </c>
      <c r="AB97" s="63">
        <v>0.48900269110038275</v>
      </c>
      <c r="AC97" s="64">
        <v>51317</v>
      </c>
      <c r="AD97" s="63">
        <v>0.32267741462500044</v>
      </c>
      <c r="AE97" s="64">
        <v>51317</v>
      </c>
      <c r="AF97" s="63">
        <v>0.33332371154183904</v>
      </c>
    </row>
    <row r="98" spans="1:32" x14ac:dyDescent="0.25">
      <c r="A98" s="64">
        <v>51409</v>
      </c>
      <c r="B98" s="63">
        <v>0.30434471851034173</v>
      </c>
      <c r="C98" s="64">
        <v>51409</v>
      </c>
      <c r="D98" s="63">
        <v>0.30439688134672149</v>
      </c>
      <c r="E98" s="64">
        <v>51409</v>
      </c>
      <c r="F98" s="63">
        <v>0.42073402618815114</v>
      </c>
      <c r="G98" s="64">
        <v>51409</v>
      </c>
      <c r="H98" s="63">
        <v>0.42049048497046493</v>
      </c>
      <c r="I98" s="64">
        <v>51409</v>
      </c>
      <c r="J98" s="63">
        <v>0.14188146178389283</v>
      </c>
      <c r="K98" s="64">
        <v>51409</v>
      </c>
      <c r="L98" s="63">
        <v>0.14188146178389283</v>
      </c>
      <c r="M98" s="64">
        <v>51409</v>
      </c>
      <c r="N98" s="63">
        <v>7.0439974465699065E-2</v>
      </c>
      <c r="O98" s="64">
        <v>51409</v>
      </c>
      <c r="P98" s="63">
        <v>8.3450552557975469E-2</v>
      </c>
      <c r="Q98" s="64">
        <v>51409</v>
      </c>
      <c r="R98" s="63">
        <v>0.46973975119586647</v>
      </c>
      <c r="S98" s="64">
        <v>51409</v>
      </c>
      <c r="T98" s="63">
        <v>0.51378646238673376</v>
      </c>
      <c r="U98" s="64">
        <v>51409</v>
      </c>
      <c r="V98" s="63">
        <v>0.39539668948821038</v>
      </c>
      <c r="W98" s="64">
        <v>51409</v>
      </c>
      <c r="X98" s="63">
        <v>0.38846039579213953</v>
      </c>
      <c r="Y98" s="64">
        <v>51409</v>
      </c>
      <c r="Z98" s="63">
        <v>0.46333352732734978</v>
      </c>
      <c r="AA98" s="64">
        <v>51409</v>
      </c>
      <c r="AB98" s="63">
        <v>0.48453257207287881</v>
      </c>
      <c r="AC98" s="64">
        <v>51409</v>
      </c>
      <c r="AD98" s="63">
        <v>0.31851412609631119</v>
      </c>
      <c r="AE98" s="64">
        <v>51409</v>
      </c>
      <c r="AF98" s="63">
        <v>0.32955933945296739</v>
      </c>
    </row>
    <row r="99" spans="1:32" x14ac:dyDescent="0.25">
      <c r="A99" s="64">
        <v>51501</v>
      </c>
      <c r="B99" s="63">
        <v>0.3000580220033216</v>
      </c>
      <c r="C99" s="64">
        <v>51501</v>
      </c>
      <c r="D99" s="63">
        <v>0.30010948006885663</v>
      </c>
      <c r="E99" s="64">
        <v>51501</v>
      </c>
      <c r="F99" s="63">
        <v>0.41618913002132985</v>
      </c>
      <c r="G99" s="64">
        <v>51501</v>
      </c>
      <c r="H99" s="63">
        <v>0.41561132121670086</v>
      </c>
      <c r="I99" s="64">
        <v>51501</v>
      </c>
      <c r="J99" s="63">
        <v>0.13862585982702763</v>
      </c>
      <c r="K99" s="64">
        <v>51501</v>
      </c>
      <c r="L99" s="63">
        <v>0.13862585982702763</v>
      </c>
      <c r="M99" s="64">
        <v>51501</v>
      </c>
      <c r="N99" s="63">
        <v>6.8473815207203331E-2</v>
      </c>
      <c r="O99" s="64">
        <v>51501</v>
      </c>
      <c r="P99" s="63">
        <v>8.1244264222051887E-2</v>
      </c>
      <c r="Q99" s="64">
        <v>51501</v>
      </c>
      <c r="R99" s="63">
        <v>0.46493536539045854</v>
      </c>
      <c r="S99" s="64">
        <v>51501</v>
      </c>
      <c r="T99" s="63">
        <v>0.50888354654557966</v>
      </c>
      <c r="U99" s="64">
        <v>51501</v>
      </c>
      <c r="V99" s="63">
        <v>0.3911249355002332</v>
      </c>
      <c r="W99" s="64">
        <v>51501</v>
      </c>
      <c r="X99" s="63">
        <v>0.3842558323509056</v>
      </c>
      <c r="Y99" s="64">
        <v>51501</v>
      </c>
      <c r="Z99" s="63">
        <v>0.45897603562905009</v>
      </c>
      <c r="AA99" s="64">
        <v>51501</v>
      </c>
      <c r="AB99" s="63">
        <v>0.48006245304537493</v>
      </c>
      <c r="AC99" s="64">
        <v>51501</v>
      </c>
      <c r="AD99" s="63">
        <v>0.3143242423632967</v>
      </c>
      <c r="AE99" s="64">
        <v>51501</v>
      </c>
      <c r="AF99" s="63">
        <v>0.32576543471209179</v>
      </c>
    </row>
    <row r="100" spans="1:32" x14ac:dyDescent="0.25">
      <c r="A100" s="64">
        <v>51591</v>
      </c>
      <c r="B100" s="63">
        <v>0.29587421914474848</v>
      </c>
      <c r="C100" s="64">
        <v>51591</v>
      </c>
      <c r="D100" s="63">
        <v>0.29592498938071493</v>
      </c>
      <c r="E100" s="64">
        <v>51591</v>
      </c>
      <c r="F100" s="63">
        <v>0.41175117782886261</v>
      </c>
      <c r="G100" s="64">
        <v>51591</v>
      </c>
      <c r="H100" s="63">
        <v>0.4108459424393649</v>
      </c>
      <c r="I100" s="64">
        <v>51591</v>
      </c>
      <c r="J100" s="63">
        <v>0.13541991320595712</v>
      </c>
      <c r="K100" s="64">
        <v>51591</v>
      </c>
      <c r="L100" s="63">
        <v>0.13541991320595712</v>
      </c>
      <c r="M100" s="64">
        <v>51591</v>
      </c>
      <c r="N100" s="63">
        <v>6.6550398541283598E-2</v>
      </c>
      <c r="O100" s="64">
        <v>51591</v>
      </c>
      <c r="P100" s="63">
        <v>7.9085938676039691E-2</v>
      </c>
      <c r="Q100" s="64">
        <v>51591</v>
      </c>
      <c r="R100" s="63">
        <v>0.46024573312837058</v>
      </c>
      <c r="S100" s="64">
        <v>51591</v>
      </c>
      <c r="T100" s="63">
        <v>0.50409638972799298</v>
      </c>
      <c r="U100" s="64">
        <v>51591</v>
      </c>
      <c r="V100" s="63">
        <v>0.38695460898964007</v>
      </c>
      <c r="W100" s="64">
        <v>51591</v>
      </c>
      <c r="X100" s="63">
        <v>0.38015137852169761</v>
      </c>
      <c r="Y100" s="64">
        <v>51591</v>
      </c>
      <c r="Z100" s="63">
        <v>0.45472029646404205</v>
      </c>
      <c r="AA100" s="64">
        <v>51591</v>
      </c>
      <c r="AB100" s="63">
        <v>0.47569569309275461</v>
      </c>
      <c r="AC100" s="64">
        <v>51591</v>
      </c>
      <c r="AD100" s="63">
        <v>0.31023843052517402</v>
      </c>
      <c r="AE100" s="64">
        <v>51591</v>
      </c>
      <c r="AF100" s="63">
        <v>0.3220670035866024</v>
      </c>
    </row>
    <row r="101" spans="1:32" x14ac:dyDescent="0.25">
      <c r="A101" s="64">
        <v>51682</v>
      </c>
      <c r="B101" s="63">
        <v>0.2918107407748069</v>
      </c>
      <c r="C101" s="64">
        <v>51682</v>
      </c>
      <c r="D101" s="63">
        <v>0.29186084338759011</v>
      </c>
      <c r="E101" s="64">
        <v>51682</v>
      </c>
      <c r="F101" s="63">
        <v>0.40740386499196346</v>
      </c>
      <c r="G101" s="64">
        <v>51682</v>
      </c>
      <c r="H101" s="63">
        <v>0.40616024789916638</v>
      </c>
      <c r="I101" s="64">
        <v>51682</v>
      </c>
      <c r="J101" s="63">
        <v>0.13231915589437215</v>
      </c>
      <c r="K101" s="64">
        <v>51682</v>
      </c>
      <c r="L101" s="63">
        <v>0.13231915589437215</v>
      </c>
      <c r="M101" s="64">
        <v>51682</v>
      </c>
      <c r="N101" s="63">
        <v>6.4605610579075851E-2</v>
      </c>
      <c r="O101" s="64">
        <v>51682</v>
      </c>
      <c r="P101" s="63">
        <v>7.6903631735071809E-2</v>
      </c>
      <c r="Q101" s="64">
        <v>51682</v>
      </c>
      <c r="R101" s="63">
        <v>0.45568121770800007</v>
      </c>
      <c r="S101" s="64">
        <v>51682</v>
      </c>
      <c r="T101" s="63">
        <v>0.49941373136819306</v>
      </c>
      <c r="U101" s="64">
        <v>51682</v>
      </c>
      <c r="V101" s="63">
        <v>0.38288513844685368</v>
      </c>
      <c r="W101" s="64">
        <v>51682</v>
      </c>
      <c r="X101" s="63">
        <v>0.37615096712999152</v>
      </c>
      <c r="Y101" s="64">
        <v>51682</v>
      </c>
      <c r="Z101" s="63">
        <v>0.45053801384860948</v>
      </c>
      <c r="AA101" s="64">
        <v>51682</v>
      </c>
      <c r="AB101" s="63">
        <v>0.47138668516754806</v>
      </c>
      <c r="AC101" s="64">
        <v>51682</v>
      </c>
      <c r="AD101" s="63">
        <v>0.30633046088627008</v>
      </c>
      <c r="AE101" s="64">
        <v>51682</v>
      </c>
      <c r="AF101" s="63">
        <v>0.31855089008241855</v>
      </c>
    </row>
    <row r="102" spans="1:32" x14ac:dyDescent="0.25">
      <c r="A102" s="64">
        <v>51774</v>
      </c>
      <c r="B102" s="63">
        <v>0.28770450548052934</v>
      </c>
      <c r="C102" s="64">
        <v>51774</v>
      </c>
      <c r="D102" s="63">
        <v>0.28775393342339095</v>
      </c>
      <c r="E102" s="64">
        <v>51774</v>
      </c>
      <c r="F102" s="63">
        <v>0.40300877948652702</v>
      </c>
      <c r="G102" s="64">
        <v>51774</v>
      </c>
      <c r="H102" s="63">
        <v>0.40142306221017454</v>
      </c>
      <c r="I102" s="64">
        <v>51774</v>
      </c>
      <c r="J102" s="63">
        <v>0.12928796433073003</v>
      </c>
      <c r="K102" s="64">
        <v>51774</v>
      </c>
      <c r="L102" s="63">
        <v>0.12928796433073003</v>
      </c>
      <c r="M102" s="64">
        <v>51774</v>
      </c>
      <c r="N102" s="63">
        <v>6.2639451320580131E-2</v>
      </c>
      <c r="O102" s="64">
        <v>51774</v>
      </c>
      <c r="P102" s="63">
        <v>7.4697343399148242E-2</v>
      </c>
      <c r="Q102" s="64">
        <v>51774</v>
      </c>
      <c r="R102" s="63">
        <v>0.45106354990414077</v>
      </c>
      <c r="S102" s="64">
        <v>51774</v>
      </c>
      <c r="T102" s="63">
        <v>0.49467610439126558</v>
      </c>
      <c r="U102" s="64">
        <v>51774</v>
      </c>
      <c r="V102" s="63">
        <v>0.37877181900299195</v>
      </c>
      <c r="W102" s="64">
        <v>51774</v>
      </c>
      <c r="X102" s="63">
        <v>0.37210755914490651</v>
      </c>
      <c r="Y102" s="64">
        <v>51774</v>
      </c>
      <c r="Z102" s="63">
        <v>0.44630977208355677</v>
      </c>
      <c r="AA102" s="64">
        <v>51774</v>
      </c>
      <c r="AB102" s="63">
        <v>0.46703032550689966</v>
      </c>
      <c r="AC102" s="64">
        <v>51774</v>
      </c>
      <c r="AD102" s="63">
        <v>0.30237839855869281</v>
      </c>
      <c r="AE102" s="64">
        <v>51774</v>
      </c>
      <c r="AF102" s="63">
        <v>0.31499481351737502</v>
      </c>
    </row>
    <row r="103" spans="1:32" x14ac:dyDescent="0.25">
      <c r="A103" s="64">
        <v>51866</v>
      </c>
      <c r="B103" s="63">
        <v>0.28363999723700134</v>
      </c>
      <c r="C103" s="64">
        <v>51866</v>
      </c>
      <c r="D103" s="63">
        <v>0.2836887568851032</v>
      </c>
      <c r="E103" s="64">
        <v>51866</v>
      </c>
      <c r="F103" s="63">
        <v>0.39861369398109059</v>
      </c>
      <c r="G103" s="64">
        <v>51866</v>
      </c>
      <c r="H103" s="63">
        <v>0.39668587652118265</v>
      </c>
      <c r="I103" s="64">
        <v>51866</v>
      </c>
      <c r="J103" s="63">
        <v>0.12632133187302858</v>
      </c>
      <c r="K103" s="64">
        <v>51866</v>
      </c>
      <c r="L103" s="63">
        <v>0.12632133187302858</v>
      </c>
      <c r="M103" s="64">
        <v>51866</v>
      </c>
      <c r="N103" s="63">
        <v>6.067329206208439E-2</v>
      </c>
      <c r="O103" s="64">
        <v>51866</v>
      </c>
      <c r="P103" s="63">
        <v>7.249105506322466E-2</v>
      </c>
      <c r="Q103" s="64">
        <v>51866</v>
      </c>
      <c r="R103" s="63">
        <v>0.44638003888603561</v>
      </c>
      <c r="S103" s="64">
        <v>51866</v>
      </c>
      <c r="T103" s="63">
        <v>0.48986123908935147</v>
      </c>
      <c r="U103" s="64">
        <v>51866</v>
      </c>
      <c r="V103" s="63">
        <v>0.37467765177878376</v>
      </c>
      <c r="W103" s="64">
        <v>51866</v>
      </c>
      <c r="X103" s="63">
        <v>0.36808535852985358</v>
      </c>
      <c r="Y103" s="64">
        <v>51866</v>
      </c>
      <c r="Z103" s="63">
        <v>0.44208153031850406</v>
      </c>
      <c r="AA103" s="64">
        <v>51866</v>
      </c>
      <c r="AB103" s="63">
        <v>0.46267396584625131</v>
      </c>
      <c r="AC103" s="64">
        <v>51866</v>
      </c>
      <c r="AD103" s="63">
        <v>0.29840108094904821</v>
      </c>
      <c r="AE103" s="64">
        <v>51866</v>
      </c>
      <c r="AF103" s="63">
        <v>0.3114095990320121</v>
      </c>
    </row>
    <row r="104" spans="1:32" x14ac:dyDescent="0.25">
      <c r="A104" s="64">
        <v>51956</v>
      </c>
      <c r="B104" s="63">
        <v>0.27967304588649583</v>
      </c>
      <c r="C104" s="64">
        <v>51956</v>
      </c>
      <c r="D104" s="63">
        <v>0.27972115330497582</v>
      </c>
      <c r="E104" s="64">
        <v>51956</v>
      </c>
      <c r="F104" s="63">
        <v>0.39432206587056845</v>
      </c>
      <c r="G104" s="64">
        <v>51956</v>
      </c>
      <c r="H104" s="63">
        <v>0.39205925684999793</v>
      </c>
      <c r="I104" s="64">
        <v>51956</v>
      </c>
      <c r="J104" s="63">
        <v>0.12339994730890187</v>
      </c>
      <c r="K104" s="64">
        <v>51956</v>
      </c>
      <c r="L104" s="63">
        <v>0.12339994730890187</v>
      </c>
      <c r="M104" s="64">
        <v>51956</v>
      </c>
      <c r="N104" s="63">
        <v>5.874987539616465E-2</v>
      </c>
      <c r="O104" s="64">
        <v>51956</v>
      </c>
      <c r="P104" s="63">
        <v>7.0332729517212464E-2</v>
      </c>
      <c r="Q104" s="64">
        <v>51956</v>
      </c>
      <c r="R104" s="63">
        <v>0.44180836528977824</v>
      </c>
      <c r="S104" s="64">
        <v>51956</v>
      </c>
      <c r="T104" s="63">
        <v>0.48516003317527118</v>
      </c>
      <c r="U104" s="64">
        <v>51956</v>
      </c>
      <c r="V104" s="63">
        <v>0.37068069482457161</v>
      </c>
      <c r="W104" s="64">
        <v>51956</v>
      </c>
      <c r="X104" s="63">
        <v>0.36415892743691541</v>
      </c>
      <c r="Y104" s="64">
        <v>51956</v>
      </c>
      <c r="Z104" s="63">
        <v>0.4379515087775272</v>
      </c>
      <c r="AA104" s="64">
        <v>51956</v>
      </c>
      <c r="AB104" s="63">
        <v>0.45841784627159737</v>
      </c>
      <c r="AC104" s="64">
        <v>51956</v>
      </c>
      <c r="AD104" s="63">
        <v>0.29452255565289254</v>
      </c>
      <c r="AE104" s="64">
        <v>51956</v>
      </c>
      <c r="AF104" s="63">
        <v>0.30791466264763345</v>
      </c>
    </row>
    <row r="105" spans="1:32" x14ac:dyDescent="0.25">
      <c r="A105" s="64">
        <v>52047</v>
      </c>
      <c r="B105" s="63">
        <v>0.27582012101096798</v>
      </c>
      <c r="C105" s="64">
        <v>52047</v>
      </c>
      <c r="D105" s="63">
        <v>0.27586759537199707</v>
      </c>
      <c r="E105" s="64">
        <v>52047</v>
      </c>
      <c r="F105" s="63">
        <v>0.39011875248635092</v>
      </c>
      <c r="G105" s="64">
        <v>52047</v>
      </c>
      <c r="H105" s="63">
        <v>0.38751158601781066</v>
      </c>
      <c r="I105" s="64">
        <v>52047</v>
      </c>
      <c r="J105" s="63">
        <v>0.12057441537782342</v>
      </c>
      <c r="K105" s="64">
        <v>52047</v>
      </c>
      <c r="L105" s="63">
        <v>0.12057441537782342</v>
      </c>
      <c r="M105" s="64">
        <v>52047</v>
      </c>
      <c r="N105" s="63">
        <v>5.6805087433956916E-2</v>
      </c>
      <c r="O105" s="64">
        <v>52047</v>
      </c>
      <c r="P105" s="63">
        <v>6.8150422576244582E-2</v>
      </c>
      <c r="Q105" s="64">
        <v>52047</v>
      </c>
      <c r="R105" s="63">
        <v>0.43735816176190295</v>
      </c>
      <c r="S105" s="64">
        <v>52047</v>
      </c>
      <c r="T105" s="63">
        <v>0.48056109230054389</v>
      </c>
      <c r="U105" s="64">
        <v>52047</v>
      </c>
      <c r="V105" s="63">
        <v>0.36678039016932457</v>
      </c>
      <c r="W105" s="64">
        <v>52047</v>
      </c>
      <c r="X105" s="63">
        <v>0.36033205927899392</v>
      </c>
      <c r="Y105" s="64">
        <v>52047</v>
      </c>
      <c r="Z105" s="63">
        <v>0.4338839211941023</v>
      </c>
      <c r="AA105" s="64">
        <v>52047</v>
      </c>
      <c r="AB105" s="63">
        <v>0.4542096047414072</v>
      </c>
      <c r="AC105" s="64">
        <v>52047</v>
      </c>
      <c r="AD105" s="63">
        <v>0.29081285550329566</v>
      </c>
      <c r="AE105" s="64">
        <v>52047</v>
      </c>
      <c r="AF105" s="63">
        <v>0.30459298141777319</v>
      </c>
    </row>
    <row r="106" spans="1:32" x14ac:dyDescent="0.25">
      <c r="A106" s="64">
        <v>52139</v>
      </c>
      <c r="B106" s="63">
        <v>0.27192666484282224</v>
      </c>
      <c r="C106" s="64">
        <v>52139</v>
      </c>
      <c r="D106" s="63">
        <v>0.27197349946505256</v>
      </c>
      <c r="E106" s="64">
        <v>52139</v>
      </c>
      <c r="F106" s="63">
        <v>0.38586924884516394</v>
      </c>
      <c r="G106" s="64">
        <v>52139</v>
      </c>
      <c r="H106" s="63">
        <v>0.38291394078087415</v>
      </c>
      <c r="I106" s="64">
        <v>52139</v>
      </c>
      <c r="J106" s="63">
        <v>0.11781227449040642</v>
      </c>
      <c r="K106" s="64">
        <v>52139</v>
      </c>
      <c r="L106" s="63">
        <v>0.11781227449040642</v>
      </c>
      <c r="M106" s="64">
        <v>52139</v>
      </c>
      <c r="N106" s="63">
        <v>5.4838928175461182E-2</v>
      </c>
      <c r="O106" s="64">
        <v>52139</v>
      </c>
      <c r="P106" s="63">
        <v>6.5944134240321001E-2</v>
      </c>
      <c r="Q106" s="64">
        <v>52139</v>
      </c>
      <c r="R106" s="63">
        <v>0.43285622548210662</v>
      </c>
      <c r="S106" s="64">
        <v>52139</v>
      </c>
      <c r="T106" s="63">
        <v>0.47590828288071574</v>
      </c>
      <c r="U106" s="64">
        <v>52139</v>
      </c>
      <c r="V106" s="63">
        <v>0.36283806095647692</v>
      </c>
      <c r="W106" s="64">
        <v>52139</v>
      </c>
      <c r="X106" s="63">
        <v>0.35646405567716211</v>
      </c>
      <c r="Y106" s="64">
        <v>52139</v>
      </c>
      <c r="Z106" s="63">
        <v>0.42977163484602438</v>
      </c>
      <c r="AA106" s="64">
        <v>52139</v>
      </c>
      <c r="AB106" s="63">
        <v>0.44995511879879735</v>
      </c>
      <c r="AC106" s="64">
        <v>52139</v>
      </c>
      <c r="AD106" s="63">
        <v>0.28706129926939744</v>
      </c>
      <c r="AE106" s="64">
        <v>52139</v>
      </c>
      <c r="AF106" s="63">
        <v>0.30123349102901714</v>
      </c>
    </row>
    <row r="107" spans="1:32" x14ac:dyDescent="0.25">
      <c r="A107" s="64">
        <v>52231</v>
      </c>
      <c r="B107" s="63">
        <v>0.26807299658061623</v>
      </c>
      <c r="C107" s="64">
        <v>52231</v>
      </c>
      <c r="D107" s="63">
        <v>0.26811919752125191</v>
      </c>
      <c r="E107" s="64">
        <v>52231</v>
      </c>
      <c r="F107" s="63">
        <v>0.38161974520397696</v>
      </c>
      <c r="G107" s="64">
        <v>52231</v>
      </c>
      <c r="H107" s="63">
        <v>0.37831629554393759</v>
      </c>
      <c r="I107" s="64">
        <v>52231</v>
      </c>
      <c r="J107" s="63">
        <v>0.1151089623976828</v>
      </c>
      <c r="K107" s="64">
        <v>52231</v>
      </c>
      <c r="L107" s="63">
        <v>0.1151089623976828</v>
      </c>
      <c r="M107" s="64">
        <v>52231</v>
      </c>
      <c r="N107" s="63">
        <v>5.2872768916965442E-2</v>
      </c>
      <c r="O107" s="64">
        <v>52231</v>
      </c>
      <c r="P107" s="63">
        <v>6.3737845904397433E-2</v>
      </c>
      <c r="Q107" s="64">
        <v>52231</v>
      </c>
      <c r="R107" s="63">
        <v>0.42829204204041255</v>
      </c>
      <c r="S107" s="64">
        <v>52231</v>
      </c>
      <c r="T107" s="63">
        <v>0.47118219732849437</v>
      </c>
      <c r="U107" s="64">
        <v>52231</v>
      </c>
      <c r="V107" s="63">
        <v>0.35891412227219016</v>
      </c>
      <c r="W107" s="64">
        <v>52231</v>
      </c>
      <c r="X107" s="63">
        <v>0.35261624922660262</v>
      </c>
      <c r="Y107" s="64">
        <v>52231</v>
      </c>
      <c r="Z107" s="63">
        <v>0.42565934849794645</v>
      </c>
      <c r="AA107" s="64">
        <v>52231</v>
      </c>
      <c r="AB107" s="63">
        <v>0.44570063285618744</v>
      </c>
      <c r="AC107" s="64">
        <v>52231</v>
      </c>
      <c r="AD107" s="63">
        <v>0.28328575976648629</v>
      </c>
      <c r="AE107" s="64">
        <v>52231</v>
      </c>
      <c r="AF107" s="63">
        <v>0.29784524295836773</v>
      </c>
    </row>
    <row r="108" spans="1:32" x14ac:dyDescent="0.25">
      <c r="A108" s="64">
        <v>52321</v>
      </c>
      <c r="B108" s="63">
        <v>0.26431182082056642</v>
      </c>
      <c r="C108" s="64">
        <v>52321</v>
      </c>
      <c r="D108" s="63">
        <v>0.26435740331331814</v>
      </c>
      <c r="E108" s="64">
        <v>52321</v>
      </c>
      <c r="F108" s="63">
        <v>0.37747085102436601</v>
      </c>
      <c r="G108" s="64">
        <v>52321</v>
      </c>
      <c r="H108" s="63">
        <v>0.37382658458534068</v>
      </c>
      <c r="I108" s="64">
        <v>52321</v>
      </c>
      <c r="J108" s="63">
        <v>0.11244688196395826</v>
      </c>
      <c r="K108" s="64">
        <v>52321</v>
      </c>
      <c r="L108" s="63">
        <v>0.11244688196395826</v>
      </c>
      <c r="M108" s="64">
        <v>52321</v>
      </c>
      <c r="N108" s="63">
        <v>5.0949352251045708E-2</v>
      </c>
      <c r="O108" s="64">
        <v>52321</v>
      </c>
      <c r="P108" s="63">
        <v>6.1579520358385237E-2</v>
      </c>
      <c r="Q108" s="64">
        <v>52321</v>
      </c>
      <c r="R108" s="63">
        <v>0.42383575148683672</v>
      </c>
      <c r="S108" s="64">
        <v>52321</v>
      </c>
      <c r="T108" s="63">
        <v>0.46656661099198482</v>
      </c>
      <c r="U108" s="64">
        <v>52321</v>
      </c>
      <c r="V108" s="63">
        <v>0.35508335136198538</v>
      </c>
      <c r="W108" s="64">
        <v>52321</v>
      </c>
      <c r="X108" s="63">
        <v>0.3488600619296322</v>
      </c>
      <c r="Y108" s="64">
        <v>52321</v>
      </c>
      <c r="Z108" s="63">
        <v>0.4216442195103377</v>
      </c>
      <c r="AA108" s="64">
        <v>52321</v>
      </c>
      <c r="AB108" s="63">
        <v>0.44154568146120021</v>
      </c>
      <c r="AC108" s="64">
        <v>52321</v>
      </c>
      <c r="AD108" s="63">
        <v>0.2796029583191626</v>
      </c>
      <c r="AE108" s="64">
        <v>52321</v>
      </c>
      <c r="AF108" s="63">
        <v>0.29454130059352301</v>
      </c>
    </row>
    <row r="109" spans="1:32" x14ac:dyDescent="0.25">
      <c r="A109" s="64">
        <v>52412</v>
      </c>
      <c r="B109" s="63">
        <v>0.26065869157062338</v>
      </c>
      <c r="C109" s="64">
        <v>52412</v>
      </c>
      <c r="D109" s="63">
        <v>0.26070367380565856</v>
      </c>
      <c r="E109" s="64">
        <v>52412</v>
      </c>
      <c r="F109" s="63">
        <v>0.37341730448714494</v>
      </c>
      <c r="G109" s="64">
        <v>52412</v>
      </c>
      <c r="H109" s="63">
        <v>0.36942424928605982</v>
      </c>
      <c r="I109" s="64">
        <v>52412</v>
      </c>
      <c r="J109" s="63">
        <v>0.10987214621675394</v>
      </c>
      <c r="K109" s="64">
        <v>52412</v>
      </c>
      <c r="L109" s="63">
        <v>0.10987214621675394</v>
      </c>
      <c r="M109" s="64">
        <v>52412</v>
      </c>
      <c r="N109" s="63">
        <v>4.9004564288837968E-2</v>
      </c>
      <c r="O109" s="64">
        <v>52412</v>
      </c>
      <c r="P109" s="63">
        <v>5.9397213417417355E-2</v>
      </c>
      <c r="Q109" s="64">
        <v>52412</v>
      </c>
      <c r="R109" s="63">
        <v>0.41947900019763318</v>
      </c>
      <c r="S109" s="64">
        <v>52412</v>
      </c>
      <c r="T109" s="63">
        <v>0.46203309563801703</v>
      </c>
      <c r="U109" s="64">
        <v>52412</v>
      </c>
      <c r="V109" s="63">
        <v>0.35134520280268855</v>
      </c>
      <c r="W109" s="64">
        <v>52412</v>
      </c>
      <c r="X109" s="63">
        <v>0.34519915507059235</v>
      </c>
      <c r="Y109" s="64">
        <v>52412</v>
      </c>
      <c r="Z109" s="63">
        <v>0.41771786085408091</v>
      </c>
      <c r="AA109" s="64">
        <v>52412</v>
      </c>
      <c r="AB109" s="63">
        <v>0.43746567208566584</v>
      </c>
      <c r="AC109" s="64">
        <v>52412</v>
      </c>
      <c r="AD109" s="63">
        <v>0.27606248948878004</v>
      </c>
      <c r="AE109" s="64">
        <v>52412</v>
      </c>
      <c r="AF109" s="63">
        <v>0.29138367743698829</v>
      </c>
    </row>
    <row r="110" spans="1:32" x14ac:dyDescent="0.25">
      <c r="A110" s="64">
        <v>52504</v>
      </c>
      <c r="B110" s="63">
        <v>0.25696798437257562</v>
      </c>
      <c r="C110" s="64">
        <v>52504</v>
      </c>
      <c r="D110" s="63">
        <v>0.25701236016057294</v>
      </c>
      <c r="E110" s="64">
        <v>52504</v>
      </c>
      <c r="F110" s="63">
        <v>0.36931921348248192</v>
      </c>
      <c r="G110" s="64">
        <v>52504</v>
      </c>
      <c r="H110" s="63">
        <v>0.36497353667579785</v>
      </c>
      <c r="I110" s="64">
        <v>52504</v>
      </c>
      <c r="J110" s="63">
        <v>0.1073540127196808</v>
      </c>
      <c r="K110" s="64">
        <v>52504</v>
      </c>
      <c r="L110" s="63">
        <v>0.1073540127196808</v>
      </c>
      <c r="M110" s="64">
        <v>52504</v>
      </c>
      <c r="N110" s="63">
        <v>4.7038405030342234E-2</v>
      </c>
      <c r="O110" s="64">
        <v>52504</v>
      </c>
      <c r="P110" s="63">
        <v>5.7190925081493781E-2</v>
      </c>
      <c r="Q110" s="64">
        <v>52504</v>
      </c>
      <c r="R110" s="63">
        <v>0.41507344323591172</v>
      </c>
      <c r="S110" s="64">
        <v>52504</v>
      </c>
      <c r="T110" s="63">
        <v>0.45744830895468375</v>
      </c>
      <c r="U110" s="64">
        <v>52504</v>
      </c>
      <c r="V110" s="63">
        <v>0.34756767134388511</v>
      </c>
      <c r="W110" s="64">
        <v>52504</v>
      </c>
      <c r="X110" s="63">
        <v>0.34149978661485469</v>
      </c>
      <c r="Y110" s="64">
        <v>52504</v>
      </c>
      <c r="Z110" s="63">
        <v>0.4137483553994038</v>
      </c>
      <c r="AA110" s="64">
        <v>52504</v>
      </c>
      <c r="AB110" s="63">
        <v>0.43334082744226843</v>
      </c>
      <c r="AC110" s="64">
        <v>52504</v>
      </c>
      <c r="AD110" s="63">
        <v>0.27248379208708523</v>
      </c>
      <c r="AE110" s="64">
        <v>52504</v>
      </c>
      <c r="AF110" s="63">
        <v>0.28819182233364549</v>
      </c>
    </row>
    <row r="111" spans="1:32" x14ac:dyDescent="0.25">
      <c r="A111" s="64">
        <v>52596</v>
      </c>
      <c r="B111" s="63">
        <v>0.25333373642060442</v>
      </c>
      <c r="C111" s="64">
        <v>52596</v>
      </c>
      <c r="D111" s="63">
        <v>0.25337751471374653</v>
      </c>
      <c r="E111" s="64">
        <v>52596</v>
      </c>
      <c r="F111" s="63">
        <v>0.36522112247781885</v>
      </c>
      <c r="G111" s="64">
        <v>52596</v>
      </c>
      <c r="H111" s="63">
        <v>0.36052282406553593</v>
      </c>
      <c r="I111" s="64">
        <v>52596</v>
      </c>
      <c r="J111" s="63">
        <v>0.10486688975079951</v>
      </c>
      <c r="K111" s="64">
        <v>52596</v>
      </c>
      <c r="L111" s="63">
        <v>0.10486688975079951</v>
      </c>
      <c r="M111" s="64">
        <v>52596</v>
      </c>
      <c r="N111" s="63">
        <v>4.50722457718465E-2</v>
      </c>
      <c r="O111" s="64">
        <v>52596</v>
      </c>
      <c r="P111" s="63">
        <v>5.4984636745570199E-2</v>
      </c>
      <c r="Q111" s="64">
        <v>52596</v>
      </c>
      <c r="R111" s="63">
        <v>0.41064744201025183</v>
      </c>
      <c r="S111" s="64">
        <v>52596</v>
      </c>
      <c r="T111" s="63">
        <v>0.45283156772626987</v>
      </c>
      <c r="U111" s="64">
        <v>52596</v>
      </c>
      <c r="V111" s="63">
        <v>0.34382744431906204</v>
      </c>
      <c r="W111" s="64">
        <v>52596</v>
      </c>
      <c r="X111" s="63">
        <v>0.3378393174372471</v>
      </c>
      <c r="Y111" s="64">
        <v>52596</v>
      </c>
      <c r="Z111" s="63">
        <v>0.40977884994472663</v>
      </c>
      <c r="AA111" s="64">
        <v>52596</v>
      </c>
      <c r="AB111" s="63">
        <v>0.42921598279887102</v>
      </c>
      <c r="AC111" s="64">
        <v>52596</v>
      </c>
      <c r="AD111" s="63">
        <v>0.26892000363595581</v>
      </c>
      <c r="AE111" s="64">
        <v>52596</v>
      </c>
      <c r="AF111" s="63">
        <v>0.2850102458229839</v>
      </c>
    </row>
    <row r="112" spans="1:32" x14ac:dyDescent="0.25">
      <c r="A112" s="64">
        <v>52687</v>
      </c>
      <c r="B112" s="63">
        <v>0.24975023473397781</v>
      </c>
      <c r="C112" s="64">
        <v>52687</v>
      </c>
      <c r="D112" s="63">
        <v>0.2497934230038665</v>
      </c>
      <c r="E112" s="64">
        <v>52687</v>
      </c>
      <c r="F112" s="63">
        <v>0.36119284934960366</v>
      </c>
      <c r="G112" s="64">
        <v>52687</v>
      </c>
      <c r="H112" s="63">
        <v>0.35615383264539302</v>
      </c>
      <c r="I112" s="64">
        <v>52687</v>
      </c>
      <c r="J112" s="63">
        <v>0.10244022385834801</v>
      </c>
      <c r="K112" s="64">
        <v>52687</v>
      </c>
      <c r="L112" s="63">
        <v>0.10244022385834801</v>
      </c>
      <c r="M112" s="64">
        <v>52687</v>
      </c>
      <c r="N112" s="63">
        <v>4.317840206453398E-2</v>
      </c>
      <c r="O112" s="64">
        <v>52687</v>
      </c>
      <c r="P112" s="63">
        <v>5.2856942436973101E-2</v>
      </c>
      <c r="Q112" s="64">
        <v>52687</v>
      </c>
      <c r="R112" s="63">
        <v>0.40629787035872805</v>
      </c>
      <c r="S112" s="64">
        <v>52687</v>
      </c>
      <c r="T112" s="63">
        <v>0.44829289425594449</v>
      </c>
      <c r="U112" s="64">
        <v>52687</v>
      </c>
      <c r="V112" s="63">
        <v>0.34013813896893275</v>
      </c>
      <c r="W112" s="64">
        <v>52687</v>
      </c>
      <c r="X112" s="63">
        <v>0.33421650442214634</v>
      </c>
      <c r="Y112" s="64">
        <v>52687</v>
      </c>
      <c r="Z112" s="63">
        <v>0.40587799022853199</v>
      </c>
      <c r="AA112" s="64">
        <v>52687</v>
      </c>
      <c r="AB112" s="63">
        <v>0.42516133531666062</v>
      </c>
      <c r="AC112" s="64">
        <v>52687</v>
      </c>
      <c r="AD112" s="63">
        <v>0.26541477676392028</v>
      </c>
      <c r="AE112" s="64">
        <v>52687</v>
      </c>
      <c r="AF112" s="63">
        <v>0.28185712299237059</v>
      </c>
    </row>
    <row r="113" spans="1:32" x14ac:dyDescent="0.25">
      <c r="A113" s="64">
        <v>52778</v>
      </c>
      <c r="B113" s="63">
        <v>0.24636012245504024</v>
      </c>
      <c r="C113" s="64">
        <v>52778</v>
      </c>
      <c r="D113" s="63">
        <v>0.24640273750766709</v>
      </c>
      <c r="E113" s="64">
        <v>52778</v>
      </c>
      <c r="F113" s="63">
        <v>0.35759927885628923</v>
      </c>
      <c r="G113" s="64">
        <v>52778</v>
      </c>
      <c r="H113" s="63">
        <v>0.3523583559464229</v>
      </c>
      <c r="I113" s="64">
        <v>52778</v>
      </c>
      <c r="J113" s="63">
        <v>0.10009461407608436</v>
      </c>
      <c r="K113" s="64">
        <v>52778</v>
      </c>
      <c r="L113" s="63">
        <v>0.10009461407608436</v>
      </c>
      <c r="M113" s="64">
        <v>52778</v>
      </c>
      <c r="N113" s="63">
        <v>4.2160799541419179E-2</v>
      </c>
      <c r="O113" s="64">
        <v>52778</v>
      </c>
      <c r="P113" s="63">
        <v>5.1668585405153421E-2</v>
      </c>
      <c r="Q113" s="64">
        <v>52778</v>
      </c>
      <c r="R113" s="63">
        <v>0.4024354175879834</v>
      </c>
      <c r="S113" s="64">
        <v>52778</v>
      </c>
      <c r="T113" s="63">
        <v>0.4442338563429063</v>
      </c>
      <c r="U113" s="64">
        <v>52778</v>
      </c>
      <c r="V113" s="63">
        <v>0.33662542658846117</v>
      </c>
      <c r="W113" s="64">
        <v>52778</v>
      </c>
      <c r="X113" s="63">
        <v>0.33055702881678312</v>
      </c>
      <c r="Y113" s="64">
        <v>52778</v>
      </c>
      <c r="Z113" s="63">
        <v>0.40241571228140605</v>
      </c>
      <c r="AA113" s="64">
        <v>52778</v>
      </c>
      <c r="AB113" s="63">
        <v>0.4215429123996236</v>
      </c>
      <c r="AC113" s="64">
        <v>52778</v>
      </c>
      <c r="AD113" s="63">
        <v>0.26225053555926259</v>
      </c>
      <c r="AE113" s="64">
        <v>52778</v>
      </c>
      <c r="AF113" s="63">
        <v>0.2785985869805066</v>
      </c>
    </row>
    <row r="114" spans="1:32" x14ac:dyDescent="0.25">
      <c r="A114" s="64">
        <v>52870</v>
      </c>
      <c r="B114" s="63">
        <v>0.24293436895718251</v>
      </c>
      <c r="C114" s="64">
        <v>52870</v>
      </c>
      <c r="D114" s="63">
        <v>0.24297640475665341</v>
      </c>
      <c r="E114" s="64">
        <v>52870</v>
      </c>
      <c r="F114" s="63">
        <v>0.3539662185773339</v>
      </c>
      <c r="G114" s="64">
        <v>52870</v>
      </c>
      <c r="H114" s="63">
        <v>0.34852117071229927</v>
      </c>
      <c r="I114" s="64">
        <v>52870</v>
      </c>
      <c r="J114" s="63">
        <v>9.7801628244194486E-2</v>
      </c>
      <c r="K114" s="64">
        <v>52870</v>
      </c>
      <c r="L114" s="63">
        <v>9.7801628244194486E-2</v>
      </c>
      <c r="M114" s="64">
        <v>52870</v>
      </c>
      <c r="N114" s="63">
        <v>4.113201457299543E-2</v>
      </c>
      <c r="O114" s="64">
        <v>52870</v>
      </c>
      <c r="P114" s="63">
        <v>5.0467169504852208E-2</v>
      </c>
      <c r="Q114" s="64">
        <v>52870</v>
      </c>
      <c r="R114" s="63">
        <v>0.39852808716466742</v>
      </c>
      <c r="S114" s="64">
        <v>52870</v>
      </c>
      <c r="T114" s="63">
        <v>0.44012737001767416</v>
      </c>
      <c r="U114" s="64">
        <v>52870</v>
      </c>
      <c r="V114" s="63">
        <v>0.33307488326515661</v>
      </c>
      <c r="W114" s="64">
        <v>52870</v>
      </c>
      <c r="X114" s="63">
        <v>0.32685817689283742</v>
      </c>
      <c r="Y114" s="64">
        <v>52870</v>
      </c>
      <c r="Z114" s="63">
        <v>0.39891538732387211</v>
      </c>
      <c r="AA114" s="64">
        <v>52870</v>
      </c>
      <c r="AB114" s="63">
        <v>0.41788472659338832</v>
      </c>
      <c r="AC114" s="64">
        <v>52870</v>
      </c>
      <c r="AD114" s="63">
        <v>0.25905047320364372</v>
      </c>
      <c r="AE114" s="64">
        <v>52870</v>
      </c>
      <c r="AF114" s="63">
        <v>0.27530305283658923</v>
      </c>
    </row>
    <row r="115" spans="1:32" x14ac:dyDescent="0.25">
      <c r="A115" s="64">
        <v>52962</v>
      </c>
      <c r="B115" s="63">
        <v>0.23954409622700013</v>
      </c>
      <c r="C115" s="64">
        <v>52962</v>
      </c>
      <c r="D115" s="63">
        <v>0.23958555856364266</v>
      </c>
      <c r="E115" s="64">
        <v>52962</v>
      </c>
      <c r="F115" s="63">
        <v>0.35033315829837863</v>
      </c>
      <c r="G115" s="64">
        <v>52962</v>
      </c>
      <c r="H115" s="63">
        <v>0.34468398547817564</v>
      </c>
      <c r="I115" s="64">
        <v>52962</v>
      </c>
      <c r="J115" s="63">
        <v>9.5557479020659086E-2</v>
      </c>
      <c r="K115" s="64">
        <v>52962</v>
      </c>
      <c r="L115" s="63">
        <v>9.5557479020659086E-2</v>
      </c>
      <c r="M115" s="64">
        <v>52962</v>
      </c>
      <c r="N115" s="63">
        <v>4.0103229604571682E-2</v>
      </c>
      <c r="O115" s="64">
        <v>52962</v>
      </c>
      <c r="P115" s="63">
        <v>4.9265753604551002E-2</v>
      </c>
      <c r="Q115" s="64">
        <v>52962</v>
      </c>
      <c r="R115" s="63">
        <v>0.39456722817551254</v>
      </c>
      <c r="S115" s="64">
        <v>52962</v>
      </c>
      <c r="T115" s="63">
        <v>0.43595832449326122</v>
      </c>
      <c r="U115" s="64">
        <v>52962</v>
      </c>
      <c r="V115" s="63">
        <v>0.32954128636843272</v>
      </c>
      <c r="W115" s="64">
        <v>52962</v>
      </c>
      <c r="X115" s="63">
        <v>0.32317775434818558</v>
      </c>
      <c r="Y115" s="64">
        <v>52962</v>
      </c>
      <c r="Z115" s="63">
        <v>0.39541506236633817</v>
      </c>
      <c r="AA115" s="64">
        <v>52962</v>
      </c>
      <c r="AB115" s="63">
        <v>0.41422654078715304</v>
      </c>
      <c r="AC115" s="64">
        <v>52962</v>
      </c>
      <c r="AD115" s="63">
        <v>0.25582732691701521</v>
      </c>
      <c r="AE115" s="64">
        <v>52962</v>
      </c>
      <c r="AF115" s="63">
        <v>0.27198133772443245</v>
      </c>
    </row>
    <row r="116" spans="1:32" x14ac:dyDescent="0.25">
      <c r="A116" s="64">
        <v>53052</v>
      </c>
      <c r="B116" s="63">
        <v>0.23623531369741216</v>
      </c>
      <c r="C116" s="64">
        <v>53052</v>
      </c>
      <c r="D116" s="63">
        <v>0.2362762163664974</v>
      </c>
      <c r="E116" s="64">
        <v>53052</v>
      </c>
      <c r="F116" s="63">
        <v>0.34678636639191707</v>
      </c>
      <c r="G116" s="64">
        <v>53052</v>
      </c>
      <c r="H116" s="63">
        <v>0.34093740827392049</v>
      </c>
      <c r="I116" s="64">
        <v>53052</v>
      </c>
      <c r="J116" s="63">
        <v>9.3347558177848428E-2</v>
      </c>
      <c r="K116" s="64">
        <v>53052</v>
      </c>
      <c r="L116" s="63">
        <v>9.3347558177848428E-2</v>
      </c>
      <c r="M116" s="64">
        <v>53052</v>
      </c>
      <c r="N116" s="63">
        <v>3.9096809526765836E-2</v>
      </c>
      <c r="O116" s="64">
        <v>53052</v>
      </c>
      <c r="P116" s="63">
        <v>4.8090455441212855E-2</v>
      </c>
      <c r="Q116" s="64">
        <v>53052</v>
      </c>
      <c r="R116" s="63">
        <v>0.39070175226187281</v>
      </c>
      <c r="S116" s="64">
        <v>53052</v>
      </c>
      <c r="T116" s="63">
        <v>0.43188849158044068</v>
      </c>
      <c r="U116" s="64">
        <v>53052</v>
      </c>
      <c r="V116" s="63">
        <v>0.32609172840348621</v>
      </c>
      <c r="W116" s="64">
        <v>53052</v>
      </c>
      <c r="X116" s="63">
        <v>0.31958464813558524</v>
      </c>
      <c r="Y116" s="64">
        <v>53052</v>
      </c>
      <c r="Z116" s="63">
        <v>0.39199733729295133</v>
      </c>
      <c r="AA116" s="64">
        <v>53052</v>
      </c>
      <c r="AB116" s="63">
        <v>0.41065386913295526</v>
      </c>
      <c r="AC116" s="64">
        <v>53052</v>
      </c>
      <c r="AD116" s="63">
        <v>0.25268472780818396</v>
      </c>
      <c r="AE116" s="64">
        <v>53052</v>
      </c>
      <c r="AF116" s="63">
        <v>0.26874249400802352</v>
      </c>
    </row>
    <row r="117" spans="1:32" x14ac:dyDescent="0.25">
      <c r="A117" s="64">
        <v>53143</v>
      </c>
      <c r="B117" s="63">
        <v>0.23302364463273861</v>
      </c>
      <c r="C117" s="64">
        <v>53143</v>
      </c>
      <c r="D117" s="63">
        <v>0.23306400425440618</v>
      </c>
      <c r="E117" s="64">
        <v>53143</v>
      </c>
      <c r="F117" s="63">
        <v>0.34332545208066323</v>
      </c>
      <c r="G117" s="64">
        <v>53143</v>
      </c>
      <c r="H117" s="63">
        <v>0.33727280703896811</v>
      </c>
      <c r="I117" s="64">
        <v>53143</v>
      </c>
      <c r="J117" s="63">
        <v>9.1210146354977317E-2</v>
      </c>
      <c r="K117" s="64">
        <v>53143</v>
      </c>
      <c r="L117" s="63">
        <v>9.1210146354977317E-2</v>
      </c>
      <c r="M117" s="64">
        <v>53143</v>
      </c>
      <c r="N117" s="63">
        <v>3.8079207003651042E-2</v>
      </c>
      <c r="O117" s="64">
        <v>53143</v>
      </c>
      <c r="P117" s="63">
        <v>4.6902098409393182E-2</v>
      </c>
      <c r="Q117" s="64">
        <v>53143</v>
      </c>
      <c r="R117" s="63">
        <v>0.38695279559257084</v>
      </c>
      <c r="S117" s="64">
        <v>53143</v>
      </c>
      <c r="T117" s="63">
        <v>0.42792093937435499</v>
      </c>
      <c r="U117" s="64">
        <v>53143</v>
      </c>
      <c r="V117" s="63">
        <v>0.32272797343311049</v>
      </c>
      <c r="W117" s="64">
        <v>53143</v>
      </c>
      <c r="X117" s="63">
        <v>0.31607722024643575</v>
      </c>
      <c r="Y117" s="64">
        <v>53143</v>
      </c>
      <c r="Z117" s="63">
        <v>0.38865346605845225</v>
      </c>
      <c r="AA117" s="64">
        <v>53143</v>
      </c>
      <c r="AB117" s="63">
        <v>0.40714443461618549</v>
      </c>
      <c r="AC117" s="64">
        <v>53143</v>
      </c>
      <c r="AD117" s="63">
        <v>0.24968732952108902</v>
      </c>
      <c r="AE117" s="64">
        <v>53143</v>
      </c>
      <c r="AF117" s="63">
        <v>0.26565090009227776</v>
      </c>
    </row>
    <row r="118" spans="1:32" x14ac:dyDescent="0.25">
      <c r="A118" s="64">
        <v>53235</v>
      </c>
      <c r="B118" s="63">
        <v>0.22977821450178948</v>
      </c>
      <c r="C118" s="64">
        <v>53235</v>
      </c>
      <c r="D118" s="63">
        <v>0.22981802535803056</v>
      </c>
      <c r="E118" s="64">
        <v>53235</v>
      </c>
      <c r="F118" s="63">
        <v>0.33982650574401102</v>
      </c>
      <c r="G118" s="64">
        <v>53235</v>
      </c>
      <c r="H118" s="63">
        <v>0.33356793546077457</v>
      </c>
      <c r="I118" s="64">
        <v>53235</v>
      </c>
      <c r="J118" s="63">
        <v>8.9120687543960811E-2</v>
      </c>
      <c r="K118" s="64">
        <v>53235</v>
      </c>
      <c r="L118" s="63">
        <v>8.9120687543960811E-2</v>
      </c>
      <c r="M118" s="64">
        <v>53235</v>
      </c>
      <c r="N118" s="63">
        <v>3.7050422035227293E-2</v>
      </c>
      <c r="O118" s="64">
        <v>53235</v>
      </c>
      <c r="P118" s="63">
        <v>4.5700682509091969E-2</v>
      </c>
      <c r="Q118" s="64">
        <v>53235</v>
      </c>
      <c r="R118" s="63">
        <v>0.3831603241997702</v>
      </c>
      <c r="S118" s="64">
        <v>53235</v>
      </c>
      <c r="T118" s="63">
        <v>0.42390707890793661</v>
      </c>
      <c r="U118" s="64">
        <v>53235</v>
      </c>
      <c r="V118" s="63">
        <v>0.31932798873067186</v>
      </c>
      <c r="W118" s="64">
        <v>53235</v>
      </c>
      <c r="X118" s="63">
        <v>0.31253205859623012</v>
      </c>
      <c r="Y118" s="64">
        <v>53235</v>
      </c>
      <c r="Z118" s="63">
        <v>0.38527284898621145</v>
      </c>
      <c r="AA118" s="64">
        <v>53235</v>
      </c>
      <c r="AB118" s="63">
        <v>0.40359643488494573</v>
      </c>
      <c r="AC118" s="64">
        <v>53235</v>
      </c>
      <c r="AD118" s="63">
        <v>0.24665597731782862</v>
      </c>
      <c r="AE118" s="64">
        <v>53235</v>
      </c>
      <c r="AF118" s="63">
        <v>0.26252418187178345</v>
      </c>
    </row>
    <row r="119" spans="1:32" x14ac:dyDescent="0.25">
      <c r="A119" s="64">
        <v>53327</v>
      </c>
      <c r="B119" s="63">
        <v>0.22656648837896243</v>
      </c>
      <c r="C119" s="64">
        <v>53327</v>
      </c>
      <c r="D119" s="63">
        <v>0.22660575595977236</v>
      </c>
      <c r="E119" s="64">
        <v>53327</v>
      </c>
      <c r="F119" s="63">
        <v>0.33632755940735881</v>
      </c>
      <c r="G119" s="64">
        <v>53327</v>
      </c>
      <c r="H119" s="63">
        <v>0.32986306388258096</v>
      </c>
      <c r="I119" s="64">
        <v>53327</v>
      </c>
      <c r="J119" s="63">
        <v>8.7075730569897314E-2</v>
      </c>
      <c r="K119" s="64">
        <v>53327</v>
      </c>
      <c r="L119" s="63">
        <v>8.7075730569897314E-2</v>
      </c>
      <c r="M119" s="64">
        <v>53327</v>
      </c>
      <c r="N119" s="63">
        <v>3.6021637066803544E-2</v>
      </c>
      <c r="O119" s="64">
        <v>53327</v>
      </c>
      <c r="P119" s="63">
        <v>4.4499266608790757E-2</v>
      </c>
      <c r="Q119" s="64">
        <v>53327</v>
      </c>
      <c r="R119" s="63">
        <v>0.37931687006279874</v>
      </c>
      <c r="S119" s="64">
        <v>53327</v>
      </c>
      <c r="T119" s="63">
        <v>0.41983362515962591</v>
      </c>
      <c r="U119" s="64">
        <v>53327</v>
      </c>
      <c r="V119" s="63">
        <v>0.31594416541019282</v>
      </c>
      <c r="W119" s="64">
        <v>53327</v>
      </c>
      <c r="X119" s="63">
        <v>0.30900470380236278</v>
      </c>
      <c r="Y119" s="64">
        <v>53327</v>
      </c>
      <c r="Z119" s="63">
        <v>0.38189223191397059</v>
      </c>
      <c r="AA119" s="64">
        <v>53327</v>
      </c>
      <c r="AB119" s="63">
        <v>0.40004843515370592</v>
      </c>
      <c r="AC119" s="64">
        <v>53327</v>
      </c>
      <c r="AD119" s="63">
        <v>0.24360228469866482</v>
      </c>
      <c r="AE119" s="64">
        <v>53327</v>
      </c>
      <c r="AF119" s="63">
        <v>0.2593721472561209</v>
      </c>
    </row>
    <row r="120" spans="1:32" x14ac:dyDescent="0.25">
      <c r="A120" s="64">
        <v>53417</v>
      </c>
      <c r="B120" s="63">
        <v>0.22343195874949051</v>
      </c>
      <c r="C120" s="64">
        <v>53417</v>
      </c>
      <c r="D120" s="63">
        <v>0.2234706961241873</v>
      </c>
      <c r="E120" s="64">
        <v>53417</v>
      </c>
      <c r="F120" s="63">
        <v>0.33291170376100676</v>
      </c>
      <c r="G120" s="64">
        <v>53417</v>
      </c>
      <c r="H120" s="63">
        <v>0.3262457014199811</v>
      </c>
      <c r="I120" s="64">
        <v>53417</v>
      </c>
      <c r="J120" s="63">
        <v>8.5061963841624941E-2</v>
      </c>
      <c r="K120" s="64">
        <v>53417</v>
      </c>
      <c r="L120" s="63">
        <v>8.5061963841624941E-2</v>
      </c>
      <c r="M120" s="64">
        <v>53417</v>
      </c>
      <c r="N120" s="63">
        <v>3.5015216988997698E-2</v>
      </c>
      <c r="O120" s="64">
        <v>53417</v>
      </c>
      <c r="P120" s="63">
        <v>4.3323968445452617E-2</v>
      </c>
      <c r="Q120" s="64">
        <v>53417</v>
      </c>
      <c r="R120" s="63">
        <v>0.37556594738072546</v>
      </c>
      <c r="S120" s="64">
        <v>53417</v>
      </c>
      <c r="T120" s="63">
        <v>0.41585708145194278</v>
      </c>
      <c r="U120" s="64">
        <v>53417</v>
      </c>
      <c r="V120" s="63">
        <v>0.31264082063046256</v>
      </c>
      <c r="W120" s="64">
        <v>53417</v>
      </c>
      <c r="X120" s="63">
        <v>0.30556103109565957</v>
      </c>
      <c r="Y120" s="64">
        <v>53417</v>
      </c>
      <c r="Z120" s="63">
        <v>0.37859092040305803</v>
      </c>
      <c r="AA120" s="64">
        <v>53417</v>
      </c>
      <c r="AB120" s="63">
        <v>0.39658291603862639</v>
      </c>
      <c r="AC120" s="64">
        <v>53417</v>
      </c>
      <c r="AD120" s="63">
        <v>0.24062492412650668</v>
      </c>
      <c r="AE120" s="64">
        <v>53417</v>
      </c>
      <c r="AF120" s="63">
        <v>0.25629877032144033</v>
      </c>
    </row>
    <row r="121" spans="1:32" x14ac:dyDescent="0.25">
      <c r="A121" s="64">
        <v>53508</v>
      </c>
      <c r="B121" s="63">
        <v>0.22038939244976977</v>
      </c>
      <c r="C121" s="64">
        <v>53508</v>
      </c>
      <c r="D121" s="63">
        <v>0.2204276153676856</v>
      </c>
      <c r="E121" s="64">
        <v>53508</v>
      </c>
      <c r="F121" s="63">
        <v>0.32957867428871357</v>
      </c>
      <c r="G121" s="64">
        <v>53508</v>
      </c>
      <c r="H121" s="63">
        <v>0.32270792559485356</v>
      </c>
      <c r="I121" s="64">
        <v>53508</v>
      </c>
      <c r="J121" s="63">
        <v>8.3114270182136629E-2</v>
      </c>
      <c r="K121" s="64">
        <v>53508</v>
      </c>
      <c r="L121" s="63">
        <v>8.3114270182136629E-2</v>
      </c>
      <c r="M121" s="64">
        <v>53508</v>
      </c>
      <c r="N121" s="63">
        <v>3.3997614465882904E-2</v>
      </c>
      <c r="O121" s="64">
        <v>53508</v>
      </c>
      <c r="P121" s="63">
        <v>4.2135611413632937E-2</v>
      </c>
      <c r="Q121" s="64">
        <v>53508</v>
      </c>
      <c r="R121" s="63">
        <v>0.37192767141367655</v>
      </c>
      <c r="S121" s="64">
        <v>53508</v>
      </c>
      <c r="T121" s="63">
        <v>0.41197999628337789</v>
      </c>
      <c r="U121" s="64">
        <v>53508</v>
      </c>
      <c r="V121" s="63">
        <v>0.30941967038699231</v>
      </c>
      <c r="W121" s="64">
        <v>53508</v>
      </c>
      <c r="X121" s="63">
        <v>0.30219942550880013</v>
      </c>
      <c r="Y121" s="64">
        <v>53508</v>
      </c>
      <c r="Z121" s="63">
        <v>0.37535286189093375</v>
      </c>
      <c r="AA121" s="64">
        <v>53508</v>
      </c>
      <c r="AB121" s="63">
        <v>0.39317085492926562</v>
      </c>
      <c r="AC121" s="64">
        <v>53508</v>
      </c>
      <c r="AD121" s="63">
        <v>0.23778546695068906</v>
      </c>
      <c r="AE121" s="64">
        <v>53508</v>
      </c>
      <c r="AF121" s="63">
        <v>0.25336545739753502</v>
      </c>
    </row>
    <row r="122" spans="1:32" x14ac:dyDescent="0.25">
      <c r="A122" s="64">
        <v>53600</v>
      </c>
      <c r="B122" s="63">
        <v>0.21731484675750906</v>
      </c>
      <c r="C122" s="64">
        <v>53600</v>
      </c>
      <c r="D122" s="63">
        <v>0.21735254980187038</v>
      </c>
      <c r="E122" s="64">
        <v>53600</v>
      </c>
      <c r="F122" s="63">
        <v>0.32620901811892272</v>
      </c>
      <c r="G122" s="64">
        <v>53600</v>
      </c>
      <c r="H122" s="63">
        <v>0.31913127311230699</v>
      </c>
      <c r="I122" s="64">
        <v>53600</v>
      </c>
      <c r="J122" s="63">
        <v>8.1210273191742607E-2</v>
      </c>
      <c r="K122" s="64">
        <v>53600</v>
      </c>
      <c r="L122" s="63">
        <v>8.1210273191742607E-2</v>
      </c>
      <c r="M122" s="64">
        <v>53600</v>
      </c>
      <c r="N122" s="63">
        <v>3.2968829497459148E-2</v>
      </c>
      <c r="O122" s="64">
        <v>53600</v>
      </c>
      <c r="P122" s="63">
        <v>4.0934195513331731E-2</v>
      </c>
      <c r="Q122" s="64">
        <v>53600</v>
      </c>
      <c r="R122" s="63">
        <v>0.36824720928044635</v>
      </c>
      <c r="S122" s="64">
        <v>53600</v>
      </c>
      <c r="T122" s="63">
        <v>0.40805772888410125</v>
      </c>
      <c r="U122" s="64">
        <v>53600</v>
      </c>
      <c r="V122" s="63">
        <v>0.30616382337073883</v>
      </c>
      <c r="W122" s="64">
        <v>53600</v>
      </c>
      <c r="X122" s="63">
        <v>0.29880166137705833</v>
      </c>
      <c r="Y122" s="64">
        <v>53600</v>
      </c>
      <c r="Z122" s="63">
        <v>0.37207922031823665</v>
      </c>
      <c r="AA122" s="64">
        <v>53600</v>
      </c>
      <c r="AB122" s="63">
        <v>0.38972129864287886</v>
      </c>
      <c r="AC122" s="64">
        <v>53600</v>
      </c>
      <c r="AD122" s="63">
        <v>0.23491382361532817</v>
      </c>
      <c r="AE122" s="64">
        <v>53600</v>
      </c>
      <c r="AF122" s="63">
        <v>0.25039879692613659</v>
      </c>
    </row>
    <row r="123" spans="1:32" x14ac:dyDescent="0.25">
      <c r="A123" s="64">
        <v>53692</v>
      </c>
      <c r="B123" s="63">
        <v>0.21427231990842238</v>
      </c>
      <c r="C123" s="64">
        <v>53692</v>
      </c>
      <c r="D123" s="63">
        <v>0.21430950828437795</v>
      </c>
      <c r="E123" s="64">
        <v>53692</v>
      </c>
      <c r="F123" s="63">
        <v>0.32283936194913182</v>
      </c>
      <c r="G123" s="64">
        <v>53692</v>
      </c>
      <c r="H123" s="63">
        <v>0.31555462062976042</v>
      </c>
      <c r="I123" s="64">
        <v>53692</v>
      </c>
      <c r="J123" s="63">
        <v>7.9346828024231486E-2</v>
      </c>
      <c r="K123" s="64">
        <v>53692</v>
      </c>
      <c r="L123" s="63">
        <v>7.9346828024231486E-2</v>
      </c>
      <c r="M123" s="64">
        <v>53692</v>
      </c>
      <c r="N123" s="63">
        <v>3.19400445290354E-2</v>
      </c>
      <c r="O123" s="64">
        <v>53692</v>
      </c>
      <c r="P123" s="63">
        <v>3.9732779613030518E-2</v>
      </c>
      <c r="Q123" s="64">
        <v>53692</v>
      </c>
      <c r="R123" s="63">
        <v>0.36451823469205391</v>
      </c>
      <c r="S123" s="64">
        <v>53692</v>
      </c>
      <c r="T123" s="63">
        <v>0.40407876970266465</v>
      </c>
      <c r="U123" s="64">
        <v>53692</v>
      </c>
      <c r="V123" s="63">
        <v>0.30292338697255516</v>
      </c>
      <c r="W123" s="64">
        <v>53692</v>
      </c>
      <c r="X123" s="63">
        <v>0.29542110511406883</v>
      </c>
      <c r="Y123" s="64">
        <v>53692</v>
      </c>
      <c r="Z123" s="63">
        <v>0.36880557874553954</v>
      </c>
      <c r="AA123" s="64">
        <v>53692</v>
      </c>
      <c r="AB123" s="63">
        <v>0.38627174235649209</v>
      </c>
      <c r="AC123" s="64">
        <v>53692</v>
      </c>
      <c r="AD123" s="63">
        <v>0.23202054694438923</v>
      </c>
      <c r="AE123" s="64">
        <v>53692</v>
      </c>
      <c r="AF123" s="63">
        <v>0.24740764298490014</v>
      </c>
    </row>
    <row r="124" spans="1:32" x14ac:dyDescent="0.25">
      <c r="A124" s="64">
        <v>53782</v>
      </c>
      <c r="B124" s="63">
        <v>0.21130292055771505</v>
      </c>
      <c r="C124" s="64">
        <v>53782</v>
      </c>
      <c r="D124" s="63">
        <v>0.21133960664662238</v>
      </c>
      <c r="E124" s="64">
        <v>53782</v>
      </c>
      <c r="F124" s="63">
        <v>0.31955019368045584</v>
      </c>
      <c r="G124" s="64">
        <v>53782</v>
      </c>
      <c r="H124" s="63">
        <v>0.3120629259136109</v>
      </c>
      <c r="I124" s="64">
        <v>53782</v>
      </c>
      <c r="J124" s="63">
        <v>7.7511804634552595E-2</v>
      </c>
      <c r="K124" s="64">
        <v>53782</v>
      </c>
      <c r="L124" s="63">
        <v>7.7511804634552595E-2</v>
      </c>
      <c r="M124" s="64">
        <v>53782</v>
      </c>
      <c r="N124" s="63">
        <v>3.0933624451229557E-2</v>
      </c>
      <c r="O124" s="64">
        <v>53782</v>
      </c>
      <c r="P124" s="63">
        <v>3.8557481449692371E-2</v>
      </c>
      <c r="Q124" s="64">
        <v>53782</v>
      </c>
      <c r="R124" s="63">
        <v>0.3608780916113602</v>
      </c>
      <c r="S124" s="64">
        <v>53782</v>
      </c>
      <c r="T124" s="63">
        <v>0.40019353080210252</v>
      </c>
      <c r="U124" s="64">
        <v>53782</v>
      </c>
      <c r="V124" s="63">
        <v>0.2997600205927482</v>
      </c>
      <c r="W124" s="64">
        <v>53782</v>
      </c>
      <c r="X124" s="63">
        <v>0.29212074544529149</v>
      </c>
      <c r="Y124" s="64">
        <v>53782</v>
      </c>
      <c r="Z124" s="63">
        <v>0.36561012551644051</v>
      </c>
      <c r="AA124" s="64">
        <v>53782</v>
      </c>
      <c r="AB124" s="63">
        <v>0.38290377657380092</v>
      </c>
      <c r="AC124" s="64">
        <v>53782</v>
      </c>
      <c r="AD124" s="63">
        <v>0.22919875903888823</v>
      </c>
      <c r="AE124" s="64">
        <v>53782</v>
      </c>
      <c r="AF124" s="63">
        <v>0.2444902695278996</v>
      </c>
    </row>
    <row r="125" spans="1:32" x14ac:dyDescent="0.25">
      <c r="A125" s="64">
        <v>53873</v>
      </c>
      <c r="B125" s="63">
        <v>0.20842060276111465</v>
      </c>
      <c r="C125" s="64">
        <v>53873</v>
      </c>
      <c r="D125" s="63">
        <v>0.20845680148687026</v>
      </c>
      <c r="E125" s="64">
        <v>53873</v>
      </c>
      <c r="F125" s="63">
        <v>0.3163488322195363</v>
      </c>
      <c r="G125" s="64">
        <v>53873</v>
      </c>
      <c r="H125" s="63">
        <v>0.30865627110685845</v>
      </c>
      <c r="I125" s="64">
        <v>53873</v>
      </c>
      <c r="J125" s="63">
        <v>7.5736989622012876E-2</v>
      </c>
      <c r="K125" s="64">
        <v>53873</v>
      </c>
      <c r="L125" s="63">
        <v>7.5736989622012876E-2</v>
      </c>
      <c r="M125" s="64">
        <v>53873</v>
      </c>
      <c r="N125" s="63">
        <v>2.991602192811476E-2</v>
      </c>
      <c r="O125" s="64">
        <v>53873</v>
      </c>
      <c r="P125" s="63">
        <v>3.7369124417872698E-2</v>
      </c>
      <c r="Q125" s="64">
        <v>53873</v>
      </c>
      <c r="R125" s="63">
        <v>0.35733100589320316</v>
      </c>
      <c r="S125" s="64">
        <v>53873</v>
      </c>
      <c r="T125" s="63">
        <v>0.39638924643885365</v>
      </c>
      <c r="U125" s="64">
        <v>53873</v>
      </c>
      <c r="V125" s="63">
        <v>0.29667539495841483</v>
      </c>
      <c r="W125" s="64">
        <v>53873</v>
      </c>
      <c r="X125" s="63">
        <v>0.28889898793924818</v>
      </c>
      <c r="Y125" s="64">
        <v>53873</v>
      </c>
      <c r="Z125" s="63">
        <v>0.36249987145295065</v>
      </c>
      <c r="AA125" s="64">
        <v>53873</v>
      </c>
      <c r="AB125" s="63">
        <v>0.37961183818795463</v>
      </c>
      <c r="AC125" s="64">
        <v>53873</v>
      </c>
      <c r="AD125" s="63">
        <v>0.22649329535379817</v>
      </c>
      <c r="AE125" s="64">
        <v>53873</v>
      </c>
      <c r="AF125" s="63">
        <v>0.24169097638323717</v>
      </c>
    </row>
    <row r="126" spans="1:32" x14ac:dyDescent="0.25">
      <c r="A126" s="64">
        <v>53965</v>
      </c>
      <c r="B126" s="63">
        <v>0.20550866790655864</v>
      </c>
      <c r="C126" s="64">
        <v>53965</v>
      </c>
      <c r="D126" s="63">
        <v>0.20554437425494629</v>
      </c>
      <c r="E126" s="64">
        <v>53965</v>
      </c>
      <c r="F126" s="63">
        <v>0.31311229096234289</v>
      </c>
      <c r="G126" s="64">
        <v>53965</v>
      </c>
      <c r="H126" s="63">
        <v>0.30521218053299881</v>
      </c>
      <c r="I126" s="64">
        <v>53965</v>
      </c>
      <c r="J126" s="63">
        <v>7.4001191632243696E-2</v>
      </c>
      <c r="K126" s="64">
        <v>53965</v>
      </c>
      <c r="L126" s="63">
        <v>7.4001191632243696E-2</v>
      </c>
      <c r="M126" s="64">
        <v>53965</v>
      </c>
      <c r="N126" s="63">
        <v>2.8887236959691011E-2</v>
      </c>
      <c r="O126" s="64">
        <v>53965</v>
      </c>
      <c r="P126" s="63">
        <v>3.6167708517571485E-2</v>
      </c>
      <c r="Q126" s="64">
        <v>53965</v>
      </c>
      <c r="R126" s="63">
        <v>0.3537443480511312</v>
      </c>
      <c r="S126" s="64">
        <v>53965</v>
      </c>
      <c r="T126" s="63">
        <v>0.39254220034808063</v>
      </c>
      <c r="U126" s="64">
        <v>53965</v>
      </c>
      <c r="V126" s="63">
        <v>0.29355829365909486</v>
      </c>
      <c r="W126" s="64">
        <v>53965</v>
      </c>
      <c r="X126" s="63">
        <v>0.28564333160683797</v>
      </c>
      <c r="Y126" s="64">
        <v>53965</v>
      </c>
      <c r="Z126" s="63">
        <v>0.3593554387733785</v>
      </c>
      <c r="AA126" s="64">
        <v>53965</v>
      </c>
      <c r="AB126" s="63">
        <v>0.3762837246550112</v>
      </c>
      <c r="AC126" s="64">
        <v>53965</v>
      </c>
      <c r="AD126" s="63">
        <v>0.22375855051718394</v>
      </c>
      <c r="AE126" s="64">
        <v>53965</v>
      </c>
      <c r="AF126" s="63">
        <v>0.2388612932040679</v>
      </c>
    </row>
    <row r="127" spans="1:32" x14ac:dyDescent="0.25">
      <c r="A127" s="64">
        <v>54057</v>
      </c>
      <c r="B127" s="63">
        <v>0.20264198185967344</v>
      </c>
      <c r="C127" s="64">
        <v>54057</v>
      </c>
      <c r="D127" s="63">
        <v>0.20267720334199474</v>
      </c>
      <c r="E127" s="64">
        <v>54057</v>
      </c>
      <c r="F127" s="63">
        <v>0.30987574970514953</v>
      </c>
      <c r="G127" s="64">
        <v>54057</v>
      </c>
      <c r="H127" s="63">
        <v>0.30176808995913923</v>
      </c>
      <c r="I127" s="64">
        <v>54057</v>
      </c>
      <c r="J127" s="63">
        <v>7.2286769797694064E-2</v>
      </c>
      <c r="K127" s="64">
        <v>54057</v>
      </c>
      <c r="L127" s="63">
        <v>7.2286769797694064E-2</v>
      </c>
      <c r="M127" s="64">
        <v>54057</v>
      </c>
      <c r="N127" s="63">
        <v>2.7858451991267262E-2</v>
      </c>
      <c r="O127" s="64">
        <v>54057</v>
      </c>
      <c r="P127" s="63">
        <v>3.4966292617270273E-2</v>
      </c>
      <c r="Q127" s="64">
        <v>54057</v>
      </c>
      <c r="R127" s="63">
        <v>0.35014464068951756</v>
      </c>
      <c r="S127" s="64">
        <v>54057</v>
      </c>
      <c r="T127" s="63">
        <v>0.38867411335058372</v>
      </c>
      <c r="U127" s="64">
        <v>54057</v>
      </c>
      <c r="V127" s="63">
        <v>0.29047246139990801</v>
      </c>
      <c r="W127" s="64">
        <v>54057</v>
      </c>
      <c r="X127" s="63">
        <v>0.28242078752438737</v>
      </c>
      <c r="Y127" s="64">
        <v>54057</v>
      </c>
      <c r="Z127" s="63">
        <v>0.35621100609380635</v>
      </c>
      <c r="AA127" s="64">
        <v>54057</v>
      </c>
      <c r="AB127" s="63">
        <v>0.37295561112206776</v>
      </c>
      <c r="AC127" s="64">
        <v>54057</v>
      </c>
      <c r="AD127" s="63">
        <v>0.22103368849068661</v>
      </c>
      <c r="AE127" s="64">
        <v>54057</v>
      </c>
      <c r="AF127" s="63">
        <v>0.23603978145456725</v>
      </c>
    </row>
    <row r="128" spans="1:32" x14ac:dyDescent="0.25">
      <c r="A128" s="64">
        <v>54148</v>
      </c>
      <c r="B128" s="63">
        <v>0.19981222854843048</v>
      </c>
      <c r="C128" s="64">
        <v>54148</v>
      </c>
      <c r="D128" s="63">
        <v>0.19984697141883873</v>
      </c>
      <c r="E128" s="64">
        <v>54148</v>
      </c>
      <c r="F128" s="63">
        <v>0.30668045743785244</v>
      </c>
      <c r="G128" s="64">
        <v>54148</v>
      </c>
      <c r="H128" s="63">
        <v>0.29836752542160266</v>
      </c>
      <c r="I128" s="64">
        <v>54148</v>
      </c>
      <c r="J128" s="63">
        <v>7.0614022192035192E-2</v>
      </c>
      <c r="K128" s="64">
        <v>54148</v>
      </c>
      <c r="L128" s="63">
        <v>7.0614022192035192E-2</v>
      </c>
      <c r="M128" s="64">
        <v>54148</v>
      </c>
      <c r="N128" s="63">
        <v>2.6840849468152465E-2</v>
      </c>
      <c r="O128" s="64">
        <v>54148</v>
      </c>
      <c r="P128" s="63">
        <v>3.37779355854506E-2</v>
      </c>
      <c r="Q128" s="64">
        <v>54148</v>
      </c>
      <c r="R128" s="63">
        <v>0.34659151759541257</v>
      </c>
      <c r="S128" s="64">
        <v>54148</v>
      </c>
      <c r="T128" s="63">
        <v>0.38485504786333258</v>
      </c>
      <c r="U128" s="64">
        <v>54148</v>
      </c>
      <c r="V128" s="63">
        <v>0.28742557556603665</v>
      </c>
      <c r="W128" s="64">
        <v>54148</v>
      </c>
      <c r="X128" s="63">
        <v>0.27923875908355628</v>
      </c>
      <c r="Y128" s="64">
        <v>54148</v>
      </c>
      <c r="Z128" s="63">
        <v>0.35310614422785191</v>
      </c>
      <c r="AA128" s="64">
        <v>54148</v>
      </c>
      <c r="AB128" s="63">
        <v>0.36966869652632767</v>
      </c>
      <c r="AC128" s="64">
        <v>54148</v>
      </c>
      <c r="AD128" s="63">
        <v>0.21834653455545297</v>
      </c>
      <c r="AE128" s="64">
        <v>54148</v>
      </c>
      <c r="AF128" s="63">
        <v>0.23325719577893506</v>
      </c>
    </row>
    <row r="129" spans="1:32" x14ac:dyDescent="0.25">
      <c r="A129" s="64">
        <v>54239</v>
      </c>
      <c r="B129" s="63">
        <v>0.1970817726379902</v>
      </c>
      <c r="C129" s="64">
        <v>54239</v>
      </c>
      <c r="D129" s="63">
        <v>0.19711605381904856</v>
      </c>
      <c r="E129" s="64">
        <v>54239</v>
      </c>
      <c r="F129" s="63">
        <v>0.30358955530086279</v>
      </c>
      <c r="G129" s="64">
        <v>54239</v>
      </c>
      <c r="H129" s="63">
        <v>0.29507171351457978</v>
      </c>
      <c r="I129" s="64">
        <v>54239</v>
      </c>
      <c r="J129" s="63">
        <v>6.8997148126554261E-2</v>
      </c>
      <c r="K129" s="64">
        <v>54239</v>
      </c>
      <c r="L129" s="63">
        <v>6.8997148126554261E-2</v>
      </c>
      <c r="M129" s="64">
        <v>54239</v>
      </c>
      <c r="N129" s="63">
        <v>2.5823246945037667E-2</v>
      </c>
      <c r="O129" s="64">
        <v>54239</v>
      </c>
      <c r="P129" s="63">
        <v>3.2589578553630927E-2</v>
      </c>
      <c r="Q129" s="64">
        <v>54239</v>
      </c>
      <c r="R129" s="63">
        <v>0.34316665513485101</v>
      </c>
      <c r="S129" s="64">
        <v>54239</v>
      </c>
      <c r="T129" s="63">
        <v>0.38115598826147201</v>
      </c>
      <c r="U129" s="64">
        <v>54239</v>
      </c>
      <c r="V129" s="63">
        <v>0.28447165178174305</v>
      </c>
      <c r="W129" s="64">
        <v>54239</v>
      </c>
      <c r="X129" s="63">
        <v>0.27615112404577485</v>
      </c>
      <c r="Y129" s="64">
        <v>54239</v>
      </c>
      <c r="Z129" s="63">
        <v>0.3500940281595073</v>
      </c>
      <c r="AA129" s="64">
        <v>54239</v>
      </c>
      <c r="AB129" s="63">
        <v>0.36646819112041401</v>
      </c>
      <c r="AC129" s="64">
        <v>54239</v>
      </c>
      <c r="AD129" s="63">
        <v>0.21579852906326194</v>
      </c>
      <c r="AE129" s="64">
        <v>54239</v>
      </c>
      <c r="AF129" s="63">
        <v>0.23061663855110801</v>
      </c>
    </row>
    <row r="130" spans="1:32" x14ac:dyDescent="0.25">
      <c r="A130" s="64">
        <v>54331</v>
      </c>
      <c r="B130" s="63">
        <v>0.19432262556985561</v>
      </c>
      <c r="C130" s="64">
        <v>54331</v>
      </c>
      <c r="D130" s="63">
        <v>0.19435644020072737</v>
      </c>
      <c r="E130" s="64">
        <v>54331</v>
      </c>
      <c r="F130" s="63">
        <v>0.3004646872063238</v>
      </c>
      <c r="G130" s="64">
        <v>54331</v>
      </c>
      <c r="H130" s="63">
        <v>0.29173968389429289</v>
      </c>
      <c r="I130" s="64">
        <v>54331</v>
      </c>
      <c r="J130" s="63">
        <v>6.7416548765086709E-2</v>
      </c>
      <c r="K130" s="64">
        <v>54331</v>
      </c>
      <c r="L130" s="63">
        <v>6.7416548765086709E-2</v>
      </c>
      <c r="M130" s="64">
        <v>54331</v>
      </c>
      <c r="N130" s="63">
        <v>2.4794461976613918E-2</v>
      </c>
      <c r="O130" s="64">
        <v>54331</v>
      </c>
      <c r="P130" s="63">
        <v>3.1388162653329707E-2</v>
      </c>
      <c r="Q130" s="64">
        <v>54331</v>
      </c>
      <c r="R130" s="63">
        <v>0.33970216659904084</v>
      </c>
      <c r="S130" s="64">
        <v>54331</v>
      </c>
      <c r="T130" s="63">
        <v>0.3774139581683732</v>
      </c>
      <c r="U130" s="64">
        <v>54331</v>
      </c>
      <c r="V130" s="63">
        <v>0.2814859039305192</v>
      </c>
      <c r="W130" s="64">
        <v>54331</v>
      </c>
      <c r="X130" s="63">
        <v>0.27303028973077703</v>
      </c>
      <c r="Y130" s="64">
        <v>54331</v>
      </c>
      <c r="Z130" s="63">
        <v>0.34704881191458747</v>
      </c>
      <c r="AA130" s="64">
        <v>54331</v>
      </c>
      <c r="AB130" s="63">
        <v>0.36323251532542439</v>
      </c>
      <c r="AC130" s="64">
        <v>54331</v>
      </c>
      <c r="AD130" s="63">
        <v>0.21322159988558531</v>
      </c>
      <c r="AE130" s="64">
        <v>54331</v>
      </c>
      <c r="AF130" s="63">
        <v>0.22794602045397003</v>
      </c>
    </row>
    <row r="131" spans="1:32" x14ac:dyDescent="0.25">
      <c r="A131" s="64">
        <v>54423</v>
      </c>
      <c r="B131" s="63">
        <v>0.19159238325255257</v>
      </c>
      <c r="C131" s="64">
        <v>54423</v>
      </c>
      <c r="D131" s="63">
        <v>0.19162573601203545</v>
      </c>
      <c r="E131" s="64">
        <v>54423</v>
      </c>
      <c r="F131" s="63">
        <v>0.29733981911178475</v>
      </c>
      <c r="G131" s="64">
        <v>54423</v>
      </c>
      <c r="H131" s="63">
        <v>0.288407654274006</v>
      </c>
      <c r="I131" s="64">
        <v>54423</v>
      </c>
      <c r="J131" s="63">
        <v>6.5869613419727732E-2</v>
      </c>
      <c r="K131" s="64">
        <v>54423</v>
      </c>
      <c r="L131" s="63">
        <v>6.5869613419727732E-2</v>
      </c>
      <c r="M131" s="64">
        <v>54423</v>
      </c>
      <c r="N131" s="63">
        <v>2.3765677008190166E-2</v>
      </c>
      <c r="O131" s="64">
        <v>54423</v>
      </c>
      <c r="P131" s="63">
        <v>3.0186746753028501E-2</v>
      </c>
      <c r="Q131" s="64">
        <v>54423</v>
      </c>
      <c r="R131" s="63">
        <v>0.33619389313449094</v>
      </c>
      <c r="S131" s="64">
        <v>54423</v>
      </c>
      <c r="T131" s="63">
        <v>0.37362085541353784</v>
      </c>
      <c r="U131" s="64">
        <v>54423</v>
      </c>
      <c r="V131" s="63">
        <v>0.27851416202720819</v>
      </c>
      <c r="W131" s="64">
        <v>54423</v>
      </c>
      <c r="X131" s="63">
        <v>0.26992553253494378</v>
      </c>
      <c r="Y131" s="64">
        <v>54423</v>
      </c>
      <c r="Z131" s="63">
        <v>0.34400359566966765</v>
      </c>
      <c r="AA131" s="64">
        <v>54423</v>
      </c>
      <c r="AB131" s="63">
        <v>0.35999683953043476</v>
      </c>
      <c r="AC131" s="64">
        <v>54423</v>
      </c>
      <c r="AD131" s="63">
        <v>0.21062435095500759</v>
      </c>
      <c r="AE131" s="64">
        <v>54423</v>
      </c>
      <c r="AF131" s="63">
        <v>0.22525243970465292</v>
      </c>
    </row>
    <row r="132" spans="1:32" x14ac:dyDescent="0.25">
      <c r="A132" s="64">
        <v>54513</v>
      </c>
      <c r="B132" s="63">
        <v>0.18893474939162375</v>
      </c>
      <c r="C132" s="64">
        <v>54513</v>
      </c>
      <c r="D132" s="63">
        <v>0.18896765111687808</v>
      </c>
      <c r="E132" s="64">
        <v>54513</v>
      </c>
      <c r="F132" s="63">
        <v>0.29429879684669086</v>
      </c>
      <c r="G132" s="64">
        <v>54513</v>
      </c>
      <c r="H132" s="63">
        <v>0.28517879494554654</v>
      </c>
      <c r="I132" s="64">
        <v>54513</v>
      </c>
      <c r="J132" s="63">
        <v>6.4346272357405809E-2</v>
      </c>
      <c r="K132" s="64">
        <v>54513</v>
      </c>
      <c r="L132" s="63">
        <v>6.4346272357405809E-2</v>
      </c>
      <c r="M132" s="64">
        <v>54513</v>
      </c>
      <c r="N132" s="63">
        <v>2.2792764196897766E-2</v>
      </c>
      <c r="O132" s="64">
        <v>54513</v>
      </c>
      <c r="P132" s="63">
        <v>2.9049135759086166E-2</v>
      </c>
      <c r="Q132" s="64">
        <v>54513</v>
      </c>
      <c r="R132" s="63">
        <v>0.33278417152857265</v>
      </c>
      <c r="S132" s="64">
        <v>54513</v>
      </c>
      <c r="T132" s="63">
        <v>0.36993486627011873</v>
      </c>
      <c r="U132" s="64">
        <v>54513</v>
      </c>
      <c r="V132" s="63">
        <v>0.27561656094355519</v>
      </c>
      <c r="W132" s="64">
        <v>54513</v>
      </c>
      <c r="X132" s="63">
        <v>0.26689783991478166</v>
      </c>
      <c r="Y132" s="64">
        <v>54513</v>
      </c>
      <c r="Z132" s="63">
        <v>0.34102389368996849</v>
      </c>
      <c r="AA132" s="64">
        <v>54513</v>
      </c>
      <c r="AB132" s="63">
        <v>0.35684140179044438</v>
      </c>
      <c r="AC132" s="64">
        <v>54513</v>
      </c>
      <c r="AD132" s="63">
        <v>0.20808330565231675</v>
      </c>
      <c r="AE132" s="64">
        <v>54513</v>
      </c>
      <c r="AF132" s="63">
        <v>0.22261722169006815</v>
      </c>
    </row>
    <row r="133" spans="1:32" x14ac:dyDescent="0.25">
      <c r="A133" s="64">
        <v>54604</v>
      </c>
      <c r="B133" s="63">
        <v>0.18647543121910842</v>
      </c>
      <c r="C133" s="64">
        <v>54604</v>
      </c>
      <c r="D133" s="63">
        <v>0.18650789058921377</v>
      </c>
      <c r="E133" s="64">
        <v>54604</v>
      </c>
      <c r="F133" s="63">
        <v>0.29149752795080675</v>
      </c>
      <c r="G133" s="64">
        <v>54604</v>
      </c>
      <c r="H133" s="63">
        <v>0.28244235758697445</v>
      </c>
      <c r="I133" s="64">
        <v>54604</v>
      </c>
      <c r="J133" s="63">
        <v>6.287291316109607E-2</v>
      </c>
      <c r="K133" s="64">
        <v>54604</v>
      </c>
      <c r="L133" s="63">
        <v>6.287291316109607E-2</v>
      </c>
      <c r="M133" s="64">
        <v>54604</v>
      </c>
      <c r="N133" s="63">
        <v>2.2384993924327603E-2</v>
      </c>
      <c r="O133" s="64">
        <v>54604</v>
      </c>
      <c r="P133" s="63">
        <v>2.8546685210270175E-2</v>
      </c>
      <c r="Q133" s="64">
        <v>54604</v>
      </c>
      <c r="R133" s="63">
        <v>0.32971961927541055</v>
      </c>
      <c r="S133" s="64">
        <v>54604</v>
      </c>
      <c r="T133" s="63">
        <v>0.36663171127000171</v>
      </c>
      <c r="U133" s="64">
        <v>54604</v>
      </c>
      <c r="V133" s="63">
        <v>0.27285070735609379</v>
      </c>
      <c r="W133" s="64">
        <v>54604</v>
      </c>
      <c r="X133" s="63">
        <v>0.26400100142298277</v>
      </c>
      <c r="Y133" s="64">
        <v>54604</v>
      </c>
      <c r="Z133" s="63">
        <v>0.33799929082130215</v>
      </c>
      <c r="AA133" s="64">
        <v>54604</v>
      </c>
      <c r="AB133" s="63">
        <v>0.35382102682315175</v>
      </c>
      <c r="AC133" s="64">
        <v>54604</v>
      </c>
      <c r="AD133" s="63">
        <v>0.20550958653034054</v>
      </c>
      <c r="AE133" s="64">
        <v>54604</v>
      </c>
      <c r="AF133" s="63">
        <v>0.21994939968542471</v>
      </c>
    </row>
    <row r="134" spans="1:32" x14ac:dyDescent="0.25">
      <c r="A134" s="64">
        <v>54696</v>
      </c>
      <c r="B134" s="63">
        <v>0.18399025120543155</v>
      </c>
      <c r="C134" s="64">
        <v>54696</v>
      </c>
      <c r="D134" s="63">
        <v>0.18402226357895549</v>
      </c>
      <c r="E134" s="64">
        <v>54696</v>
      </c>
      <c r="F134" s="63">
        <v>0.28866547588024255</v>
      </c>
      <c r="G134" s="64">
        <v>54696</v>
      </c>
      <c r="H134" s="63">
        <v>0.27967584948819818</v>
      </c>
      <c r="I134" s="64">
        <v>54696</v>
      </c>
      <c r="J134" s="63">
        <v>6.1432608900784273E-2</v>
      </c>
      <c r="K134" s="64">
        <v>54696</v>
      </c>
      <c r="L134" s="63">
        <v>6.1432608900784273E-2</v>
      </c>
      <c r="M134" s="64">
        <v>54696</v>
      </c>
      <c r="N134" s="63">
        <v>2.197274265975117E-2</v>
      </c>
      <c r="O134" s="64">
        <v>54696</v>
      </c>
      <c r="P134" s="63">
        <v>2.8038713226851811E-2</v>
      </c>
      <c r="Q134" s="64">
        <v>54696</v>
      </c>
      <c r="R134" s="63">
        <v>0.32661949073144941</v>
      </c>
      <c r="S134" s="64">
        <v>54696</v>
      </c>
      <c r="T134" s="63">
        <v>0.36329008266375917</v>
      </c>
      <c r="U134" s="64">
        <v>54696</v>
      </c>
      <c r="V134" s="63">
        <v>0.27005505083812698</v>
      </c>
      <c r="W134" s="64">
        <v>54696</v>
      </c>
      <c r="X134" s="63">
        <v>0.26107301806060335</v>
      </c>
      <c r="Y134" s="64">
        <v>54696</v>
      </c>
      <c r="Z134" s="63">
        <v>0.33494145055847457</v>
      </c>
      <c r="AA134" s="64">
        <v>54696</v>
      </c>
      <c r="AB134" s="63">
        <v>0.35076746092215255</v>
      </c>
      <c r="AC134" s="64">
        <v>54696</v>
      </c>
      <c r="AD134" s="63">
        <v>0.20290678232196457</v>
      </c>
      <c r="AE134" s="64">
        <v>54696</v>
      </c>
      <c r="AF134" s="63">
        <v>0.21725133318606801</v>
      </c>
    </row>
    <row r="135" spans="1:32" x14ac:dyDescent="0.25">
      <c r="A135" s="64">
        <v>54788</v>
      </c>
      <c r="B135" s="63">
        <v>0.18153067112351293</v>
      </c>
      <c r="C135" s="64">
        <v>54788</v>
      </c>
      <c r="D135" s="63">
        <v>0.18156224133194421</v>
      </c>
      <c r="E135" s="64">
        <v>54788</v>
      </c>
      <c r="F135" s="63">
        <v>0.28583342380967836</v>
      </c>
      <c r="G135" s="64">
        <v>54788</v>
      </c>
      <c r="H135" s="63">
        <v>0.27690934138942197</v>
      </c>
      <c r="I135" s="64">
        <v>54788</v>
      </c>
      <c r="J135" s="63">
        <v>6.0022980615044297E-2</v>
      </c>
      <c r="K135" s="64">
        <v>54788</v>
      </c>
      <c r="L135" s="63">
        <v>6.0022980615044297E-2</v>
      </c>
      <c r="M135" s="64">
        <v>54788</v>
      </c>
      <c r="N135" s="63">
        <v>2.1560491395174741E-2</v>
      </c>
      <c r="O135" s="64">
        <v>54788</v>
      </c>
      <c r="P135" s="63">
        <v>2.7530741243433448E-2</v>
      </c>
      <c r="Q135" s="64">
        <v>54788</v>
      </c>
      <c r="R135" s="63">
        <v>0.32347756455441012</v>
      </c>
      <c r="S135" s="64">
        <v>54788</v>
      </c>
      <c r="T135" s="63">
        <v>0.35990059966783905</v>
      </c>
      <c r="U135" s="64">
        <v>54788</v>
      </c>
      <c r="V135" s="63">
        <v>0.26727239774930583</v>
      </c>
      <c r="W135" s="64">
        <v>54788</v>
      </c>
      <c r="X135" s="63">
        <v>0.25816018212588721</v>
      </c>
      <c r="Y135" s="64">
        <v>54788</v>
      </c>
      <c r="Z135" s="63">
        <v>0.33188361029564706</v>
      </c>
      <c r="AA135" s="64">
        <v>54788</v>
      </c>
      <c r="AB135" s="63">
        <v>0.34771389502115335</v>
      </c>
      <c r="AC135" s="64">
        <v>54788</v>
      </c>
      <c r="AD135" s="63">
        <v>0.20028632402250196</v>
      </c>
      <c r="AE135" s="64">
        <v>54788</v>
      </c>
      <c r="AF135" s="63">
        <v>0.21453285576018588</v>
      </c>
    </row>
    <row r="136" spans="1:32" x14ac:dyDescent="0.25">
      <c r="A136" s="64">
        <v>54878</v>
      </c>
      <c r="B136" s="63">
        <v>0.17913039224046595</v>
      </c>
      <c r="C136" s="64">
        <v>54878</v>
      </c>
      <c r="D136" s="63">
        <v>0.17916153093133466</v>
      </c>
      <c r="E136" s="64">
        <v>54878</v>
      </c>
      <c r="F136" s="63">
        <v>0.28306892592328181</v>
      </c>
      <c r="G136" s="64">
        <v>54878</v>
      </c>
      <c r="H136" s="63">
        <v>0.27420887220419288</v>
      </c>
      <c r="I136" s="64">
        <v>54878</v>
      </c>
      <c r="J136" s="63">
        <v>5.8634852367331347E-2</v>
      </c>
      <c r="K136" s="64">
        <v>54878</v>
      </c>
      <c r="L136" s="63">
        <v>5.8634852367331347E-2</v>
      </c>
      <c r="M136" s="64">
        <v>54878</v>
      </c>
      <c r="N136" s="63">
        <v>2.1157202114610842E-2</v>
      </c>
      <c r="O136" s="64">
        <v>54878</v>
      </c>
      <c r="P136" s="63">
        <v>2.7033812129219834E-2</v>
      </c>
      <c r="Q136" s="64">
        <v>54878</v>
      </c>
      <c r="R136" s="63">
        <v>0.32041178658679065</v>
      </c>
      <c r="S136" s="64">
        <v>54878</v>
      </c>
      <c r="T136" s="63">
        <v>0.35659231768813276</v>
      </c>
      <c r="U136" s="64">
        <v>54878</v>
      </c>
      <c r="V136" s="63">
        <v>0.26455604273968369</v>
      </c>
      <c r="W136" s="64">
        <v>54878</v>
      </c>
      <c r="X136" s="63">
        <v>0.25531654073175247</v>
      </c>
      <c r="Y136" s="64">
        <v>54878</v>
      </c>
      <c r="Z136" s="63">
        <v>0.32889730773445802</v>
      </c>
      <c r="AA136" s="64">
        <v>54878</v>
      </c>
      <c r="AB136" s="63">
        <v>0.34473148932474407</v>
      </c>
      <c r="AC136" s="64">
        <v>54878</v>
      </c>
      <c r="AD136" s="63">
        <v>0.19773102145771729</v>
      </c>
      <c r="AE136" s="64">
        <v>54878</v>
      </c>
      <c r="AF136" s="63">
        <v>0.2118818570674032</v>
      </c>
    </row>
    <row r="137" spans="1:32" x14ac:dyDescent="0.25">
      <c r="A137" s="64">
        <v>54969</v>
      </c>
      <c r="B137" s="63">
        <v>0.17680369033779481</v>
      </c>
      <c r="C137" s="64">
        <v>54969</v>
      </c>
      <c r="D137" s="63">
        <v>0.17683441051118037</v>
      </c>
      <c r="E137" s="64">
        <v>54969</v>
      </c>
      <c r="F137" s="63">
        <v>0.28037663562089582</v>
      </c>
      <c r="G137" s="64">
        <v>54969</v>
      </c>
      <c r="H137" s="63">
        <v>0.27157976812874945</v>
      </c>
      <c r="I137" s="64">
        <v>54969</v>
      </c>
      <c r="J137" s="63">
        <v>5.7292269560361084E-2</v>
      </c>
      <c r="K137" s="64">
        <v>54969</v>
      </c>
      <c r="L137" s="63">
        <v>5.7292269560361084E-2</v>
      </c>
      <c r="M137" s="64">
        <v>54969</v>
      </c>
      <c r="N137" s="63">
        <v>2.0749431842040676E-2</v>
      </c>
      <c r="O137" s="64">
        <v>54969</v>
      </c>
      <c r="P137" s="63">
        <v>2.6531361580403843E-2</v>
      </c>
      <c r="Q137" s="64">
        <v>54969</v>
      </c>
      <c r="R137" s="63">
        <v>0.3174467992704626</v>
      </c>
      <c r="S137" s="64">
        <v>54969</v>
      </c>
      <c r="T137" s="63">
        <v>0.35337647907800562</v>
      </c>
      <c r="U137" s="64">
        <v>54969</v>
      </c>
      <c r="V137" s="63">
        <v>0.261909298177673</v>
      </c>
      <c r="W137" s="64">
        <v>54969</v>
      </c>
      <c r="X137" s="63">
        <v>0.25254223682595672</v>
      </c>
      <c r="Y137" s="64">
        <v>54969</v>
      </c>
      <c r="Z137" s="63">
        <v>0.32596484988814556</v>
      </c>
      <c r="AA137" s="64">
        <v>54969</v>
      </c>
      <c r="AB137" s="63">
        <v>0.3417980800940707</v>
      </c>
      <c r="AC137" s="64">
        <v>54969</v>
      </c>
      <c r="AD137" s="63">
        <v>0.19528809074894798</v>
      </c>
      <c r="AE137" s="64">
        <v>54969</v>
      </c>
      <c r="AF137" s="63">
        <v>0.20934546974831994</v>
      </c>
    </row>
    <row r="138" spans="1:32" x14ac:dyDescent="0.25">
      <c r="A138" s="64">
        <v>55061</v>
      </c>
      <c r="B138" s="63">
        <v>0.1744525171655002</v>
      </c>
      <c r="C138" s="64">
        <v>55061</v>
      </c>
      <c r="D138" s="63">
        <v>0.1744828144299275</v>
      </c>
      <c r="E138" s="64">
        <v>55061</v>
      </c>
      <c r="F138" s="63">
        <v>0.27765475971079123</v>
      </c>
      <c r="G138" s="64">
        <v>55061</v>
      </c>
      <c r="H138" s="63">
        <v>0.26892177279972979</v>
      </c>
      <c r="I138" s="64">
        <v>55061</v>
      </c>
      <c r="J138" s="63">
        <v>5.5979807710227279E-2</v>
      </c>
      <c r="K138" s="64">
        <v>55061</v>
      </c>
      <c r="L138" s="63">
        <v>5.5979807710227279E-2</v>
      </c>
      <c r="M138" s="64">
        <v>55061</v>
      </c>
      <c r="N138" s="63">
        <v>2.0337180577464243E-2</v>
      </c>
      <c r="O138" s="64">
        <v>55061</v>
      </c>
      <c r="P138" s="63">
        <v>2.6023389596985479E-2</v>
      </c>
      <c r="Q138" s="64">
        <v>55061</v>
      </c>
      <c r="R138" s="63">
        <v>0.31444740992842829</v>
      </c>
      <c r="S138" s="64">
        <v>55061</v>
      </c>
      <c r="T138" s="63">
        <v>0.3501232229946265</v>
      </c>
      <c r="U138" s="64">
        <v>55061</v>
      </c>
      <c r="V138" s="63">
        <v>0.25923402790754824</v>
      </c>
      <c r="W138" s="64">
        <v>55061</v>
      </c>
      <c r="X138" s="63">
        <v>0.24973810792531842</v>
      </c>
      <c r="Y138" s="64">
        <v>55061</v>
      </c>
      <c r="Z138" s="63">
        <v>0.3230001672303352</v>
      </c>
      <c r="AA138" s="64">
        <v>55061</v>
      </c>
      <c r="AB138" s="63">
        <v>0.33883243559712617</v>
      </c>
      <c r="AC138" s="64">
        <v>55061</v>
      </c>
      <c r="AD138" s="63">
        <v>0.19281754905142193</v>
      </c>
      <c r="AE138" s="64">
        <v>55061</v>
      </c>
      <c r="AF138" s="63">
        <v>0.20678032403589311</v>
      </c>
    </row>
    <row r="139" spans="1:32" x14ac:dyDescent="0.25">
      <c r="A139" s="64">
        <v>55153</v>
      </c>
      <c r="B139" s="63">
        <v>0.17212547542257425</v>
      </c>
      <c r="C139" s="64">
        <v>55153</v>
      </c>
      <c r="D139" s="63">
        <v>0.17215535434564258</v>
      </c>
      <c r="E139" s="64">
        <v>55153</v>
      </c>
      <c r="F139" s="63">
        <v>0.2749328838006867</v>
      </c>
      <c r="G139" s="64">
        <v>55153</v>
      </c>
      <c r="H139" s="63">
        <v>0.26626377747071006</v>
      </c>
      <c r="I139" s="64">
        <v>55153</v>
      </c>
      <c r="J139" s="63">
        <v>5.469529901377803E-2</v>
      </c>
      <c r="K139" s="64">
        <v>55153</v>
      </c>
      <c r="L139" s="63">
        <v>5.469529901377803E-2</v>
      </c>
      <c r="M139" s="64">
        <v>55153</v>
      </c>
      <c r="N139" s="63">
        <v>1.9924929312887814E-2</v>
      </c>
      <c r="O139" s="64">
        <v>55153</v>
      </c>
      <c r="P139" s="63">
        <v>2.5515417613567116E-2</v>
      </c>
      <c r="Q139" s="64">
        <v>55153</v>
      </c>
      <c r="R139" s="63">
        <v>0.31140798614128662</v>
      </c>
      <c r="S139" s="64">
        <v>55153</v>
      </c>
      <c r="T139" s="63">
        <v>0.34682423798786677</v>
      </c>
      <c r="U139" s="64">
        <v>55153</v>
      </c>
      <c r="V139" s="63">
        <v>0.25657106437060911</v>
      </c>
      <c r="W139" s="64">
        <v>55153</v>
      </c>
      <c r="X139" s="63">
        <v>0.24694853997251326</v>
      </c>
      <c r="Y139" s="64">
        <v>55153</v>
      </c>
      <c r="Z139" s="63">
        <v>0.32003548457252484</v>
      </c>
      <c r="AA139" s="64">
        <v>55153</v>
      </c>
      <c r="AB139" s="63">
        <v>0.33586679110018164</v>
      </c>
      <c r="AC139" s="64">
        <v>55153</v>
      </c>
      <c r="AD139" s="63">
        <v>0.19033016423413665</v>
      </c>
      <c r="AE139" s="64">
        <v>55153</v>
      </c>
      <c r="AF139" s="63">
        <v>0.2041956862085878</v>
      </c>
    </row>
    <row r="140" spans="1:32" x14ac:dyDescent="0.25">
      <c r="A140" s="64">
        <v>55243</v>
      </c>
      <c r="B140" s="63">
        <v>0.1698545422389888</v>
      </c>
      <c r="C140" s="64">
        <v>55243</v>
      </c>
      <c r="D140" s="63">
        <v>0.16988401289434746</v>
      </c>
      <c r="E140" s="64">
        <v>55243</v>
      </c>
      <c r="F140" s="63">
        <v>0.27227632621852316</v>
      </c>
      <c r="G140" s="64">
        <v>55243</v>
      </c>
      <c r="H140" s="63">
        <v>0.26366961377692139</v>
      </c>
      <c r="I140" s="64">
        <v>55243</v>
      </c>
      <c r="J140" s="63">
        <v>5.3430381996992946E-2</v>
      </c>
      <c r="K140" s="64">
        <v>55243</v>
      </c>
      <c r="L140" s="63">
        <v>5.3430381996992946E-2</v>
      </c>
      <c r="M140" s="64">
        <v>55243</v>
      </c>
      <c r="N140" s="63">
        <v>1.9521640032323914E-2</v>
      </c>
      <c r="O140" s="64">
        <v>55243</v>
      </c>
      <c r="P140" s="63">
        <v>2.5018488499353498E-2</v>
      </c>
      <c r="Q140" s="64">
        <v>55243</v>
      </c>
      <c r="R140" s="63">
        <v>0.30844142061616137</v>
      </c>
      <c r="S140" s="64">
        <v>55243</v>
      </c>
      <c r="T140" s="63">
        <v>0.34360346656737434</v>
      </c>
      <c r="U140" s="64">
        <v>55243</v>
      </c>
      <c r="V140" s="63">
        <v>0.25397155165855767</v>
      </c>
      <c r="W140" s="64">
        <v>55243</v>
      </c>
      <c r="X140" s="63">
        <v>0.24422523690016457</v>
      </c>
      <c r="Y140" s="64">
        <v>55243</v>
      </c>
      <c r="Z140" s="63">
        <v>0.31714137479170418</v>
      </c>
      <c r="AA140" s="64">
        <v>55243</v>
      </c>
      <c r="AB140" s="63">
        <v>0.33297147429883833</v>
      </c>
      <c r="AC140" s="64">
        <v>55243</v>
      </c>
      <c r="AD140" s="63">
        <v>0.18790393265619029</v>
      </c>
      <c r="AE140" s="64">
        <v>55243</v>
      </c>
      <c r="AF140" s="63">
        <v>0.20167448299957924</v>
      </c>
    </row>
    <row r="141" spans="1:32" x14ac:dyDescent="0.25">
      <c r="A141" s="64">
        <v>55334</v>
      </c>
      <c r="B141" s="63">
        <v>0.16765327108367245</v>
      </c>
      <c r="C141" s="64">
        <v>55334</v>
      </c>
      <c r="D141" s="63">
        <v>0.1676823457676104</v>
      </c>
      <c r="E141" s="64">
        <v>55334</v>
      </c>
      <c r="F141" s="63">
        <v>0.26969591336370868</v>
      </c>
      <c r="G141" s="64">
        <v>55334</v>
      </c>
      <c r="H141" s="63">
        <v>0.26115060383250538</v>
      </c>
      <c r="I141" s="64">
        <v>55334</v>
      </c>
      <c r="J141" s="63">
        <v>5.220696777588061E-2</v>
      </c>
      <c r="K141" s="64">
        <v>55334</v>
      </c>
      <c r="L141" s="63">
        <v>5.220696777588061E-2</v>
      </c>
      <c r="M141" s="64">
        <v>55334</v>
      </c>
      <c r="N141" s="63">
        <v>1.9113869759753748E-2</v>
      </c>
      <c r="O141" s="64">
        <v>55334</v>
      </c>
      <c r="P141" s="63">
        <v>2.4516037950537507E-2</v>
      </c>
      <c r="Q141" s="64">
        <v>55334</v>
      </c>
      <c r="R141" s="63">
        <v>0.30555849978397065</v>
      </c>
      <c r="S141" s="64">
        <v>55334</v>
      </c>
      <c r="T141" s="63">
        <v>0.3404585767737312</v>
      </c>
      <c r="U141" s="64">
        <v>55334</v>
      </c>
      <c r="V141" s="63">
        <v>0.2514387310779691</v>
      </c>
      <c r="W141" s="64">
        <v>55334</v>
      </c>
      <c r="X141" s="63">
        <v>0.24156831253765285</v>
      </c>
      <c r="Y141" s="64">
        <v>55334</v>
      </c>
      <c r="Z141" s="63">
        <v>0.31432036016808002</v>
      </c>
      <c r="AA141" s="64">
        <v>55334</v>
      </c>
      <c r="AB141" s="63">
        <v>0.33014466543583798</v>
      </c>
      <c r="AC141" s="64">
        <v>55334</v>
      </c>
      <c r="AD141" s="63">
        <v>0.1855724343760482</v>
      </c>
      <c r="AE141" s="64">
        <v>55334</v>
      </c>
      <c r="AF141" s="63">
        <v>0.1992498315395507</v>
      </c>
    </row>
    <row r="142" spans="1:32" x14ac:dyDescent="0.25">
      <c r="A142" s="64">
        <v>55426</v>
      </c>
      <c r="B142" s="63">
        <v>0.16542938628143108</v>
      </c>
      <c r="C142" s="64">
        <v>55426</v>
      </c>
      <c r="D142" s="63">
        <v>0.16545806093290572</v>
      </c>
      <c r="E142" s="64">
        <v>55426</v>
      </c>
      <c r="F142" s="63">
        <v>0.26708714432367653</v>
      </c>
      <c r="G142" s="64">
        <v>55426</v>
      </c>
      <c r="H142" s="63">
        <v>0.25860391246012876</v>
      </c>
      <c r="I142" s="64">
        <v>55426</v>
      </c>
      <c r="J142" s="63">
        <v>5.101044874113158E-2</v>
      </c>
      <c r="K142" s="64">
        <v>55426</v>
      </c>
      <c r="L142" s="63">
        <v>5.101044874113158E-2</v>
      </c>
      <c r="M142" s="64">
        <v>55426</v>
      </c>
      <c r="N142" s="63">
        <v>1.8701618495177319E-2</v>
      </c>
      <c r="O142" s="64">
        <v>55426</v>
      </c>
      <c r="P142" s="63">
        <v>2.4008065967119144E-2</v>
      </c>
      <c r="Q142" s="64">
        <v>55426</v>
      </c>
      <c r="R142" s="63">
        <v>0.30264345196793008</v>
      </c>
      <c r="S142" s="64">
        <v>55426</v>
      </c>
      <c r="T142" s="63">
        <v>0.33727844386558092</v>
      </c>
      <c r="U142" s="64">
        <v>55426</v>
      </c>
      <c r="V142" s="63">
        <v>0.24887924398187844</v>
      </c>
      <c r="W142" s="64">
        <v>55426</v>
      </c>
      <c r="X142" s="63">
        <v>0.23888345489329271</v>
      </c>
      <c r="Y142" s="64">
        <v>55426</v>
      </c>
      <c r="Z142" s="63">
        <v>0.31146834538375673</v>
      </c>
      <c r="AA142" s="64">
        <v>55426</v>
      </c>
      <c r="AB142" s="63">
        <v>0.32728679273917832</v>
      </c>
      <c r="AC142" s="64">
        <v>55426</v>
      </c>
      <c r="AD142" s="63">
        <v>0.18321573016939716</v>
      </c>
      <c r="AE142" s="64">
        <v>55426</v>
      </c>
      <c r="AF142" s="63">
        <v>0.1967988806249496</v>
      </c>
    </row>
    <row r="143" spans="1:32" x14ac:dyDescent="0.25">
      <c r="A143" s="64">
        <v>55518</v>
      </c>
      <c r="B143" s="63">
        <v>0.16324017669098195</v>
      </c>
      <c r="C143" s="64">
        <v>55518</v>
      </c>
      <c r="D143" s="63">
        <v>0.16326845769640988</v>
      </c>
      <c r="E143" s="64">
        <v>55518</v>
      </c>
      <c r="F143" s="63">
        <v>0.26447837528364432</v>
      </c>
      <c r="G143" s="64">
        <v>55518</v>
      </c>
      <c r="H143" s="63">
        <v>0.25605722108775214</v>
      </c>
      <c r="I143" s="64">
        <v>55518</v>
      </c>
      <c r="J143" s="63">
        <v>4.98286647024829E-2</v>
      </c>
      <c r="K143" s="64">
        <v>55518</v>
      </c>
      <c r="L143" s="63">
        <v>4.98286647024829E-2</v>
      </c>
      <c r="M143" s="64">
        <v>55518</v>
      </c>
      <c r="N143" s="63">
        <v>1.8289367230600886E-2</v>
      </c>
      <c r="O143" s="64">
        <v>55518</v>
      </c>
      <c r="P143" s="63">
        <v>2.350009398370078E-2</v>
      </c>
      <c r="Q143" s="64">
        <v>55518</v>
      </c>
      <c r="R143" s="63">
        <v>0.29971858037871157</v>
      </c>
      <c r="S143" s="64">
        <v>55518</v>
      </c>
      <c r="T143" s="63">
        <v>0.33408326546530709</v>
      </c>
      <c r="U143" s="64">
        <v>55518</v>
      </c>
      <c r="V143" s="63">
        <v>0.24634542379499319</v>
      </c>
      <c r="W143" s="64">
        <v>55518</v>
      </c>
      <c r="X143" s="63">
        <v>0.23622639841063309</v>
      </c>
      <c r="Y143" s="64">
        <v>55518</v>
      </c>
      <c r="Z143" s="63">
        <v>0.30861633059943339</v>
      </c>
      <c r="AA143" s="64">
        <v>55518</v>
      </c>
      <c r="AB143" s="63">
        <v>0.32442892004251866</v>
      </c>
      <c r="AC143" s="64">
        <v>55518</v>
      </c>
      <c r="AD143" s="63">
        <v>0.18086815450441845</v>
      </c>
      <c r="AE143" s="64">
        <v>55518</v>
      </c>
      <c r="AF143" s="63">
        <v>0.19435552118360536</v>
      </c>
    </row>
    <row r="144" spans="1:32" x14ac:dyDescent="0.25">
      <c r="A144" s="64">
        <v>55609</v>
      </c>
      <c r="B144" s="63">
        <v>0.16107931073078313</v>
      </c>
      <c r="C144" s="64">
        <v>55609</v>
      </c>
      <c r="D144" s="63">
        <v>0.1611072031777909</v>
      </c>
      <c r="E144" s="64">
        <v>55609</v>
      </c>
      <c r="F144" s="63">
        <v>0.26190309841443055</v>
      </c>
      <c r="G144" s="64">
        <v>55609</v>
      </c>
      <c r="H144" s="63">
        <v>0.25354326926477483</v>
      </c>
      <c r="I144" s="64">
        <v>55609</v>
      </c>
      <c r="J144" s="63">
        <v>4.8675607513628927E-2</v>
      </c>
      <c r="K144" s="64">
        <v>55609</v>
      </c>
      <c r="L144" s="63">
        <v>4.8675607513628927E-2</v>
      </c>
      <c r="M144" s="64">
        <v>55609</v>
      </c>
      <c r="N144" s="63">
        <v>1.7881596958030724E-2</v>
      </c>
      <c r="O144" s="64">
        <v>55609</v>
      </c>
      <c r="P144" s="63">
        <v>2.2997643434884793E-2</v>
      </c>
      <c r="Q144" s="64">
        <v>55609</v>
      </c>
      <c r="R144" s="63">
        <v>0.29683200160413442</v>
      </c>
      <c r="S144" s="64">
        <v>55609</v>
      </c>
      <c r="T144" s="63">
        <v>0.33092907315210429</v>
      </c>
      <c r="U144" s="64">
        <v>55609</v>
      </c>
      <c r="V144" s="63">
        <v>0.24384367350443995</v>
      </c>
      <c r="W144" s="64">
        <v>55609</v>
      </c>
      <c r="X144" s="63">
        <v>0.23360282159843812</v>
      </c>
      <c r="Y144" s="64">
        <v>55609</v>
      </c>
      <c r="Z144" s="63">
        <v>0.30580003403313699</v>
      </c>
      <c r="AA144" s="64">
        <v>55609</v>
      </c>
      <c r="AB144" s="63">
        <v>0.32160657993838593</v>
      </c>
      <c r="AC144" s="64">
        <v>55609</v>
      </c>
      <c r="AD144" s="63">
        <v>0.17855276403453255</v>
      </c>
      <c r="AE144" s="64">
        <v>55609</v>
      </c>
      <c r="AF144" s="63">
        <v>0.19194555690177861</v>
      </c>
    </row>
    <row r="145" spans="1:32" x14ac:dyDescent="0.25">
      <c r="A145" s="64">
        <v>55700</v>
      </c>
      <c r="B145" s="63">
        <v>0.15899666820050143</v>
      </c>
      <c r="C145" s="64">
        <v>55700</v>
      </c>
      <c r="D145" s="63">
        <v>0.15902418600156976</v>
      </c>
      <c r="E145" s="64">
        <v>55700</v>
      </c>
      <c r="F145" s="63">
        <v>0.25941616049754829</v>
      </c>
      <c r="G145" s="64">
        <v>55700</v>
      </c>
      <c r="H145" s="63">
        <v>0.25111631713054305</v>
      </c>
      <c r="I145" s="64">
        <v>55700</v>
      </c>
      <c r="J145" s="63">
        <v>4.7561065033719117E-2</v>
      </c>
      <c r="K145" s="64">
        <v>55700</v>
      </c>
      <c r="L145" s="63">
        <v>4.7561065033719117E-2</v>
      </c>
      <c r="M145" s="64">
        <v>55700</v>
      </c>
      <c r="N145" s="63">
        <v>1.7473826685460558E-2</v>
      </c>
      <c r="O145" s="64">
        <v>55700</v>
      </c>
      <c r="P145" s="63">
        <v>2.2495192886068802E-2</v>
      </c>
      <c r="Q145" s="64">
        <v>55700</v>
      </c>
      <c r="R145" s="63">
        <v>0.2940572354225347</v>
      </c>
      <c r="S145" s="64">
        <v>55700</v>
      </c>
      <c r="T145" s="63">
        <v>0.32788248209647136</v>
      </c>
      <c r="U145" s="64">
        <v>55700</v>
      </c>
      <c r="V145" s="63">
        <v>0.24141981122194495</v>
      </c>
      <c r="W145" s="64">
        <v>55700</v>
      </c>
      <c r="X145" s="63">
        <v>0.23105834108017223</v>
      </c>
      <c r="Y145" s="64">
        <v>55700</v>
      </c>
      <c r="Z145" s="63">
        <v>0.30306488805287807</v>
      </c>
      <c r="AA145" s="64">
        <v>55700</v>
      </c>
      <c r="AB145" s="63">
        <v>0.31886110248677574</v>
      </c>
      <c r="AC145" s="64">
        <v>55700</v>
      </c>
      <c r="AD145" s="63">
        <v>0.17635206433939835</v>
      </c>
      <c r="AE145" s="64">
        <v>55700</v>
      </c>
      <c r="AF145" s="63">
        <v>0.18965318738114131</v>
      </c>
    </row>
    <row r="146" spans="1:32" x14ac:dyDescent="0.25">
      <c r="A146" s="64">
        <v>55792</v>
      </c>
      <c r="B146" s="63">
        <v>0.15689211366162181</v>
      </c>
      <c r="C146" s="64">
        <v>55792</v>
      </c>
      <c r="D146" s="63">
        <v>0.15691925288532904</v>
      </c>
      <c r="E146" s="64">
        <v>55792</v>
      </c>
      <c r="F146" s="63">
        <v>0.25690189359256838</v>
      </c>
      <c r="G146" s="64">
        <v>55792</v>
      </c>
      <c r="H146" s="63">
        <v>0.24866269519263842</v>
      </c>
      <c r="I146" s="64">
        <v>55792</v>
      </c>
      <c r="J146" s="63">
        <v>4.6471527406959076E-2</v>
      </c>
      <c r="K146" s="64">
        <v>55792</v>
      </c>
      <c r="L146" s="63">
        <v>4.6471527406959076E-2</v>
      </c>
      <c r="M146" s="64">
        <v>55792</v>
      </c>
      <c r="N146" s="63">
        <v>1.7061575420884125E-2</v>
      </c>
      <c r="O146" s="64">
        <v>55792</v>
      </c>
      <c r="P146" s="63">
        <v>2.1987220902650439E-2</v>
      </c>
      <c r="Q146" s="64">
        <v>55792</v>
      </c>
      <c r="R146" s="63">
        <v>0.29125031025978332</v>
      </c>
      <c r="S146" s="64">
        <v>55792</v>
      </c>
      <c r="T146" s="63">
        <v>0.32480051935830745</v>
      </c>
      <c r="U146" s="64">
        <v>55792</v>
      </c>
      <c r="V146" s="63">
        <v>0.23896981340055884</v>
      </c>
      <c r="W146" s="64">
        <v>55792</v>
      </c>
      <c r="X146" s="63">
        <v>0.22848651102002773</v>
      </c>
      <c r="Y146" s="64">
        <v>55792</v>
      </c>
      <c r="Z146" s="63">
        <v>0.30029968552338554</v>
      </c>
      <c r="AA146" s="64">
        <v>55792</v>
      </c>
      <c r="AB146" s="63">
        <v>0.31608545495327978</v>
      </c>
      <c r="AC146" s="64">
        <v>55792</v>
      </c>
      <c r="AD146" s="63">
        <v>0.17412648388088339</v>
      </c>
      <c r="AE146" s="64">
        <v>55792</v>
      </c>
      <c r="AF146" s="63">
        <v>0.18733481859407325</v>
      </c>
    </row>
    <row r="147" spans="1:32" x14ac:dyDescent="0.25">
      <c r="A147" s="64">
        <v>55884</v>
      </c>
      <c r="B147" s="63">
        <v>0.1548089909299199</v>
      </c>
      <c r="C147" s="64">
        <v>55884</v>
      </c>
      <c r="D147" s="63">
        <v>0.15483575565873336</v>
      </c>
      <c r="E147" s="64">
        <v>55884</v>
      </c>
      <c r="F147" s="63">
        <v>0.25438762668758852</v>
      </c>
      <c r="G147" s="64">
        <v>55884</v>
      </c>
      <c r="H147" s="63">
        <v>0.24620907325473379</v>
      </c>
      <c r="I147" s="64">
        <v>55884</v>
      </c>
      <c r="J147" s="63">
        <v>4.5405195035820738E-2</v>
      </c>
      <c r="K147" s="64">
        <v>55884</v>
      </c>
      <c r="L147" s="63">
        <v>4.5405195035820738E-2</v>
      </c>
      <c r="M147" s="64">
        <v>55884</v>
      </c>
      <c r="N147" s="63">
        <v>1.6649324156307696E-2</v>
      </c>
      <c r="O147" s="64">
        <v>55884</v>
      </c>
      <c r="P147" s="63">
        <v>2.1479248919232075E-2</v>
      </c>
      <c r="Q147" s="64">
        <v>55884</v>
      </c>
      <c r="R147" s="63">
        <v>0.28840671010504804</v>
      </c>
      <c r="S147" s="64">
        <v>55884</v>
      </c>
      <c r="T147" s="63">
        <v>0.3216769181014274</v>
      </c>
      <c r="U147" s="64">
        <v>55884</v>
      </c>
      <c r="V147" s="63">
        <v>0.23653082240724838</v>
      </c>
      <c r="W147" s="64">
        <v>55884</v>
      </c>
      <c r="X147" s="63">
        <v>0.22592814017483742</v>
      </c>
      <c r="Y147" s="64">
        <v>55884</v>
      </c>
      <c r="Z147" s="63">
        <v>0.29753448299389301</v>
      </c>
      <c r="AA147" s="64">
        <v>55884</v>
      </c>
      <c r="AB147" s="63">
        <v>0.31330980741978376</v>
      </c>
      <c r="AC147" s="64">
        <v>55884</v>
      </c>
      <c r="AD147" s="63">
        <v>0.171885563916925</v>
      </c>
      <c r="AE147" s="64">
        <v>55884</v>
      </c>
      <c r="AF147" s="63">
        <v>0.1849986651702987</v>
      </c>
    </row>
    <row r="148" spans="1:32" x14ac:dyDescent="0.25">
      <c r="A148" s="64">
        <v>55974</v>
      </c>
      <c r="B148" s="63">
        <v>0.15277610130249472</v>
      </c>
      <c r="C148" s="64">
        <v>55974</v>
      </c>
      <c r="D148" s="63">
        <v>0.15280250055389286</v>
      </c>
      <c r="E148" s="64">
        <v>55974</v>
      </c>
      <c r="F148" s="63">
        <v>0.25193333112422878</v>
      </c>
      <c r="G148" s="64">
        <v>55974</v>
      </c>
      <c r="H148" s="63">
        <v>0.24381401886178661</v>
      </c>
      <c r="I148" s="64">
        <v>55974</v>
      </c>
      <c r="J148" s="63">
        <v>4.4355126659070675E-2</v>
      </c>
      <c r="K148" s="64">
        <v>55974</v>
      </c>
      <c r="L148" s="63">
        <v>4.4355126659070675E-2</v>
      </c>
      <c r="M148" s="64">
        <v>55974</v>
      </c>
      <c r="N148" s="63">
        <v>1.6246034875743796E-2</v>
      </c>
      <c r="O148" s="64">
        <v>55974</v>
      </c>
      <c r="P148" s="63">
        <v>2.0982319805018461E-2</v>
      </c>
      <c r="Q148" s="64">
        <v>55974</v>
      </c>
      <c r="R148" s="63">
        <v>0.28563198792893263</v>
      </c>
      <c r="S148" s="64">
        <v>55974</v>
      </c>
      <c r="T148" s="63">
        <v>0.3186280792492624</v>
      </c>
      <c r="U148" s="64">
        <v>55974</v>
      </c>
      <c r="V148" s="63">
        <v>0.23414995447186771</v>
      </c>
      <c r="W148" s="64">
        <v>55974</v>
      </c>
      <c r="X148" s="63">
        <v>0.2234305393516349</v>
      </c>
      <c r="Y148" s="64">
        <v>55974</v>
      </c>
      <c r="Z148" s="63">
        <v>0.29483435314893686</v>
      </c>
      <c r="AA148" s="64">
        <v>55974</v>
      </c>
      <c r="AB148" s="63">
        <v>0.31059922712160354</v>
      </c>
      <c r="AC148" s="64">
        <v>55974</v>
      </c>
      <c r="AD148" s="63">
        <v>0.1697003729661849</v>
      </c>
      <c r="AE148" s="64">
        <v>55974</v>
      </c>
      <c r="AF148" s="63">
        <v>0.18272051052924199</v>
      </c>
    </row>
    <row r="149" spans="1:32" x14ac:dyDescent="0.25">
      <c r="A149" s="64">
        <v>56065</v>
      </c>
      <c r="B149" s="63">
        <v>0.15080567166969239</v>
      </c>
      <c r="C149" s="64">
        <v>56065</v>
      </c>
      <c r="D149" s="63">
        <v>0.15083171644518131</v>
      </c>
      <c r="E149" s="64">
        <v>56065</v>
      </c>
      <c r="F149" s="63">
        <v>0.24954309645808012</v>
      </c>
      <c r="G149" s="64">
        <v>56065</v>
      </c>
      <c r="H149" s="63">
        <v>0.24148221519208782</v>
      </c>
      <c r="I149" s="64">
        <v>56065</v>
      </c>
      <c r="J149" s="63">
        <v>4.3339511746622705E-2</v>
      </c>
      <c r="K149" s="64">
        <v>56065</v>
      </c>
      <c r="L149" s="63">
        <v>4.3339511746622705E-2</v>
      </c>
      <c r="M149" s="64">
        <v>56065</v>
      </c>
      <c r="N149" s="63">
        <v>1.583826460317363E-2</v>
      </c>
      <c r="O149" s="64">
        <v>56065</v>
      </c>
      <c r="P149" s="63">
        <v>2.0479869256202467E-2</v>
      </c>
      <c r="Q149" s="64">
        <v>56065</v>
      </c>
      <c r="R149" s="63">
        <v>0.28294779909945345</v>
      </c>
      <c r="S149" s="64">
        <v>56065</v>
      </c>
      <c r="T149" s="63">
        <v>0.31566324631804815</v>
      </c>
      <c r="U149" s="64">
        <v>56065</v>
      </c>
      <c r="V149" s="63">
        <v>0.23183032181588822</v>
      </c>
      <c r="W149" s="64">
        <v>56065</v>
      </c>
      <c r="X149" s="63">
        <v>0.22099376629879941</v>
      </c>
      <c r="Y149" s="64">
        <v>56065</v>
      </c>
      <c r="Z149" s="63">
        <v>0.29218947163513692</v>
      </c>
      <c r="AA149" s="64">
        <v>56065</v>
      </c>
      <c r="AB149" s="63">
        <v>0.30793978237209713</v>
      </c>
      <c r="AC149" s="64">
        <v>56065</v>
      </c>
      <c r="AD149" s="63">
        <v>0.16761145401318961</v>
      </c>
      <c r="AE149" s="64">
        <v>56065</v>
      </c>
      <c r="AF149" s="63">
        <v>0.18054102374221867</v>
      </c>
    </row>
    <row r="150" spans="1:32" x14ac:dyDescent="0.25">
      <c r="A150" s="64">
        <v>56157</v>
      </c>
      <c r="B150" s="63">
        <v>0.1488145067821938</v>
      </c>
      <c r="C150" s="64">
        <v>56157</v>
      </c>
      <c r="D150" s="63">
        <v>0.14884019336187415</v>
      </c>
      <c r="E150" s="64">
        <v>56157</v>
      </c>
      <c r="F150" s="63">
        <v>0.24712659547691884</v>
      </c>
      <c r="G150" s="64">
        <v>56157</v>
      </c>
      <c r="H150" s="63">
        <v>0.23912478730623848</v>
      </c>
      <c r="I150" s="64">
        <v>56157</v>
      </c>
      <c r="J150" s="63">
        <v>4.2346682239127964E-2</v>
      </c>
      <c r="K150" s="64">
        <v>56157</v>
      </c>
      <c r="L150" s="63">
        <v>4.2346682239127964E-2</v>
      </c>
      <c r="M150" s="64">
        <v>56157</v>
      </c>
      <c r="N150" s="63">
        <v>1.5426013338597201E-2</v>
      </c>
      <c r="O150" s="64">
        <v>56157</v>
      </c>
      <c r="P150" s="63">
        <v>1.9971897272784103E-2</v>
      </c>
      <c r="Q150" s="64">
        <v>56157</v>
      </c>
      <c r="R150" s="63">
        <v>0.28023251915512126</v>
      </c>
      <c r="S150" s="64">
        <v>56157</v>
      </c>
      <c r="T150" s="63">
        <v>0.31266402931070025</v>
      </c>
      <c r="U150" s="64">
        <v>56157</v>
      </c>
      <c r="V150" s="63">
        <v>0.22948567145538221</v>
      </c>
      <c r="W150" s="64">
        <v>56157</v>
      </c>
      <c r="X150" s="63">
        <v>0.21853080379378595</v>
      </c>
      <c r="Y150" s="64">
        <v>56157</v>
      </c>
      <c r="Z150" s="63">
        <v>0.28951552548931725</v>
      </c>
      <c r="AA150" s="64">
        <v>56157</v>
      </c>
      <c r="AB150" s="63">
        <v>0.30525111295501367</v>
      </c>
      <c r="AC150" s="64">
        <v>56157</v>
      </c>
      <c r="AD150" s="63">
        <v>0.16549891423054452</v>
      </c>
      <c r="AE150" s="64">
        <v>56157</v>
      </c>
      <c r="AF150" s="63">
        <v>0.1783368140970166</v>
      </c>
    </row>
    <row r="151" spans="1:32" x14ac:dyDescent="0.25">
      <c r="A151" s="64">
        <v>56249</v>
      </c>
      <c r="B151" s="63">
        <v>0.146843533894912</v>
      </c>
      <c r="C151" s="64">
        <v>56249</v>
      </c>
      <c r="D151" s="63">
        <v>0.14686886613847128</v>
      </c>
      <c r="E151" s="64">
        <v>56249</v>
      </c>
      <c r="F151" s="63">
        <v>0.24471009449575756</v>
      </c>
      <c r="G151" s="64">
        <v>56249</v>
      </c>
      <c r="H151" s="63">
        <v>0.23676735942038915</v>
      </c>
      <c r="I151" s="64">
        <v>56249</v>
      </c>
      <c r="J151" s="63">
        <v>4.1374998272589399E-2</v>
      </c>
      <c r="K151" s="64">
        <v>56249</v>
      </c>
      <c r="L151" s="63">
        <v>4.1374998272589399E-2</v>
      </c>
      <c r="M151" s="64">
        <v>56249</v>
      </c>
      <c r="N151" s="63">
        <v>1.5013762074020769E-2</v>
      </c>
      <c r="O151" s="64">
        <v>56249</v>
      </c>
      <c r="P151" s="63">
        <v>1.946392528936574E-2</v>
      </c>
      <c r="Q151" s="64">
        <v>56249</v>
      </c>
      <c r="R151" s="63">
        <v>0.27748215945598531</v>
      </c>
      <c r="S151" s="64">
        <v>56249</v>
      </c>
      <c r="T151" s="63">
        <v>0.30962513542496889</v>
      </c>
      <c r="U151" s="64">
        <v>56249</v>
      </c>
      <c r="V151" s="63">
        <v>0.22715142190772653</v>
      </c>
      <c r="W151" s="64">
        <v>56249</v>
      </c>
      <c r="X151" s="63">
        <v>0.21608078330967512</v>
      </c>
      <c r="Y151" s="64">
        <v>56249</v>
      </c>
      <c r="Z151" s="63">
        <v>0.28684157934349752</v>
      </c>
      <c r="AA151" s="64">
        <v>56249</v>
      </c>
      <c r="AB151" s="63">
        <v>0.30256244353793027</v>
      </c>
      <c r="AC151" s="64">
        <v>56249</v>
      </c>
      <c r="AD151" s="63">
        <v>0.16337172956885501</v>
      </c>
      <c r="AE151" s="64">
        <v>56249</v>
      </c>
      <c r="AF151" s="63">
        <v>0.17611561046544796</v>
      </c>
    </row>
    <row r="152" spans="1:32" x14ac:dyDescent="0.25">
      <c r="A152" s="64">
        <v>56339</v>
      </c>
      <c r="B152" s="63">
        <v>0.14492009275883871</v>
      </c>
      <c r="C152" s="64">
        <v>56339</v>
      </c>
      <c r="D152" s="63">
        <v>0.14494507919818639</v>
      </c>
      <c r="E152" s="64">
        <v>56339</v>
      </c>
      <c r="F152" s="63">
        <v>0.24235123208152054</v>
      </c>
      <c r="G152" s="64">
        <v>56339</v>
      </c>
      <c r="H152" s="63">
        <v>0.23446620214340763</v>
      </c>
      <c r="I152" s="64">
        <v>56339</v>
      </c>
      <c r="J152" s="63">
        <v>4.0418134696959755E-2</v>
      </c>
      <c r="K152" s="64">
        <v>56339</v>
      </c>
      <c r="L152" s="63">
        <v>4.0418134696959755E-2</v>
      </c>
      <c r="M152" s="64">
        <v>56339</v>
      </c>
      <c r="N152" s="63">
        <v>1.4610472793456871E-2</v>
      </c>
      <c r="O152" s="64">
        <v>56339</v>
      </c>
      <c r="P152" s="63">
        <v>1.8966996175152125E-2</v>
      </c>
      <c r="Q152" s="64">
        <v>56339</v>
      </c>
      <c r="R152" s="63">
        <v>0.27479840529142419</v>
      </c>
      <c r="S152" s="64">
        <v>56339</v>
      </c>
      <c r="T152" s="63">
        <v>0.30665895244328834</v>
      </c>
      <c r="U152" s="64">
        <v>56339</v>
      </c>
      <c r="V152" s="63">
        <v>0.22487280399040602</v>
      </c>
      <c r="W152" s="64">
        <v>56339</v>
      </c>
      <c r="X152" s="63">
        <v>0.21368895764110185</v>
      </c>
      <c r="Y152" s="64">
        <v>56339</v>
      </c>
      <c r="Z152" s="63">
        <v>0.28423020914444153</v>
      </c>
      <c r="AA152" s="64">
        <v>56339</v>
      </c>
      <c r="AB152" s="63">
        <v>0.29993645046815148</v>
      </c>
      <c r="AC152" s="64">
        <v>56339</v>
      </c>
      <c r="AD152" s="63">
        <v>0.1612974490965893</v>
      </c>
      <c r="AE152" s="64">
        <v>56339</v>
      </c>
      <c r="AF152" s="63">
        <v>0.17394955542727375</v>
      </c>
    </row>
    <row r="153" spans="1:32" x14ac:dyDescent="0.25">
      <c r="A153" s="64">
        <v>56430</v>
      </c>
      <c r="B153" s="63">
        <v>0.14305580165431495</v>
      </c>
      <c r="C153" s="64">
        <v>56430</v>
      </c>
      <c r="D153" s="63">
        <v>0.14308045269591715</v>
      </c>
      <c r="E153" s="64">
        <v>56430</v>
      </c>
      <c r="F153" s="63">
        <v>0.24005392546693374</v>
      </c>
      <c r="G153" s="64">
        <v>56430</v>
      </c>
      <c r="H153" s="63">
        <v>0.23222580208722335</v>
      </c>
      <c r="I153" s="64">
        <v>56430</v>
      </c>
      <c r="J153" s="63">
        <v>3.9492666472123426E-2</v>
      </c>
      <c r="K153" s="64">
        <v>56430</v>
      </c>
      <c r="L153" s="63">
        <v>3.9492666472123426E-2</v>
      </c>
      <c r="M153" s="64">
        <v>56430</v>
      </c>
      <c r="N153" s="63">
        <v>1.4202702520886705E-2</v>
      </c>
      <c r="O153" s="64">
        <v>56430</v>
      </c>
      <c r="P153" s="63">
        <v>1.8464545626336135E-2</v>
      </c>
      <c r="Q153" s="64">
        <v>56430</v>
      </c>
      <c r="R153" s="63">
        <v>0.27220197574166538</v>
      </c>
      <c r="S153" s="64">
        <v>56430</v>
      </c>
      <c r="T153" s="63">
        <v>0.30377408349438167</v>
      </c>
      <c r="U153" s="64">
        <v>56430</v>
      </c>
      <c r="V153" s="63">
        <v>0.22265287148455651</v>
      </c>
      <c r="W153" s="64">
        <v>56430</v>
      </c>
      <c r="X153" s="63">
        <v>0.21135535752654064</v>
      </c>
      <c r="Y153" s="64">
        <v>56430</v>
      </c>
      <c r="Z153" s="63">
        <v>0.28166625725622085</v>
      </c>
      <c r="AA153" s="64">
        <v>56430</v>
      </c>
      <c r="AB153" s="63">
        <v>0.29735393733978704</v>
      </c>
      <c r="AC153" s="64">
        <v>56430</v>
      </c>
      <c r="AD153" s="63">
        <v>0.15931461701911057</v>
      </c>
      <c r="AE153" s="64">
        <v>56430</v>
      </c>
      <c r="AF153" s="63">
        <v>0.17187737566768424</v>
      </c>
    </row>
    <row r="154" spans="1:32" x14ac:dyDescent="0.25">
      <c r="A154" s="64">
        <v>56522</v>
      </c>
      <c r="B154" s="63">
        <v>0.1411718883877639</v>
      </c>
      <c r="C154" s="64">
        <v>56522</v>
      </c>
      <c r="D154" s="63">
        <v>0.14119620051180057</v>
      </c>
      <c r="E154" s="64">
        <v>56522</v>
      </c>
      <c r="F154" s="63">
        <v>0.23773137372471415</v>
      </c>
      <c r="G154" s="64">
        <v>56522</v>
      </c>
      <c r="H154" s="63">
        <v>0.22996078225020186</v>
      </c>
      <c r="I154" s="64">
        <v>56522</v>
      </c>
      <c r="J154" s="63">
        <v>3.8587961203812846E-2</v>
      </c>
      <c r="K154" s="64">
        <v>56522</v>
      </c>
      <c r="L154" s="63">
        <v>3.8587961203812846E-2</v>
      </c>
      <c r="M154" s="64">
        <v>56522</v>
      </c>
      <c r="N154" s="63">
        <v>1.3790451256310274E-2</v>
      </c>
      <c r="O154" s="64">
        <v>56522</v>
      </c>
      <c r="P154" s="63">
        <v>1.7956573642917771E-2</v>
      </c>
      <c r="Q154" s="64">
        <v>56522</v>
      </c>
      <c r="R154" s="63">
        <v>0.2695754895896752</v>
      </c>
      <c r="S154" s="64">
        <v>56522</v>
      </c>
      <c r="T154" s="63">
        <v>0.3008557959817707</v>
      </c>
      <c r="U154" s="64">
        <v>56522</v>
      </c>
      <c r="V154" s="63">
        <v>0.22040899058371197</v>
      </c>
      <c r="W154" s="64">
        <v>56522</v>
      </c>
      <c r="X154" s="63">
        <v>0.20899667918486201</v>
      </c>
      <c r="Y154" s="64">
        <v>56522</v>
      </c>
      <c r="Z154" s="63">
        <v>0.27907413007252518</v>
      </c>
      <c r="AA154" s="64">
        <v>56522</v>
      </c>
      <c r="AB154" s="63">
        <v>0.29474304494627573</v>
      </c>
      <c r="AC154" s="64">
        <v>56522</v>
      </c>
      <c r="AD154" s="63">
        <v>0.15730935988914119</v>
      </c>
      <c r="AE154" s="64">
        <v>56522</v>
      </c>
      <c r="AF154" s="63">
        <v>0.16978168643345765</v>
      </c>
    </row>
    <row r="155" spans="1:32" x14ac:dyDescent="0.25">
      <c r="A155" s="64">
        <v>56614</v>
      </c>
      <c r="B155" s="63">
        <v>0.13930699529616777</v>
      </c>
      <c r="C155" s="64">
        <v>56614</v>
      </c>
      <c r="D155" s="63">
        <v>0.13933097215176624</v>
      </c>
      <c r="E155" s="64">
        <v>56614</v>
      </c>
      <c r="F155" s="63">
        <v>0.23540882198249452</v>
      </c>
      <c r="G155" s="64">
        <v>56614</v>
      </c>
      <c r="H155" s="63">
        <v>0.2276957624131804</v>
      </c>
      <c r="I155" s="64">
        <v>56614</v>
      </c>
      <c r="J155" s="63">
        <v>3.77025245835029E-2</v>
      </c>
      <c r="K155" s="64">
        <v>56614</v>
      </c>
      <c r="L155" s="63">
        <v>3.77025245835029E-2</v>
      </c>
      <c r="M155" s="64">
        <v>56614</v>
      </c>
      <c r="N155" s="63">
        <v>1.3378199991733843E-2</v>
      </c>
      <c r="O155" s="64">
        <v>56614</v>
      </c>
      <c r="P155" s="63">
        <v>1.7448601659499408E-2</v>
      </c>
      <c r="Q155" s="64">
        <v>56614</v>
      </c>
      <c r="R155" s="63">
        <v>0.26691546643139435</v>
      </c>
      <c r="S155" s="64">
        <v>56614</v>
      </c>
      <c r="T155" s="63">
        <v>0.29789974091245469</v>
      </c>
      <c r="U155" s="64">
        <v>56614</v>
      </c>
      <c r="V155" s="63">
        <v>0.21817493197241333</v>
      </c>
      <c r="W155" s="64">
        <v>56614</v>
      </c>
      <c r="X155" s="63">
        <v>0.20665044690726378</v>
      </c>
      <c r="Y155" s="64">
        <v>56614</v>
      </c>
      <c r="Z155" s="63">
        <v>0.27648200288882951</v>
      </c>
      <c r="AA155" s="64">
        <v>56614</v>
      </c>
      <c r="AB155" s="63">
        <v>0.29213215255276448</v>
      </c>
      <c r="AC155" s="64">
        <v>56614</v>
      </c>
      <c r="AD155" s="63">
        <v>0.15529011760113043</v>
      </c>
      <c r="AE155" s="64">
        <v>56614</v>
      </c>
      <c r="AF155" s="63">
        <v>0.16766975529250006</v>
      </c>
    </row>
    <row r="156" spans="1:32" x14ac:dyDescent="0.25">
      <c r="A156" s="64">
        <v>56704</v>
      </c>
      <c r="B156" s="63">
        <v>0.13748707886244635</v>
      </c>
      <c r="C156" s="64">
        <v>56704</v>
      </c>
      <c r="D156" s="63">
        <v>0.13751072852223734</v>
      </c>
      <c r="E156" s="64">
        <v>56704</v>
      </c>
      <c r="F156" s="63">
        <v>0.23314200355014739</v>
      </c>
      <c r="G156" s="64">
        <v>56704</v>
      </c>
      <c r="H156" s="63">
        <v>0.22548513478339993</v>
      </c>
      <c r="I156" s="64">
        <v>56704</v>
      </c>
      <c r="J156" s="63">
        <v>3.6830592885873571E-2</v>
      </c>
      <c r="K156" s="64">
        <v>56704</v>
      </c>
      <c r="L156" s="63">
        <v>3.6830592885873571E-2</v>
      </c>
      <c r="M156" s="64">
        <v>56704</v>
      </c>
      <c r="N156" s="63">
        <v>1.2974910711169943E-2</v>
      </c>
      <c r="O156" s="64">
        <v>56704</v>
      </c>
      <c r="P156" s="63">
        <v>1.695167254528579E-2</v>
      </c>
      <c r="Q156" s="64">
        <v>56704</v>
      </c>
      <c r="R156" s="63">
        <v>0.26431916529754257</v>
      </c>
      <c r="S156" s="64">
        <v>56704</v>
      </c>
      <c r="T156" s="63">
        <v>0.29501369982586895</v>
      </c>
      <c r="U156" s="64">
        <v>56704</v>
      </c>
      <c r="V156" s="63">
        <v>0.21599412187839157</v>
      </c>
      <c r="W156" s="64">
        <v>56704</v>
      </c>
      <c r="X156" s="63">
        <v>0.20435994264148027</v>
      </c>
      <c r="Y156" s="64">
        <v>56704</v>
      </c>
      <c r="Z156" s="63">
        <v>0.2739515890316192</v>
      </c>
      <c r="AA156" s="64">
        <v>56704</v>
      </c>
      <c r="AB156" s="63">
        <v>0.28958318444237113</v>
      </c>
      <c r="AC156" s="64">
        <v>56704</v>
      </c>
      <c r="AD156" s="63">
        <v>0.15332052998822779</v>
      </c>
      <c r="AE156" s="64">
        <v>56704</v>
      </c>
      <c r="AF156" s="63">
        <v>0.1656096680128688</v>
      </c>
    </row>
    <row r="157" spans="1:32" x14ac:dyDescent="0.25">
      <c r="A157" s="64">
        <v>56795</v>
      </c>
      <c r="B157" s="63">
        <v>0.13572318251544688</v>
      </c>
      <c r="C157" s="64">
        <v>56795</v>
      </c>
      <c r="D157" s="63">
        <v>0.13574651482321456</v>
      </c>
      <c r="E157" s="64">
        <v>56795</v>
      </c>
      <c r="F157" s="63">
        <v>0.23094012052940485</v>
      </c>
      <c r="G157" s="64">
        <v>56795</v>
      </c>
      <c r="H157" s="63">
        <v>0.22333851287652806</v>
      </c>
      <c r="I157" s="64">
        <v>56795</v>
      </c>
      <c r="J157" s="63">
        <v>3.5987269865815186E-2</v>
      </c>
      <c r="K157" s="64">
        <v>56795</v>
      </c>
      <c r="L157" s="63">
        <v>3.5987269865815186E-2</v>
      </c>
      <c r="M157" s="64">
        <v>56795</v>
      </c>
      <c r="N157" s="63">
        <v>1.2567140438599779E-2</v>
      </c>
      <c r="O157" s="64">
        <v>56795</v>
      </c>
      <c r="P157" s="63">
        <v>1.6449221996469802E-2</v>
      </c>
      <c r="Q157" s="64">
        <v>56795</v>
      </c>
      <c r="R157" s="63">
        <v>0.26179535233383583</v>
      </c>
      <c r="S157" s="64">
        <v>56795</v>
      </c>
      <c r="T157" s="63">
        <v>0.29219446066122318</v>
      </c>
      <c r="U157" s="64">
        <v>56795</v>
      </c>
      <c r="V157" s="63">
        <v>0.21386955938109667</v>
      </c>
      <c r="W157" s="64">
        <v>56795</v>
      </c>
      <c r="X157" s="63">
        <v>0.20212517080253051</v>
      </c>
      <c r="Y157" s="64">
        <v>56795</v>
      </c>
      <c r="Z157" s="63">
        <v>0.27148523893014298</v>
      </c>
      <c r="AA157" s="64">
        <v>56795</v>
      </c>
      <c r="AB157" s="63">
        <v>0.28709468801540738</v>
      </c>
      <c r="AC157" s="64">
        <v>56795</v>
      </c>
      <c r="AD157" s="63">
        <v>0.15142803347201486</v>
      </c>
      <c r="AE157" s="64">
        <v>56795</v>
      </c>
      <c r="AF157" s="63">
        <v>0.16362866077424748</v>
      </c>
    </row>
    <row r="158" spans="1:32" x14ac:dyDescent="0.25">
      <c r="A158" s="64">
        <v>56887</v>
      </c>
      <c r="B158" s="63">
        <v>0.13394115544507862</v>
      </c>
      <c r="C158" s="64">
        <v>56887</v>
      </c>
      <c r="D158" s="63">
        <v>0.13396416714560741</v>
      </c>
      <c r="E158" s="64">
        <v>56887</v>
      </c>
      <c r="F158" s="63">
        <v>0.22871404099195089</v>
      </c>
      <c r="G158" s="64">
        <v>56887</v>
      </c>
      <c r="H158" s="63">
        <v>0.22116830171793231</v>
      </c>
      <c r="I158" s="64">
        <v>56887</v>
      </c>
      <c r="J158" s="63">
        <v>3.5162486216476503E-2</v>
      </c>
      <c r="K158" s="64">
        <v>56887</v>
      </c>
      <c r="L158" s="63">
        <v>3.5162486216476503E-2</v>
      </c>
      <c r="M158" s="64">
        <v>56887</v>
      </c>
      <c r="N158" s="63">
        <v>1.2154889174023348E-2</v>
      </c>
      <c r="O158" s="64">
        <v>56887</v>
      </c>
      <c r="P158" s="63">
        <v>1.5941250013051439E-2</v>
      </c>
      <c r="Q158" s="64">
        <v>56887</v>
      </c>
      <c r="R158" s="63">
        <v>0.25924346389486919</v>
      </c>
      <c r="S158" s="64">
        <v>56887</v>
      </c>
      <c r="T158" s="63">
        <v>0.28934373700149246</v>
      </c>
      <c r="U158" s="64">
        <v>56887</v>
      </c>
      <c r="V158" s="63">
        <v>0.21172261236734499</v>
      </c>
      <c r="W158" s="64">
        <v>56887</v>
      </c>
      <c r="X158" s="63">
        <v>0.19986691055830672</v>
      </c>
      <c r="Y158" s="64">
        <v>56887</v>
      </c>
      <c r="Z158" s="63">
        <v>0.26899178608029883</v>
      </c>
      <c r="AA158" s="64">
        <v>56887</v>
      </c>
      <c r="AB158" s="63">
        <v>0.28457884547386159</v>
      </c>
      <c r="AC158" s="64">
        <v>56887</v>
      </c>
      <c r="AD158" s="63">
        <v>0.14951506719724711</v>
      </c>
      <c r="AE158" s="64">
        <v>56887</v>
      </c>
      <c r="AF158" s="63">
        <v>0.16162615614254419</v>
      </c>
    </row>
    <row r="159" spans="1:32" x14ac:dyDescent="0.25">
      <c r="A159" s="64">
        <v>56979</v>
      </c>
      <c r="B159" s="63">
        <v>0.1321866889400917</v>
      </c>
      <c r="C159" s="64">
        <v>56979</v>
      </c>
      <c r="D159" s="63">
        <v>0.13220938514110592</v>
      </c>
      <c r="E159" s="64">
        <v>56979</v>
      </c>
      <c r="F159" s="63">
        <v>0.2264879614544969</v>
      </c>
      <c r="G159" s="64">
        <v>56979</v>
      </c>
      <c r="H159" s="63">
        <v>0.21899809055933658</v>
      </c>
      <c r="I159" s="64">
        <v>56979</v>
      </c>
      <c r="J159" s="63">
        <v>3.4347859684161229E-2</v>
      </c>
      <c r="K159" s="64">
        <v>56979</v>
      </c>
      <c r="L159" s="63">
        <v>3.4347859684161229E-2</v>
      </c>
      <c r="M159" s="64">
        <v>56979</v>
      </c>
      <c r="N159" s="63">
        <v>1.1742637909446917E-2</v>
      </c>
      <c r="O159" s="64">
        <v>56979</v>
      </c>
      <c r="P159" s="63">
        <v>1.5433278029633075E-2</v>
      </c>
      <c r="Q159" s="64">
        <v>56979</v>
      </c>
      <c r="R159" s="63">
        <v>0.25668406758481788</v>
      </c>
      <c r="S159" s="64">
        <v>56979</v>
      </c>
      <c r="T159" s="63">
        <v>0.28648192875343331</v>
      </c>
      <c r="U159" s="64">
        <v>56979</v>
      </c>
      <c r="V159" s="63">
        <v>0.20959683648539562</v>
      </c>
      <c r="W159" s="64">
        <v>56979</v>
      </c>
      <c r="X159" s="63">
        <v>0.19763217990857007</v>
      </c>
      <c r="Y159" s="64">
        <v>56979</v>
      </c>
      <c r="Z159" s="63">
        <v>0.26649833323045474</v>
      </c>
      <c r="AA159" s="64">
        <v>56979</v>
      </c>
      <c r="AB159" s="63">
        <v>0.28206300293231584</v>
      </c>
      <c r="AC159" s="64">
        <v>56979</v>
      </c>
      <c r="AD159" s="63">
        <v>0.1476092928645665</v>
      </c>
      <c r="AE159" s="64">
        <v>56979</v>
      </c>
      <c r="AF159" s="63">
        <v>0.1596296336899562</v>
      </c>
    </row>
    <row r="160" spans="1:32" x14ac:dyDescent="0.25">
      <c r="A160" s="64">
        <v>57070</v>
      </c>
      <c r="B160" s="63">
        <v>0.13045494407529298</v>
      </c>
      <c r="C160" s="64">
        <v>57070</v>
      </c>
      <c r="D160" s="63">
        <v>0.13047732885383487</v>
      </c>
      <c r="E160" s="64">
        <v>57070</v>
      </c>
      <c r="F160" s="63">
        <v>0.22429045703516434</v>
      </c>
      <c r="G160" s="64">
        <v>57070</v>
      </c>
      <c r="H160" s="63">
        <v>0.21685577513846485</v>
      </c>
      <c r="I160" s="64">
        <v>57070</v>
      </c>
      <c r="J160" s="63">
        <v>3.355303512349838E-2</v>
      </c>
      <c r="K160" s="64">
        <v>57070</v>
      </c>
      <c r="L160" s="63">
        <v>3.355303512349838E-2</v>
      </c>
      <c r="M160" s="64">
        <v>57070</v>
      </c>
      <c r="N160" s="63">
        <v>1.1334867636876753E-2</v>
      </c>
      <c r="O160" s="64">
        <v>57070</v>
      </c>
      <c r="P160" s="63">
        <v>1.4930827480817085E-2</v>
      </c>
      <c r="Q160" s="64">
        <v>57070</v>
      </c>
      <c r="R160" s="63">
        <v>0.25415813714271307</v>
      </c>
      <c r="S160" s="64">
        <v>57070</v>
      </c>
      <c r="T160" s="63">
        <v>0.28365675993482076</v>
      </c>
      <c r="U160" s="64">
        <v>57070</v>
      </c>
      <c r="V160" s="63">
        <v>0.20749797603507911</v>
      </c>
      <c r="W160" s="64">
        <v>57070</v>
      </c>
      <c r="X160" s="63">
        <v>0.19542560453523666</v>
      </c>
      <c r="Y160" s="64">
        <v>57070</v>
      </c>
      <c r="Z160" s="63">
        <v>0.26403612639719082</v>
      </c>
      <c r="AA160" s="64">
        <v>57070</v>
      </c>
      <c r="AB160" s="63">
        <v>0.27957845914230195</v>
      </c>
      <c r="AC160" s="64">
        <v>57070</v>
      </c>
      <c r="AD160" s="63">
        <v>0.14572965765527568</v>
      </c>
      <c r="AE160" s="64">
        <v>57070</v>
      </c>
      <c r="AF160" s="63">
        <v>0.15766041013732063</v>
      </c>
    </row>
    <row r="161" spans="1:32" x14ac:dyDescent="0.25">
      <c r="A161" s="64">
        <v>57161</v>
      </c>
      <c r="B161" s="63">
        <v>0.12878600246645075</v>
      </c>
      <c r="C161" s="64">
        <v>57161</v>
      </c>
      <c r="D161" s="63">
        <v>0.12880808696295493</v>
      </c>
      <c r="E161" s="64">
        <v>57161</v>
      </c>
      <c r="F161" s="63">
        <v>0.22216826456008321</v>
      </c>
      <c r="G161" s="64">
        <v>57161</v>
      </c>
      <c r="H161" s="63">
        <v>0.2147875312767957</v>
      </c>
      <c r="I161" s="64">
        <v>57161</v>
      </c>
      <c r="J161" s="63">
        <v>3.2784759494589727E-2</v>
      </c>
      <c r="K161" s="64">
        <v>57161</v>
      </c>
      <c r="L161" s="63">
        <v>3.2784759494589727E-2</v>
      </c>
      <c r="M161" s="64">
        <v>57161</v>
      </c>
      <c r="N161" s="63">
        <v>1.0927097364306587E-2</v>
      </c>
      <c r="O161" s="64">
        <v>57161</v>
      </c>
      <c r="P161" s="63">
        <v>1.4428376932001094E-2</v>
      </c>
      <c r="Q161" s="64">
        <v>57161</v>
      </c>
      <c r="R161" s="63">
        <v>0.25172932379740909</v>
      </c>
      <c r="S161" s="64">
        <v>57161</v>
      </c>
      <c r="T161" s="63">
        <v>0.28092675558674834</v>
      </c>
      <c r="U161" s="64">
        <v>57161</v>
      </c>
      <c r="V161" s="63">
        <v>0.20546463334396081</v>
      </c>
      <c r="W161" s="64">
        <v>57161</v>
      </c>
      <c r="X161" s="63">
        <v>0.19328550244674039</v>
      </c>
      <c r="Y161" s="64">
        <v>57161</v>
      </c>
      <c r="Z161" s="63">
        <v>0.26164518377717899</v>
      </c>
      <c r="AA161" s="64">
        <v>57161</v>
      </c>
      <c r="AB161" s="63">
        <v>0.27716190070782581</v>
      </c>
      <c r="AC161" s="64">
        <v>57161</v>
      </c>
      <c r="AD161" s="63">
        <v>0.1439433184278319</v>
      </c>
      <c r="AE161" s="64">
        <v>57161</v>
      </c>
      <c r="AF161" s="63">
        <v>0.15578746477055672</v>
      </c>
    </row>
    <row r="162" spans="1:32" x14ac:dyDescent="0.25">
      <c r="A162" s="64">
        <v>57253</v>
      </c>
      <c r="B162" s="63">
        <v>0.1270994874645357</v>
      </c>
      <c r="C162" s="64">
        <v>57253</v>
      </c>
      <c r="D162" s="63">
        <v>0.12712126852747208</v>
      </c>
      <c r="E162" s="64">
        <v>57253</v>
      </c>
      <c r="F162" s="63">
        <v>0.2200227512885726</v>
      </c>
      <c r="G162" s="64">
        <v>57253</v>
      </c>
      <c r="H162" s="63">
        <v>0.21269655946060273</v>
      </c>
      <c r="I162" s="64">
        <v>57253</v>
      </c>
      <c r="J162" s="63">
        <v>3.2033720193255517E-2</v>
      </c>
      <c r="K162" s="64">
        <v>57253</v>
      </c>
      <c r="L162" s="63">
        <v>3.2033720193255517E-2</v>
      </c>
      <c r="M162" s="64">
        <v>57253</v>
      </c>
      <c r="N162" s="63">
        <v>1.0514846099730156E-2</v>
      </c>
      <c r="O162" s="64">
        <v>57253</v>
      </c>
      <c r="P162" s="63">
        <v>1.3920404948582731E-2</v>
      </c>
      <c r="Q162" s="64">
        <v>57253</v>
      </c>
      <c r="R162" s="63">
        <v>0.24927242934927904</v>
      </c>
      <c r="S162" s="64">
        <v>57253</v>
      </c>
      <c r="T162" s="63">
        <v>0.27816520134348965</v>
      </c>
      <c r="U162" s="64">
        <v>57253</v>
      </c>
      <c r="V162" s="63">
        <v>0.20340934362370502</v>
      </c>
      <c r="W162" s="64">
        <v>57253</v>
      </c>
      <c r="X162" s="63">
        <v>0.19112240613643058</v>
      </c>
      <c r="Y162" s="64">
        <v>57253</v>
      </c>
      <c r="Z162" s="63">
        <v>0.25922796706244172</v>
      </c>
      <c r="AA162" s="64">
        <v>57253</v>
      </c>
      <c r="AB162" s="63">
        <v>0.27471878668615768</v>
      </c>
      <c r="AC162" s="64">
        <v>57253</v>
      </c>
      <c r="AD162" s="63">
        <v>0.14213676901180833</v>
      </c>
      <c r="AE162" s="64">
        <v>57253</v>
      </c>
      <c r="AF162" s="63">
        <v>0.15389326284985003</v>
      </c>
    </row>
    <row r="163" spans="1:32" x14ac:dyDescent="0.25">
      <c r="A163" s="64">
        <v>57345</v>
      </c>
      <c r="B163" s="63">
        <v>0.12542983820396927</v>
      </c>
      <c r="C163" s="64">
        <v>57345</v>
      </c>
      <c r="D163" s="63">
        <v>0.12545131909533416</v>
      </c>
      <c r="E163" s="64">
        <v>57345</v>
      </c>
      <c r="F163" s="63">
        <v>0.21787723801706199</v>
      </c>
      <c r="G163" s="64">
        <v>57345</v>
      </c>
      <c r="H163" s="63">
        <v>0.21060558764440976</v>
      </c>
      <c r="I163" s="64">
        <v>57345</v>
      </c>
      <c r="J163" s="63">
        <v>3.1298676722208596E-2</v>
      </c>
      <c r="K163" s="64">
        <v>57345</v>
      </c>
      <c r="L163" s="63">
        <v>3.1298676722208596E-2</v>
      </c>
      <c r="M163" s="64">
        <v>57345</v>
      </c>
      <c r="N163" s="63">
        <v>1.0102594835153725E-2</v>
      </c>
      <c r="O163" s="64">
        <v>57345</v>
      </c>
      <c r="P163" s="63">
        <v>1.3412432965164367E-2</v>
      </c>
      <c r="Q163" s="64">
        <v>57345</v>
      </c>
      <c r="R163" s="63">
        <v>0.24678493628289455</v>
      </c>
      <c r="S163" s="64">
        <v>57345</v>
      </c>
      <c r="T163" s="63">
        <v>0.2753695504573167</v>
      </c>
      <c r="U163" s="64">
        <v>57345</v>
      </c>
      <c r="V163" s="63">
        <v>0.20136279661632103</v>
      </c>
      <c r="W163" s="64">
        <v>57345</v>
      </c>
      <c r="X163" s="63">
        <v>0.18897082426432102</v>
      </c>
      <c r="Y163" s="64">
        <v>57345</v>
      </c>
      <c r="Z163" s="63">
        <v>0.25681075034770445</v>
      </c>
      <c r="AA163" s="64">
        <v>57345</v>
      </c>
      <c r="AB163" s="63">
        <v>0.27227567266448954</v>
      </c>
      <c r="AC163" s="64">
        <v>57345</v>
      </c>
      <c r="AD163" s="63">
        <v>0.1403174576778404</v>
      </c>
      <c r="AE163" s="64">
        <v>57345</v>
      </c>
      <c r="AF163" s="63">
        <v>0.15198421672118057</v>
      </c>
    </row>
    <row r="164" spans="1:32" x14ac:dyDescent="0.25">
      <c r="A164" s="64">
        <v>57435</v>
      </c>
      <c r="B164" s="63">
        <v>0.12380046299268986</v>
      </c>
      <c r="C164" s="64">
        <v>57435</v>
      </c>
      <c r="D164" s="63">
        <v>0.12382165093976785</v>
      </c>
      <c r="E164" s="64">
        <v>57435</v>
      </c>
      <c r="F164" s="63">
        <v>0.21578289751066393</v>
      </c>
      <c r="G164" s="64">
        <v>57435</v>
      </c>
      <c r="H164" s="63">
        <v>0.20856452414165436</v>
      </c>
      <c r="I164" s="64">
        <v>57435</v>
      </c>
      <c r="J164" s="63">
        <v>3.0574844336196724E-2</v>
      </c>
      <c r="K164" s="64">
        <v>57435</v>
      </c>
      <c r="L164" s="63">
        <v>3.0574844336196724E-2</v>
      </c>
      <c r="M164" s="64">
        <v>57435</v>
      </c>
      <c r="N164" s="63">
        <v>9.6993055545898255E-3</v>
      </c>
      <c r="O164" s="64">
        <v>57435</v>
      </c>
      <c r="P164" s="63">
        <v>1.2915503850950753E-2</v>
      </c>
      <c r="Q164" s="64">
        <v>57435</v>
      </c>
      <c r="R164" s="63">
        <v>0.24435764174922864</v>
      </c>
      <c r="S164" s="64">
        <v>57435</v>
      </c>
      <c r="T164" s="63">
        <v>0.27264071883742985</v>
      </c>
      <c r="U164" s="64">
        <v>57435</v>
      </c>
      <c r="V164" s="63">
        <v>0.19936503823190527</v>
      </c>
      <c r="W164" s="64">
        <v>57435</v>
      </c>
      <c r="X164" s="63">
        <v>0.18687034394161423</v>
      </c>
      <c r="Y164" s="64">
        <v>57435</v>
      </c>
      <c r="Z164" s="63">
        <v>0.25445043190837602</v>
      </c>
      <c r="AA164" s="64">
        <v>57435</v>
      </c>
      <c r="AB164" s="63">
        <v>0.26988984552955425</v>
      </c>
      <c r="AC164" s="64">
        <v>57435</v>
      </c>
      <c r="AD164" s="63">
        <v>0.13854340409002619</v>
      </c>
      <c r="AE164" s="64">
        <v>57435</v>
      </c>
      <c r="AF164" s="63">
        <v>0.15012257937084122</v>
      </c>
    </row>
    <row r="165" spans="1:32" x14ac:dyDescent="0.25">
      <c r="A165" s="64">
        <v>57526</v>
      </c>
      <c r="B165" s="63">
        <v>0.12222134943105964</v>
      </c>
      <c r="C165" s="64">
        <v>57526</v>
      </c>
      <c r="D165" s="63">
        <v>0.12224225324234515</v>
      </c>
      <c r="E165" s="64">
        <v>57526</v>
      </c>
      <c r="F165" s="63">
        <v>0.21374317237059881</v>
      </c>
      <c r="G165" s="64">
        <v>57526</v>
      </c>
      <c r="H165" s="63">
        <v>0.20657731403988178</v>
      </c>
      <c r="I165" s="64">
        <v>57526</v>
      </c>
      <c r="J165" s="63">
        <v>2.9874761387673053E-2</v>
      </c>
      <c r="K165" s="64">
        <v>57526</v>
      </c>
      <c r="L165" s="63">
        <v>2.9874761387673053E-2</v>
      </c>
      <c r="M165" s="64">
        <v>57526</v>
      </c>
      <c r="N165" s="63">
        <v>9.2915352820196612E-3</v>
      </c>
      <c r="O165" s="64">
        <v>57526</v>
      </c>
      <c r="P165" s="63">
        <v>1.2413053302134762E-2</v>
      </c>
      <c r="Q165" s="64">
        <v>57526</v>
      </c>
      <c r="R165" s="63">
        <v>0.24200861790712622</v>
      </c>
      <c r="S165" s="64">
        <v>57526</v>
      </c>
      <c r="T165" s="63">
        <v>0.26998546075668045</v>
      </c>
      <c r="U165" s="64">
        <v>57526</v>
      </c>
      <c r="V165" s="63">
        <v>0.19741896846622392</v>
      </c>
      <c r="W165" s="64">
        <v>57526</v>
      </c>
      <c r="X165" s="63">
        <v>0.18482091898306288</v>
      </c>
      <c r="Y165" s="64">
        <v>57526</v>
      </c>
      <c r="Z165" s="63">
        <v>0.2521386608528009</v>
      </c>
      <c r="AA165" s="64">
        <v>57526</v>
      </c>
      <c r="AB165" s="63">
        <v>0.26754928505982617</v>
      </c>
      <c r="AC165" s="64">
        <v>57526</v>
      </c>
      <c r="AD165" s="63">
        <v>0.13684774437494185</v>
      </c>
      <c r="AE165" s="64">
        <v>57526</v>
      </c>
      <c r="AF165" s="63">
        <v>0.1483418052582702</v>
      </c>
    </row>
    <row r="166" spans="1:32" x14ac:dyDescent="0.25">
      <c r="A166" s="64">
        <v>57618</v>
      </c>
      <c r="B166" s="63">
        <v>0.12062560461819534</v>
      </c>
      <c r="C166" s="64">
        <v>57618</v>
      </c>
      <c r="D166" s="63">
        <v>0.120646221311508</v>
      </c>
      <c r="E166" s="64">
        <v>57618</v>
      </c>
      <c r="F166" s="63">
        <v>0.21168103266855492</v>
      </c>
      <c r="G166" s="64">
        <v>57618</v>
      </c>
      <c r="H166" s="63">
        <v>0.20456826646446333</v>
      </c>
      <c r="I166" s="64">
        <v>57618</v>
      </c>
      <c r="J166" s="63">
        <v>2.9190384858272939E-2</v>
      </c>
      <c r="K166" s="64">
        <v>57618</v>
      </c>
      <c r="L166" s="63">
        <v>2.9190384858272939E-2</v>
      </c>
      <c r="M166" s="64">
        <v>57618</v>
      </c>
      <c r="N166" s="63">
        <v>8.8792840174432303E-3</v>
      </c>
      <c r="O166" s="64">
        <v>57618</v>
      </c>
      <c r="P166" s="63">
        <v>1.1905081318716398E-2</v>
      </c>
      <c r="Q166" s="64">
        <v>57618</v>
      </c>
      <c r="R166" s="63">
        <v>0.23963245316915269</v>
      </c>
      <c r="S166" s="64">
        <v>57618</v>
      </c>
      <c r="T166" s="63">
        <v>0.26729955411129047</v>
      </c>
      <c r="U166" s="64">
        <v>57618</v>
      </c>
      <c r="V166" s="63">
        <v>0.19545188783324147</v>
      </c>
      <c r="W166" s="64">
        <v>57618</v>
      </c>
      <c r="X166" s="63">
        <v>0.18274947637704037</v>
      </c>
      <c r="Y166" s="64">
        <v>57618</v>
      </c>
      <c r="Z166" s="63">
        <v>0.24980148571969191</v>
      </c>
      <c r="AA166" s="64">
        <v>57618</v>
      </c>
      <c r="AB166" s="63">
        <v>0.26518300414537582</v>
      </c>
      <c r="AC166" s="64">
        <v>57618</v>
      </c>
      <c r="AD166" s="63">
        <v>0.13513289663709879</v>
      </c>
      <c r="AE166" s="64">
        <v>57618</v>
      </c>
      <c r="AF166" s="63">
        <v>0.14654081688260914</v>
      </c>
    </row>
    <row r="167" spans="1:32" x14ac:dyDescent="0.25">
      <c r="A167" s="64">
        <v>57710</v>
      </c>
      <c r="B167" s="63">
        <v>0.11904573599637781</v>
      </c>
      <c r="C167" s="64">
        <v>57710</v>
      </c>
      <c r="D167" s="63">
        <v>0.11906606865591873</v>
      </c>
      <c r="E167" s="64">
        <v>57710</v>
      </c>
      <c r="F167" s="63">
        <v>0.20961889296651107</v>
      </c>
      <c r="G167" s="64">
        <v>57710</v>
      </c>
      <c r="H167" s="63">
        <v>0.20255921888904488</v>
      </c>
      <c r="I167" s="64">
        <v>57710</v>
      </c>
      <c r="J167" s="63">
        <v>2.8520584358113357E-2</v>
      </c>
      <c r="K167" s="64">
        <v>57710</v>
      </c>
      <c r="L167" s="63">
        <v>2.8520584358113357E-2</v>
      </c>
      <c r="M167" s="64">
        <v>57710</v>
      </c>
      <c r="N167" s="63">
        <v>8.4670327528667995E-3</v>
      </c>
      <c r="O167" s="64">
        <v>57710</v>
      </c>
      <c r="P167" s="63">
        <v>1.1397109335298035E-2</v>
      </c>
      <c r="Q167" s="64">
        <v>57710</v>
      </c>
      <c r="R167" s="63">
        <v>0.2372270845959295</v>
      </c>
      <c r="S167" s="64">
        <v>57710</v>
      </c>
      <c r="T167" s="63">
        <v>0.26458130956882475</v>
      </c>
      <c r="U167" s="64">
        <v>57710</v>
      </c>
      <c r="V167" s="63">
        <v>0.1934930465245247</v>
      </c>
      <c r="W167" s="64">
        <v>57710</v>
      </c>
      <c r="X167" s="63">
        <v>0.18068911090124679</v>
      </c>
      <c r="Y167" s="64">
        <v>57710</v>
      </c>
      <c r="Z167" s="63">
        <v>0.24746431058658294</v>
      </c>
      <c r="AA167" s="64">
        <v>57710</v>
      </c>
      <c r="AB167" s="63">
        <v>0.26281672323092548</v>
      </c>
      <c r="AC167" s="64">
        <v>57710</v>
      </c>
      <c r="AD167" s="63">
        <v>0.13340585210990299</v>
      </c>
      <c r="AE167" s="64">
        <v>57710</v>
      </c>
      <c r="AF167" s="63">
        <v>0.14472563153739063</v>
      </c>
    </row>
    <row r="168" spans="1:32" x14ac:dyDescent="0.25">
      <c r="A168" s="64">
        <v>57800</v>
      </c>
      <c r="B168" s="63">
        <v>0.1175039790492375</v>
      </c>
      <c r="C168" s="64">
        <v>57800</v>
      </c>
      <c r="D168" s="63">
        <v>0.11752403451360634</v>
      </c>
      <c r="E168" s="64">
        <v>57800</v>
      </c>
      <c r="F168" s="63">
        <v>0.20760593678558298</v>
      </c>
      <c r="G168" s="64">
        <v>57800</v>
      </c>
      <c r="H168" s="63">
        <v>0.20059812354297304</v>
      </c>
      <c r="I168" s="64">
        <v>57800</v>
      </c>
      <c r="J168" s="63">
        <v>2.7860999839265623E-2</v>
      </c>
      <c r="K168" s="64">
        <v>57800</v>
      </c>
      <c r="L168" s="63">
        <v>2.7860999839265623E-2</v>
      </c>
      <c r="M168" s="64">
        <v>57800</v>
      </c>
      <c r="N168" s="63">
        <v>8.0637434723028999E-3</v>
      </c>
      <c r="O168" s="64">
        <v>57800</v>
      </c>
      <c r="P168" s="63">
        <v>1.0900180221084421E-2</v>
      </c>
      <c r="Q168" s="64">
        <v>57800</v>
      </c>
      <c r="R168" s="63">
        <v>0.23487991274504089</v>
      </c>
      <c r="S168" s="64">
        <v>57800</v>
      </c>
      <c r="T168" s="63">
        <v>0.26192800922253656</v>
      </c>
      <c r="U168" s="64">
        <v>57800</v>
      </c>
      <c r="V168" s="63">
        <v>0.19158090789177576</v>
      </c>
      <c r="W168" s="64">
        <v>57800</v>
      </c>
      <c r="X168" s="63">
        <v>0.17867767890043745</v>
      </c>
      <c r="Y168" s="64">
        <v>57800</v>
      </c>
      <c r="Z168" s="63">
        <v>0.24518184780658647</v>
      </c>
      <c r="AA168" s="64">
        <v>57800</v>
      </c>
      <c r="AB168" s="63">
        <v>0.26050562127920635</v>
      </c>
      <c r="AC168" s="64">
        <v>57800</v>
      </c>
      <c r="AD168" s="63">
        <v>0.13172177380761316</v>
      </c>
      <c r="AE168" s="64">
        <v>57800</v>
      </c>
      <c r="AF168" s="63">
        <v>0.14295552777996914</v>
      </c>
    </row>
    <row r="169" spans="1:32" x14ac:dyDescent="0.25">
      <c r="A169" s="64">
        <v>57891</v>
      </c>
      <c r="B169" s="63">
        <v>0.11600983693684597</v>
      </c>
      <c r="C169" s="64">
        <v>57891</v>
      </c>
      <c r="D169" s="63">
        <v>0.11602962353870119</v>
      </c>
      <c r="E169" s="64">
        <v>57891</v>
      </c>
      <c r="F169" s="63">
        <v>0.20564546167379888</v>
      </c>
      <c r="G169" s="64">
        <v>57891</v>
      </c>
      <c r="H169" s="63">
        <v>0.19868875997459953</v>
      </c>
      <c r="I169" s="64">
        <v>57891</v>
      </c>
      <c r="J169" s="63">
        <v>2.722305674127911E-2</v>
      </c>
      <c r="K169" s="64">
        <v>57891</v>
      </c>
      <c r="L169" s="63">
        <v>2.722305674127911E-2</v>
      </c>
      <c r="M169" s="64">
        <v>57891</v>
      </c>
      <c r="N169" s="63">
        <v>7.6559731997327338E-3</v>
      </c>
      <c r="O169" s="64">
        <v>57891</v>
      </c>
      <c r="P169" s="63">
        <v>1.039772967226843E-2</v>
      </c>
      <c r="Q169" s="64">
        <v>57891</v>
      </c>
      <c r="R169" s="63">
        <v>0.23260818052382687</v>
      </c>
      <c r="S169" s="64">
        <v>57891</v>
      </c>
      <c r="T169" s="63">
        <v>0.25934581582437999</v>
      </c>
      <c r="U169" s="64">
        <v>57891</v>
      </c>
      <c r="V169" s="63">
        <v>0.18971832721688481</v>
      </c>
      <c r="W169" s="64">
        <v>57891</v>
      </c>
      <c r="X169" s="63">
        <v>0.17671510986671518</v>
      </c>
      <c r="Y169" s="64">
        <v>57891</v>
      </c>
      <c r="Z169" s="63">
        <v>0.24294113315542848</v>
      </c>
      <c r="AA169" s="64">
        <v>57891</v>
      </c>
      <c r="AB169" s="63">
        <v>0.25823309374329567</v>
      </c>
      <c r="AC169" s="64">
        <v>57891</v>
      </c>
      <c r="AD169" s="63">
        <v>0.13011217787519821</v>
      </c>
      <c r="AE169" s="64">
        <v>57891</v>
      </c>
      <c r="AF169" s="63">
        <v>0.14126237558025795</v>
      </c>
    </row>
    <row r="170" spans="1:32" x14ac:dyDescent="0.25">
      <c r="A170" s="64">
        <v>57983</v>
      </c>
      <c r="B170" s="63">
        <v>0.11449995480906924</v>
      </c>
      <c r="C170" s="64">
        <v>57983</v>
      </c>
      <c r="D170" s="63">
        <v>0.11451946972642986</v>
      </c>
      <c r="E170" s="64">
        <v>57983</v>
      </c>
      <c r="F170" s="63">
        <v>0.20366344287946769</v>
      </c>
      <c r="G170" s="64">
        <v>57983</v>
      </c>
      <c r="H170" s="63">
        <v>0.19675841438899114</v>
      </c>
      <c r="I170" s="64">
        <v>57983</v>
      </c>
      <c r="J170" s="63">
        <v>2.6599425949705786E-2</v>
      </c>
      <c r="K170" s="64">
        <v>57983</v>
      </c>
      <c r="L170" s="63">
        <v>2.6599425949705786E-2</v>
      </c>
      <c r="M170" s="64">
        <v>57983</v>
      </c>
      <c r="N170" s="63">
        <v>7.2437219351563047E-3</v>
      </c>
      <c r="O170" s="64">
        <v>57983</v>
      </c>
      <c r="P170" s="63">
        <v>9.8897576888500663E-3</v>
      </c>
      <c r="Q170" s="64">
        <v>57983</v>
      </c>
      <c r="R170" s="63">
        <v>0.23031021806340685</v>
      </c>
      <c r="S170" s="64">
        <v>57983</v>
      </c>
      <c r="T170" s="63">
        <v>0.25673385453029529</v>
      </c>
      <c r="U170" s="64">
        <v>57983</v>
      </c>
      <c r="V170" s="63">
        <v>0.18783563129152148</v>
      </c>
      <c r="W170" s="64">
        <v>57983</v>
      </c>
      <c r="X170" s="63">
        <v>0.17473145858564604</v>
      </c>
      <c r="Y170" s="64">
        <v>57983</v>
      </c>
      <c r="Z170" s="63">
        <v>0.24067579526634567</v>
      </c>
      <c r="AA170" s="64">
        <v>57983</v>
      </c>
      <c r="AB170" s="63">
        <v>0.25593559337732008</v>
      </c>
      <c r="AC170" s="64">
        <v>57983</v>
      </c>
      <c r="AD170" s="63">
        <v>0.1284843640734798</v>
      </c>
      <c r="AE170" s="64">
        <v>57983</v>
      </c>
      <c r="AF170" s="63">
        <v>0.13954999998124037</v>
      </c>
    </row>
    <row r="171" spans="1:32" x14ac:dyDescent="0.25">
      <c r="A171" s="64">
        <v>58075</v>
      </c>
      <c r="B171" s="63">
        <v>0.11300501351284664</v>
      </c>
      <c r="C171" s="64">
        <v>58075</v>
      </c>
      <c r="D171" s="63">
        <v>0.1130242596618596</v>
      </c>
      <c r="E171" s="64">
        <v>58075</v>
      </c>
      <c r="F171" s="63">
        <v>0.20168142408513651</v>
      </c>
      <c r="G171" s="64">
        <v>58075</v>
      </c>
      <c r="H171" s="63">
        <v>0.19482806880338274</v>
      </c>
      <c r="I171" s="64">
        <v>58075</v>
      </c>
      <c r="J171" s="63">
        <v>2.5989077408856438E-2</v>
      </c>
      <c r="K171" s="64">
        <v>58075</v>
      </c>
      <c r="L171" s="63">
        <v>2.5989077408856438E-2</v>
      </c>
      <c r="M171" s="64">
        <v>58075</v>
      </c>
      <c r="N171" s="63">
        <v>6.8314706705798721E-3</v>
      </c>
      <c r="O171" s="64">
        <v>58075</v>
      </c>
      <c r="P171" s="63">
        <v>9.3817857054317028E-3</v>
      </c>
      <c r="Q171" s="64">
        <v>58075</v>
      </c>
      <c r="R171" s="63">
        <v>0.22798440032800024</v>
      </c>
      <c r="S171" s="64">
        <v>58075</v>
      </c>
      <c r="T171" s="63">
        <v>0.25409126606161125</v>
      </c>
      <c r="U171" s="64">
        <v>58075</v>
      </c>
      <c r="V171" s="63">
        <v>0.18596069408485977</v>
      </c>
      <c r="W171" s="64">
        <v>58075</v>
      </c>
      <c r="X171" s="63">
        <v>0.17275846510186685</v>
      </c>
      <c r="Y171" s="64">
        <v>58075</v>
      </c>
      <c r="Z171" s="63">
        <v>0.23841045737726285</v>
      </c>
      <c r="AA171" s="64">
        <v>58075</v>
      </c>
      <c r="AB171" s="63">
        <v>0.25363809301134443</v>
      </c>
      <c r="AC171" s="64">
        <v>58075</v>
      </c>
      <c r="AD171" s="63">
        <v>0.12684489022964707</v>
      </c>
      <c r="AE171" s="64">
        <v>58075</v>
      </c>
      <c r="AF171" s="63">
        <v>0.13782404309631369</v>
      </c>
    </row>
    <row r="172" spans="1:32" x14ac:dyDescent="0.25">
      <c r="A172" s="64">
        <v>58165</v>
      </c>
      <c r="B172" s="63">
        <v>0.11154216748293566</v>
      </c>
      <c r="C172" s="64">
        <v>58165</v>
      </c>
      <c r="D172" s="63">
        <v>0.11156115141688855</v>
      </c>
      <c r="E172" s="64">
        <v>58165</v>
      </c>
      <c r="F172" s="63">
        <v>0.19974507992084842</v>
      </c>
      <c r="G172" s="64">
        <v>58165</v>
      </c>
      <c r="H172" s="63">
        <v>0.19294219325854781</v>
      </c>
      <c r="I172" s="64">
        <v>58165</v>
      </c>
      <c r="J172" s="63">
        <v>2.5388038071696511E-2</v>
      </c>
      <c r="K172" s="64">
        <v>58165</v>
      </c>
      <c r="L172" s="63">
        <v>2.5388038071696511E-2</v>
      </c>
      <c r="M172" s="64">
        <v>58165</v>
      </c>
      <c r="N172" s="63">
        <v>6.4401056751334368E-3</v>
      </c>
      <c r="O172" s="64">
        <v>58165</v>
      </c>
      <c r="P172" s="63">
        <v>8.8988573099837934E-3</v>
      </c>
      <c r="Q172" s="64">
        <v>58165</v>
      </c>
      <c r="R172" s="63">
        <v>0.22572705726661202</v>
      </c>
      <c r="S172" s="64">
        <v>58165</v>
      </c>
      <c r="T172" s="63">
        <v>0.25153943290590874</v>
      </c>
      <c r="U172" s="64">
        <v>58165</v>
      </c>
      <c r="V172" s="63">
        <v>0.18412335297937402</v>
      </c>
      <c r="W172" s="64">
        <v>58165</v>
      </c>
      <c r="X172" s="63">
        <v>0.17083499486670692</v>
      </c>
      <c r="Y172" s="64">
        <v>58165</v>
      </c>
      <c r="Z172" s="63">
        <v>0.2362063113995968</v>
      </c>
      <c r="AA172" s="64">
        <v>58165</v>
      </c>
      <c r="AB172" s="63">
        <v>0.25140257209846251</v>
      </c>
      <c r="AC172" s="64">
        <v>58165</v>
      </c>
      <c r="AD172" s="63">
        <v>0.12524352970474986</v>
      </c>
      <c r="AE172" s="64">
        <v>58165</v>
      </c>
      <c r="AF172" s="63">
        <v>0.13613820496827736</v>
      </c>
    </row>
    <row r="173" spans="1:32" x14ac:dyDescent="0.25">
      <c r="A173" s="64">
        <v>58256</v>
      </c>
      <c r="B173" s="63">
        <v>0.11005613262177737</v>
      </c>
      <c r="C173" s="64">
        <v>58256</v>
      </c>
      <c r="D173" s="63">
        <v>0.11007486363983042</v>
      </c>
      <c r="E173" s="64">
        <v>58256</v>
      </c>
      <c r="F173" s="63">
        <v>0.19783169303113501</v>
      </c>
      <c r="G173" s="64">
        <v>58256</v>
      </c>
      <c r="H173" s="63">
        <v>0.19107843900490151</v>
      </c>
      <c r="I173" s="64">
        <v>58256</v>
      </c>
      <c r="J173" s="63">
        <v>2.4806719247795931E-2</v>
      </c>
      <c r="K173" s="64">
        <v>58256</v>
      </c>
      <c r="L173" s="63">
        <v>2.4806719247795931E-2</v>
      </c>
      <c r="M173" s="64">
        <v>58256</v>
      </c>
      <c r="N173" s="63">
        <v>6.2493573917011243E-3</v>
      </c>
      <c r="O173" s="64">
        <v>58256</v>
      </c>
      <c r="P173" s="63">
        <v>8.6512198427037383E-3</v>
      </c>
      <c r="Q173" s="64">
        <v>58256</v>
      </c>
      <c r="R173" s="63">
        <v>0.22375254438275918</v>
      </c>
      <c r="S173" s="64">
        <v>58256</v>
      </c>
      <c r="T173" s="63">
        <v>0.24953176904880087</v>
      </c>
      <c r="U173" s="64">
        <v>58256</v>
      </c>
      <c r="V173" s="63">
        <v>0.18221122158459543</v>
      </c>
      <c r="W173" s="64">
        <v>58256</v>
      </c>
      <c r="X173" s="63">
        <v>0.16900415092817053</v>
      </c>
      <c r="Y173" s="64">
        <v>58256</v>
      </c>
      <c r="Z173" s="63">
        <v>0.23418300367576078</v>
      </c>
      <c r="AA173" s="64">
        <v>58256</v>
      </c>
      <c r="AB173" s="63">
        <v>0.24934905959449269</v>
      </c>
      <c r="AC173" s="64">
        <v>58256</v>
      </c>
      <c r="AD173" s="63">
        <v>0.12366687724302521</v>
      </c>
      <c r="AE173" s="64">
        <v>58256</v>
      </c>
      <c r="AF173" s="63">
        <v>0.1344782912660771</v>
      </c>
    </row>
    <row r="174" spans="1:32" x14ac:dyDescent="0.25">
      <c r="A174" s="64">
        <v>58348</v>
      </c>
      <c r="B174" s="63">
        <v>0.10855482753763546</v>
      </c>
      <c r="C174" s="64">
        <v>58348</v>
      </c>
      <c r="D174" s="63">
        <v>0.10857330304087107</v>
      </c>
      <c r="E174" s="64">
        <v>58348</v>
      </c>
      <c r="F174" s="63">
        <v>0.19589727991186434</v>
      </c>
      <c r="G174" s="64">
        <v>58348</v>
      </c>
      <c r="H174" s="63">
        <v>0.18919420393528108</v>
      </c>
      <c r="I174" s="64">
        <v>58348</v>
      </c>
      <c r="J174" s="63">
        <v>2.4238179969723314E-2</v>
      </c>
      <c r="K174" s="64">
        <v>58348</v>
      </c>
      <c r="L174" s="63">
        <v>2.4238179969723314E-2</v>
      </c>
      <c r="M174" s="64">
        <v>58348</v>
      </c>
      <c r="N174" s="63">
        <v>6.0565129732860386E-3</v>
      </c>
      <c r="O174" s="64">
        <v>58348</v>
      </c>
      <c r="P174" s="63">
        <v>8.4008610845744507E-3</v>
      </c>
      <c r="Q174" s="64">
        <v>58348</v>
      </c>
      <c r="R174" s="63">
        <v>0.2217560007392167</v>
      </c>
      <c r="S174" s="64">
        <v>58348</v>
      </c>
      <c r="T174" s="63">
        <v>0.24750156352067396</v>
      </c>
      <c r="U174" s="64">
        <v>58348</v>
      </c>
      <c r="V174" s="63">
        <v>0.18027893741666104</v>
      </c>
      <c r="W174" s="64">
        <v>58348</v>
      </c>
      <c r="X174" s="63">
        <v>0.16715406548980374</v>
      </c>
      <c r="Y174" s="64">
        <v>58348</v>
      </c>
      <c r="Z174" s="63">
        <v>0.23213746180111336</v>
      </c>
      <c r="AA174" s="64">
        <v>58348</v>
      </c>
      <c r="AB174" s="63">
        <v>0.24727298101905071</v>
      </c>
      <c r="AC174" s="64">
        <v>58348</v>
      </c>
      <c r="AD174" s="63">
        <v>0.12207318849055945</v>
      </c>
      <c r="AE174" s="64">
        <v>58348</v>
      </c>
      <c r="AF174" s="63">
        <v>0.13280038137679639</v>
      </c>
    </row>
    <row r="175" spans="1:32" x14ac:dyDescent="0.25">
      <c r="A175" s="64">
        <v>58440</v>
      </c>
      <c r="B175" s="63">
        <v>0.10707683872307912</v>
      </c>
      <c r="C175" s="64">
        <v>58440</v>
      </c>
      <c r="D175" s="63">
        <v>0.10709506267981286</v>
      </c>
      <c r="E175" s="64">
        <v>58440</v>
      </c>
      <c r="F175" s="63">
        <v>0.19396286679259364</v>
      </c>
      <c r="G175" s="64">
        <v>58440</v>
      </c>
      <c r="H175" s="63">
        <v>0.18730996886566065</v>
      </c>
      <c r="I175" s="64">
        <v>58440</v>
      </c>
      <c r="J175" s="63">
        <v>2.3676642188327102E-2</v>
      </c>
      <c r="K175" s="64">
        <v>58440</v>
      </c>
      <c r="L175" s="63">
        <v>2.3676642188327102E-2</v>
      </c>
      <c r="M175" s="64">
        <v>58440</v>
      </c>
      <c r="N175" s="63">
        <v>5.8636685548709537E-3</v>
      </c>
      <c r="O175" s="64">
        <v>58440</v>
      </c>
      <c r="P175" s="63">
        <v>8.1505023264451647E-3</v>
      </c>
      <c r="Q175" s="64">
        <v>58440</v>
      </c>
      <c r="R175" s="63">
        <v>0.21975213514563174</v>
      </c>
      <c r="S175" s="64">
        <v>58440</v>
      </c>
      <c r="T175" s="63">
        <v>0.24546081051426508</v>
      </c>
      <c r="U175" s="64">
        <v>58440</v>
      </c>
      <c r="V175" s="63">
        <v>0.17836556576331128</v>
      </c>
      <c r="W175" s="64">
        <v>58440</v>
      </c>
      <c r="X175" s="63">
        <v>0.16532328866668269</v>
      </c>
      <c r="Y175" s="64">
        <v>58440</v>
      </c>
      <c r="Z175" s="63">
        <v>0.23009191992646597</v>
      </c>
      <c r="AA175" s="64">
        <v>58440</v>
      </c>
      <c r="AB175" s="63">
        <v>0.2451969024436087</v>
      </c>
      <c r="AC175" s="64">
        <v>58440</v>
      </c>
      <c r="AD175" s="63">
        <v>0.1204858700688001</v>
      </c>
      <c r="AE175" s="64">
        <v>58440</v>
      </c>
      <c r="AF175" s="63">
        <v>0.13112785318985928</v>
      </c>
    </row>
    <row r="176" spans="1:32" x14ac:dyDescent="0.25">
      <c r="A176" s="64"/>
      <c r="B176" s="63"/>
      <c r="C176" s="64"/>
      <c r="D176" s="63"/>
      <c r="E176" s="64"/>
      <c r="F176" s="63"/>
      <c r="G176" s="64"/>
      <c r="H176" s="63"/>
      <c r="I176" s="64"/>
      <c r="J176" s="63"/>
      <c r="K176" s="64"/>
      <c r="L176" s="63"/>
      <c r="M176" s="64"/>
      <c r="N176" s="63"/>
      <c r="O176" s="64"/>
      <c r="P176" s="63"/>
      <c r="Q176" s="64"/>
      <c r="R176" s="63"/>
      <c r="S176" s="64"/>
      <c r="T176" s="63"/>
      <c r="U176" s="64"/>
      <c r="V176" s="63"/>
      <c r="W176" s="64"/>
      <c r="X176" s="63"/>
      <c r="Y176" s="64"/>
      <c r="Z176" s="63"/>
      <c r="AA176" s="64"/>
      <c r="AB176" s="63"/>
      <c r="AC176" s="64"/>
      <c r="AD176" s="63"/>
      <c r="AE176" s="64"/>
      <c r="AF176" s="63"/>
    </row>
    <row r="177" spans="1:32" x14ac:dyDescent="0.25">
      <c r="A177" s="64"/>
      <c r="B177" s="63"/>
      <c r="C177" s="64"/>
      <c r="D177" s="63"/>
      <c r="E177" s="64"/>
      <c r="F177" s="63"/>
      <c r="G177" s="64"/>
      <c r="H177" s="63"/>
      <c r="I177" s="64"/>
      <c r="J177" s="63"/>
      <c r="K177" s="64"/>
      <c r="L177" s="63"/>
      <c r="M177" s="64"/>
      <c r="N177" s="63"/>
      <c r="O177" s="64"/>
      <c r="P177" s="63"/>
      <c r="Q177" s="64"/>
      <c r="R177" s="63"/>
      <c r="S177" s="64"/>
      <c r="T177" s="63"/>
      <c r="U177" s="64"/>
      <c r="V177" s="63"/>
      <c r="W177" s="64"/>
      <c r="X177" s="63"/>
      <c r="Y177" s="64"/>
      <c r="Z177" s="63"/>
      <c r="AA177" s="64"/>
      <c r="AB177" s="63"/>
      <c r="AC177" s="64"/>
      <c r="AD177" s="63"/>
      <c r="AE177" s="64"/>
      <c r="AF177" s="63"/>
    </row>
    <row r="178" spans="1:32" x14ac:dyDescent="0.25">
      <c r="A178" s="64"/>
      <c r="B178" s="63"/>
      <c r="C178" s="64"/>
      <c r="D178" s="63"/>
      <c r="E178" s="64"/>
      <c r="F178" s="63"/>
      <c r="G178" s="64"/>
      <c r="H178" s="63"/>
      <c r="I178" s="64"/>
      <c r="J178" s="63"/>
      <c r="K178" s="64"/>
      <c r="L178" s="63"/>
      <c r="M178" s="64"/>
      <c r="N178" s="63"/>
      <c r="O178" s="64"/>
      <c r="P178" s="63"/>
      <c r="Q178" s="64"/>
      <c r="R178" s="63"/>
      <c r="S178" s="64"/>
      <c r="T178" s="63"/>
      <c r="U178" s="64"/>
      <c r="V178" s="63"/>
      <c r="W178" s="64"/>
      <c r="X178" s="63"/>
      <c r="Y178" s="64"/>
      <c r="Z178" s="63"/>
      <c r="AA178" s="64"/>
      <c r="AB178" s="63"/>
      <c r="AC178" s="64"/>
      <c r="AD178" s="63"/>
      <c r="AE178" s="64"/>
      <c r="AF178" s="63"/>
    </row>
    <row r="179" spans="1:32" x14ac:dyDescent="0.25">
      <c r="A179" s="64"/>
      <c r="B179" s="63"/>
      <c r="C179" s="64"/>
      <c r="D179" s="63"/>
      <c r="E179" s="64"/>
      <c r="F179" s="63"/>
      <c r="G179" s="64"/>
      <c r="H179" s="63"/>
      <c r="I179" s="64"/>
      <c r="J179" s="63"/>
      <c r="K179" s="64"/>
      <c r="L179" s="63"/>
      <c r="M179" s="64"/>
      <c r="N179" s="63"/>
      <c r="O179" s="64"/>
      <c r="P179" s="63"/>
      <c r="Q179" s="64"/>
      <c r="R179" s="63"/>
      <c r="S179" s="64"/>
      <c r="T179" s="63"/>
      <c r="U179" s="64"/>
      <c r="V179" s="63"/>
      <c r="W179" s="64"/>
      <c r="X179" s="63"/>
      <c r="Y179" s="64"/>
      <c r="Z179" s="63"/>
      <c r="AA179" s="64"/>
      <c r="AB179" s="63"/>
      <c r="AC179" s="64"/>
      <c r="AD179" s="63"/>
      <c r="AE179" s="64"/>
      <c r="AF179" s="63"/>
    </row>
    <row r="180" spans="1:32" x14ac:dyDescent="0.25">
      <c r="A180" s="64"/>
      <c r="B180" s="63"/>
      <c r="C180" s="64"/>
      <c r="D180" s="63"/>
      <c r="E180" s="64"/>
      <c r="F180" s="63"/>
      <c r="G180" s="64"/>
      <c r="H180" s="63"/>
      <c r="I180" s="64"/>
      <c r="J180" s="63"/>
      <c r="K180" s="64"/>
      <c r="L180" s="63"/>
      <c r="M180" s="64"/>
      <c r="N180" s="63"/>
      <c r="O180" s="64"/>
      <c r="P180" s="63"/>
      <c r="Q180" s="64"/>
      <c r="R180" s="63"/>
      <c r="S180" s="64"/>
      <c r="T180" s="63"/>
      <c r="U180" s="64"/>
      <c r="V180" s="63"/>
      <c r="W180" s="64"/>
      <c r="X180" s="63"/>
      <c r="Y180" s="64"/>
      <c r="Z180" s="63"/>
      <c r="AA180" s="64"/>
      <c r="AB180" s="63"/>
      <c r="AC180" s="64"/>
      <c r="AD180" s="63"/>
      <c r="AE180" s="64"/>
      <c r="AF180" s="63"/>
    </row>
    <row r="181" spans="1:32" x14ac:dyDescent="0.25">
      <c r="A181" s="64"/>
      <c r="B181" s="63"/>
      <c r="C181" s="64"/>
      <c r="D181" s="63"/>
      <c r="E181" s="64"/>
      <c r="F181" s="63"/>
      <c r="G181" s="64"/>
      <c r="H181" s="63"/>
      <c r="I181" s="64"/>
      <c r="J181" s="63"/>
      <c r="K181" s="64"/>
      <c r="L181" s="63"/>
      <c r="M181" s="64"/>
      <c r="N181" s="63"/>
      <c r="O181" s="64"/>
      <c r="P181" s="63"/>
      <c r="Q181" s="64"/>
      <c r="R181" s="63"/>
      <c r="S181" s="64"/>
      <c r="T181" s="63"/>
      <c r="U181" s="64"/>
      <c r="V181" s="63"/>
      <c r="W181" s="64"/>
      <c r="X181" s="63"/>
      <c r="Y181" s="64"/>
      <c r="Z181" s="63"/>
      <c r="AA181" s="64"/>
      <c r="AB181" s="63"/>
      <c r="AC181" s="64"/>
      <c r="AD181" s="63"/>
      <c r="AE181" s="64"/>
      <c r="AF181" s="63"/>
    </row>
    <row r="182" spans="1:32" x14ac:dyDescent="0.25">
      <c r="A182" s="64"/>
      <c r="B182" s="63"/>
      <c r="C182" s="64"/>
      <c r="D182" s="63"/>
      <c r="E182" s="64"/>
      <c r="F182" s="63"/>
      <c r="G182" s="64"/>
      <c r="H182" s="63"/>
      <c r="I182" s="64"/>
      <c r="J182" s="63"/>
      <c r="K182" s="64"/>
      <c r="L182" s="63"/>
      <c r="M182" s="64"/>
      <c r="N182" s="63"/>
      <c r="O182" s="64"/>
      <c r="P182" s="63"/>
      <c r="Q182" s="64"/>
      <c r="R182" s="63"/>
      <c r="S182" s="64"/>
      <c r="T182" s="63"/>
      <c r="U182" s="64"/>
      <c r="V182" s="63"/>
      <c r="W182" s="64"/>
      <c r="X182" s="63"/>
      <c r="Y182" s="64"/>
      <c r="Z182" s="63"/>
      <c r="AA182" s="64"/>
      <c r="AB182" s="63"/>
      <c r="AC182" s="64"/>
      <c r="AD182" s="63"/>
      <c r="AE182" s="64"/>
      <c r="AF182" s="63"/>
    </row>
    <row r="183" spans="1:32" x14ac:dyDescent="0.25">
      <c r="A183" s="64"/>
      <c r="B183" s="63"/>
      <c r="C183" s="64"/>
      <c r="D183" s="63"/>
      <c r="E183" s="64"/>
      <c r="F183" s="63"/>
      <c r="G183" s="64"/>
      <c r="H183" s="63"/>
      <c r="I183" s="64"/>
      <c r="J183" s="63"/>
      <c r="K183" s="64"/>
      <c r="L183" s="63"/>
      <c r="M183" s="64"/>
      <c r="N183" s="63"/>
      <c r="O183" s="64"/>
      <c r="P183" s="63"/>
      <c r="Q183" s="64"/>
      <c r="R183" s="63"/>
      <c r="S183" s="64"/>
      <c r="T183" s="63"/>
      <c r="U183" s="64"/>
      <c r="V183" s="63"/>
      <c r="W183" s="64"/>
      <c r="X183" s="63"/>
      <c r="Y183" s="64"/>
      <c r="Z183" s="63"/>
      <c r="AA183" s="64"/>
      <c r="AB183" s="63"/>
      <c r="AC183" s="64"/>
      <c r="AD183" s="63"/>
      <c r="AE183" s="64"/>
      <c r="AF183" s="63"/>
    </row>
    <row r="184" spans="1:32" x14ac:dyDescent="0.25">
      <c r="A184" s="64"/>
      <c r="B184" s="63"/>
      <c r="C184" s="64"/>
      <c r="D184" s="63"/>
      <c r="E184" s="64"/>
      <c r="F184" s="63"/>
      <c r="G184" s="64"/>
      <c r="H184" s="63"/>
      <c r="I184" s="64"/>
      <c r="J184" s="63"/>
      <c r="K184" s="64"/>
      <c r="L184" s="63"/>
      <c r="M184" s="64"/>
      <c r="N184" s="63"/>
      <c r="O184" s="64"/>
      <c r="P184" s="63"/>
      <c r="Q184" s="64"/>
      <c r="R184" s="63"/>
      <c r="S184" s="64"/>
      <c r="T184" s="63"/>
      <c r="U184" s="64"/>
      <c r="V184" s="63"/>
      <c r="W184" s="64"/>
      <c r="X184" s="63"/>
      <c r="Y184" s="64"/>
      <c r="Z184" s="63"/>
      <c r="AA184" s="64"/>
      <c r="AB184" s="63"/>
      <c r="AC184" s="64"/>
      <c r="AD184" s="63"/>
      <c r="AE184" s="64"/>
      <c r="AF184" s="63"/>
    </row>
    <row r="185" spans="1:32" x14ac:dyDescent="0.25">
      <c r="A185" s="64"/>
      <c r="B185" s="63"/>
      <c r="C185" s="64"/>
      <c r="D185" s="63"/>
      <c r="E185" s="64"/>
      <c r="F185" s="63"/>
      <c r="G185" s="64"/>
      <c r="H185" s="63"/>
      <c r="I185" s="64"/>
      <c r="J185" s="63"/>
      <c r="K185" s="64"/>
      <c r="L185" s="63"/>
      <c r="M185" s="64"/>
      <c r="N185" s="63"/>
      <c r="O185" s="64"/>
      <c r="P185" s="63"/>
      <c r="Q185" s="64"/>
      <c r="R185" s="63"/>
      <c r="S185" s="64"/>
      <c r="T185" s="63"/>
      <c r="U185" s="64"/>
      <c r="V185" s="63"/>
      <c r="W185" s="64"/>
      <c r="X185" s="63"/>
      <c r="Y185" s="64"/>
      <c r="Z185" s="63"/>
      <c r="AA185" s="64"/>
      <c r="AB185" s="63"/>
      <c r="AC185" s="64"/>
      <c r="AD185" s="63"/>
      <c r="AE185" s="64"/>
      <c r="AF185" s="63"/>
    </row>
    <row r="186" spans="1:32" x14ac:dyDescent="0.25">
      <c r="A186" s="64"/>
      <c r="B186" s="63"/>
      <c r="C186" s="64"/>
      <c r="D186" s="63"/>
      <c r="E186" s="64"/>
      <c r="F186" s="63"/>
      <c r="G186" s="64"/>
      <c r="H186" s="63"/>
      <c r="I186" s="64"/>
      <c r="J186" s="63"/>
      <c r="K186" s="64"/>
      <c r="L186" s="63"/>
      <c r="M186" s="64"/>
      <c r="N186" s="63"/>
      <c r="O186" s="64"/>
      <c r="P186" s="63"/>
      <c r="Q186" s="64"/>
      <c r="R186" s="63"/>
      <c r="S186" s="64"/>
      <c r="T186" s="63"/>
      <c r="U186" s="64"/>
      <c r="V186" s="63"/>
      <c r="W186" s="64"/>
      <c r="X186" s="63"/>
      <c r="Y186" s="64"/>
      <c r="Z186" s="63"/>
      <c r="AA186" s="64"/>
      <c r="AB186" s="63"/>
      <c r="AC186" s="64"/>
      <c r="AD186" s="63"/>
      <c r="AE186" s="64"/>
      <c r="AF186" s="63"/>
    </row>
    <row r="187" spans="1:32" x14ac:dyDescent="0.25">
      <c r="A187" s="64"/>
      <c r="B187" s="63"/>
      <c r="C187" s="64"/>
      <c r="D187" s="63"/>
      <c r="E187" s="64"/>
      <c r="F187" s="63"/>
      <c r="G187" s="64"/>
      <c r="H187" s="63"/>
      <c r="I187" s="64"/>
      <c r="J187" s="63"/>
      <c r="K187" s="64"/>
      <c r="L187" s="63"/>
      <c r="M187" s="64"/>
      <c r="N187" s="63"/>
      <c r="O187" s="64"/>
      <c r="P187" s="63"/>
      <c r="Q187" s="64"/>
      <c r="R187" s="63"/>
      <c r="S187" s="64"/>
      <c r="T187" s="63"/>
      <c r="U187" s="64"/>
      <c r="V187" s="63"/>
      <c r="W187" s="64"/>
      <c r="X187" s="63"/>
      <c r="Y187" s="64"/>
      <c r="Z187" s="63"/>
      <c r="AA187" s="64"/>
      <c r="AB187" s="63"/>
      <c r="AC187" s="64"/>
      <c r="AD187" s="63"/>
      <c r="AE187" s="64"/>
      <c r="AF187" s="63"/>
    </row>
    <row r="188" spans="1:32" x14ac:dyDescent="0.25">
      <c r="A188" s="64"/>
      <c r="B188" s="63"/>
      <c r="C188" s="64"/>
      <c r="D188" s="63"/>
      <c r="E188" s="64"/>
      <c r="F188" s="63"/>
      <c r="G188" s="64"/>
      <c r="H188" s="63"/>
      <c r="I188" s="64"/>
      <c r="J188" s="63"/>
      <c r="K188" s="64"/>
      <c r="L188" s="63"/>
      <c r="M188" s="64"/>
      <c r="N188" s="63"/>
      <c r="O188" s="64"/>
      <c r="P188" s="63"/>
      <c r="Q188" s="64"/>
      <c r="R188" s="63"/>
      <c r="S188" s="64"/>
      <c r="T188" s="63"/>
      <c r="U188" s="64"/>
      <c r="V188" s="63"/>
      <c r="W188" s="64"/>
      <c r="X188" s="63"/>
      <c r="Y188" s="64"/>
      <c r="Z188" s="63"/>
      <c r="AA188" s="64"/>
      <c r="AB188" s="63"/>
      <c r="AC188" s="64"/>
      <c r="AD188" s="63"/>
      <c r="AE188" s="64"/>
      <c r="AF188" s="63"/>
    </row>
    <row r="189" spans="1:32" x14ac:dyDescent="0.25">
      <c r="A189" s="64"/>
      <c r="B189" s="63"/>
      <c r="C189" s="64"/>
      <c r="D189" s="63"/>
      <c r="E189" s="64"/>
      <c r="F189" s="63"/>
      <c r="G189" s="64"/>
      <c r="H189" s="63"/>
      <c r="I189" s="64"/>
      <c r="J189" s="63"/>
      <c r="K189" s="64"/>
      <c r="L189" s="63"/>
      <c r="M189" s="64"/>
      <c r="N189" s="63"/>
      <c r="O189" s="64"/>
      <c r="P189" s="63"/>
      <c r="Q189" s="64"/>
      <c r="R189" s="63"/>
      <c r="S189" s="64"/>
      <c r="T189" s="63"/>
      <c r="U189" s="64"/>
      <c r="V189" s="63"/>
      <c r="W189" s="64"/>
      <c r="X189" s="63"/>
      <c r="Y189" s="64"/>
      <c r="Z189" s="63"/>
      <c r="AA189" s="64"/>
      <c r="AB189" s="63"/>
      <c r="AC189" s="64"/>
      <c r="AD189" s="63"/>
      <c r="AE189" s="64"/>
      <c r="AF189" s="63"/>
    </row>
    <row r="190" spans="1:32" x14ac:dyDescent="0.25">
      <c r="A190" s="64"/>
      <c r="B190" s="63"/>
      <c r="C190" s="64"/>
      <c r="D190" s="63"/>
      <c r="E190" s="64"/>
      <c r="F190" s="63"/>
      <c r="G190" s="64"/>
      <c r="H190" s="63"/>
      <c r="I190" s="64"/>
      <c r="J190" s="63"/>
      <c r="K190" s="64"/>
      <c r="L190" s="63"/>
      <c r="M190" s="64"/>
      <c r="N190" s="63"/>
      <c r="O190" s="64"/>
      <c r="P190" s="63"/>
      <c r="Q190" s="64"/>
      <c r="R190" s="63"/>
      <c r="S190" s="64"/>
      <c r="T190" s="63"/>
      <c r="U190" s="64"/>
      <c r="V190" s="63"/>
      <c r="W190" s="64"/>
      <c r="X190" s="63"/>
      <c r="Y190" s="64"/>
      <c r="Z190" s="63"/>
      <c r="AA190" s="64"/>
      <c r="AB190" s="63"/>
      <c r="AC190" s="64"/>
      <c r="AD190" s="63"/>
      <c r="AE190" s="64"/>
      <c r="AF190" s="63"/>
    </row>
    <row r="191" spans="1:32" x14ac:dyDescent="0.25">
      <c r="A191" s="64"/>
      <c r="B191" s="63"/>
      <c r="C191" s="64"/>
      <c r="D191" s="63"/>
      <c r="E191" s="64"/>
      <c r="F191" s="63"/>
      <c r="G191" s="64"/>
      <c r="H191" s="63"/>
      <c r="I191" s="64"/>
      <c r="J191" s="63"/>
      <c r="K191" s="64"/>
      <c r="L191" s="63"/>
      <c r="M191" s="64"/>
      <c r="N191" s="63"/>
      <c r="O191" s="64"/>
      <c r="P191" s="63"/>
      <c r="Q191" s="64"/>
      <c r="R191" s="63"/>
      <c r="S191" s="64"/>
      <c r="T191" s="63"/>
      <c r="U191" s="64"/>
      <c r="V191" s="63"/>
      <c r="W191" s="64"/>
      <c r="X191" s="63"/>
      <c r="Y191" s="64"/>
      <c r="Z191" s="63"/>
      <c r="AA191" s="64"/>
      <c r="AB191" s="63"/>
      <c r="AC191" s="64"/>
      <c r="AD191" s="63"/>
      <c r="AE191" s="64"/>
      <c r="AF191" s="63"/>
    </row>
    <row r="192" spans="1:32" x14ac:dyDescent="0.25">
      <c r="A192" s="64"/>
      <c r="B192" s="63"/>
      <c r="C192" s="64"/>
      <c r="D192" s="63"/>
      <c r="E192" s="64"/>
      <c r="F192" s="63"/>
      <c r="G192" s="64"/>
      <c r="H192" s="63"/>
      <c r="I192" s="64"/>
      <c r="J192" s="63"/>
      <c r="K192" s="64"/>
      <c r="L192" s="63"/>
      <c r="M192" s="64"/>
      <c r="N192" s="63"/>
      <c r="O192" s="64"/>
      <c r="P192" s="63"/>
      <c r="Q192" s="64"/>
      <c r="R192" s="63"/>
      <c r="S192" s="64"/>
      <c r="T192" s="63"/>
      <c r="U192" s="64"/>
      <c r="V192" s="63"/>
      <c r="W192" s="64"/>
      <c r="X192" s="63"/>
      <c r="Y192" s="64"/>
      <c r="Z192" s="63"/>
      <c r="AA192" s="64"/>
      <c r="AB192" s="63"/>
      <c r="AC192" s="64"/>
      <c r="AD192" s="63"/>
      <c r="AE192" s="64"/>
      <c r="AF192" s="63"/>
    </row>
    <row r="193" spans="1:32" x14ac:dyDescent="0.25">
      <c r="A193" s="64"/>
      <c r="B193" s="63"/>
      <c r="C193" s="64"/>
      <c r="D193" s="63"/>
      <c r="E193" s="64"/>
      <c r="F193" s="63"/>
      <c r="G193" s="64"/>
      <c r="H193" s="63"/>
      <c r="I193" s="64"/>
      <c r="J193" s="63"/>
      <c r="K193" s="64"/>
      <c r="L193" s="63"/>
      <c r="M193" s="64"/>
      <c r="N193" s="63"/>
      <c r="O193" s="64"/>
      <c r="P193" s="63"/>
      <c r="Q193" s="64"/>
      <c r="R193" s="63"/>
      <c r="S193" s="64"/>
      <c r="T193" s="63"/>
      <c r="U193" s="64"/>
      <c r="V193" s="63"/>
      <c r="W193" s="64"/>
      <c r="X193" s="63"/>
      <c r="Y193" s="64"/>
      <c r="Z193" s="63"/>
      <c r="AA193" s="64"/>
      <c r="AB193" s="63"/>
      <c r="AC193" s="64"/>
      <c r="AD193" s="63"/>
      <c r="AE193" s="64"/>
      <c r="AF193" s="63"/>
    </row>
    <row r="194" spans="1:32" x14ac:dyDescent="0.25">
      <c r="A194" s="64"/>
      <c r="B194" s="63"/>
      <c r="C194" s="64"/>
      <c r="D194" s="63"/>
      <c r="E194" s="64"/>
      <c r="F194" s="63"/>
      <c r="G194" s="64"/>
      <c r="H194" s="63"/>
      <c r="I194" s="64"/>
      <c r="J194" s="63"/>
      <c r="K194" s="64"/>
      <c r="L194" s="63"/>
      <c r="M194" s="64"/>
      <c r="N194" s="63"/>
      <c r="O194" s="64"/>
      <c r="P194" s="63"/>
      <c r="Q194" s="64"/>
      <c r="R194" s="63"/>
      <c r="S194" s="64"/>
      <c r="T194" s="63"/>
      <c r="U194" s="64"/>
      <c r="V194" s="63"/>
      <c r="W194" s="64"/>
      <c r="X194" s="63"/>
      <c r="Y194" s="64"/>
      <c r="Z194" s="63"/>
      <c r="AA194" s="64"/>
      <c r="AB194" s="63"/>
      <c r="AC194" s="64"/>
      <c r="AD194" s="63"/>
      <c r="AE194" s="64"/>
      <c r="AF194" s="63"/>
    </row>
    <row r="195" spans="1:32" x14ac:dyDescent="0.25">
      <c r="A195" s="64"/>
      <c r="B195" s="63"/>
      <c r="C195" s="64"/>
      <c r="D195" s="63"/>
      <c r="E195" s="64"/>
      <c r="F195" s="63"/>
      <c r="G195" s="64"/>
      <c r="H195" s="63"/>
      <c r="I195" s="64"/>
      <c r="J195" s="63"/>
      <c r="K195" s="64"/>
      <c r="L195" s="63"/>
      <c r="M195" s="64"/>
      <c r="N195" s="63"/>
      <c r="O195" s="64"/>
      <c r="P195" s="63"/>
      <c r="Q195" s="64"/>
      <c r="R195" s="63"/>
      <c r="S195" s="64"/>
      <c r="T195" s="63"/>
      <c r="U195" s="64"/>
      <c r="V195" s="63"/>
      <c r="W195" s="64"/>
      <c r="X195" s="63"/>
      <c r="Y195" s="64"/>
      <c r="Z195" s="63"/>
      <c r="AA195" s="64"/>
      <c r="AB195" s="63"/>
      <c r="AC195" s="64"/>
      <c r="AD195" s="63"/>
      <c r="AE195" s="64"/>
      <c r="AF195" s="63"/>
    </row>
    <row r="196" spans="1:32" x14ac:dyDescent="0.25">
      <c r="A196" s="64"/>
      <c r="B196" s="63"/>
      <c r="C196" s="64"/>
      <c r="D196" s="63"/>
      <c r="E196" s="64"/>
      <c r="F196" s="63"/>
      <c r="G196" s="64"/>
      <c r="H196" s="63"/>
      <c r="I196" s="64"/>
      <c r="J196" s="63"/>
      <c r="K196" s="64"/>
      <c r="L196" s="63"/>
      <c r="M196" s="64"/>
      <c r="N196" s="63"/>
      <c r="O196" s="64"/>
      <c r="P196" s="63"/>
      <c r="Q196" s="64"/>
      <c r="R196" s="63"/>
      <c r="S196" s="64"/>
      <c r="T196" s="63"/>
      <c r="U196" s="64"/>
      <c r="V196" s="63"/>
      <c r="W196" s="64"/>
      <c r="X196" s="63"/>
      <c r="Y196" s="64"/>
      <c r="Z196" s="63"/>
      <c r="AA196" s="64"/>
      <c r="AB196" s="63"/>
      <c r="AC196" s="64"/>
      <c r="AD196" s="63"/>
      <c r="AE196" s="64"/>
      <c r="AF196" s="63"/>
    </row>
    <row r="197" spans="1:32" x14ac:dyDescent="0.25">
      <c r="A197" s="64"/>
      <c r="B197" s="63"/>
      <c r="C197" s="64"/>
      <c r="D197" s="63"/>
      <c r="E197" s="64"/>
      <c r="F197" s="63"/>
      <c r="G197" s="64"/>
      <c r="H197" s="63"/>
      <c r="I197" s="64"/>
      <c r="J197" s="63"/>
      <c r="K197" s="64"/>
      <c r="L197" s="63"/>
      <c r="M197" s="64"/>
      <c r="N197" s="63"/>
      <c r="O197" s="64"/>
      <c r="P197" s="63"/>
      <c r="Q197" s="64"/>
      <c r="R197" s="63"/>
      <c r="S197" s="64"/>
      <c r="T197" s="63"/>
      <c r="U197" s="64"/>
      <c r="V197" s="63"/>
      <c r="W197" s="64"/>
      <c r="X197" s="63"/>
      <c r="Y197" s="64"/>
      <c r="Z197" s="63"/>
      <c r="AA197" s="64"/>
      <c r="AB197" s="63"/>
      <c r="AC197" s="64"/>
      <c r="AD197" s="63"/>
      <c r="AE197" s="64"/>
      <c r="AF197" s="63"/>
    </row>
    <row r="198" spans="1:32" x14ac:dyDescent="0.25">
      <c r="A198" s="64"/>
      <c r="B198" s="63"/>
      <c r="C198" s="64"/>
      <c r="D198" s="63"/>
      <c r="E198" s="64"/>
      <c r="F198" s="63"/>
      <c r="G198" s="64"/>
      <c r="H198" s="63"/>
      <c r="I198" s="64"/>
      <c r="J198" s="63"/>
      <c r="K198" s="64"/>
      <c r="L198" s="63"/>
      <c r="M198" s="64"/>
      <c r="N198" s="63"/>
      <c r="O198" s="64"/>
      <c r="P198" s="63"/>
      <c r="Q198" s="64"/>
      <c r="R198" s="63"/>
      <c r="S198" s="64"/>
      <c r="T198" s="63"/>
      <c r="U198" s="64"/>
      <c r="V198" s="63"/>
      <c r="W198" s="64"/>
      <c r="X198" s="63"/>
      <c r="Y198" s="64"/>
      <c r="Z198" s="63"/>
      <c r="AA198" s="64"/>
      <c r="AB198" s="63"/>
      <c r="AC198" s="64"/>
      <c r="AD198" s="63"/>
      <c r="AE198" s="64"/>
      <c r="AF198" s="63"/>
    </row>
    <row r="199" spans="1:32" x14ac:dyDescent="0.25">
      <c r="A199" s="64"/>
      <c r="B199" s="63"/>
      <c r="C199" s="64"/>
      <c r="D199" s="63"/>
      <c r="E199" s="64"/>
      <c r="F199" s="63"/>
      <c r="G199" s="64"/>
      <c r="H199" s="63"/>
      <c r="I199" s="64"/>
      <c r="J199" s="63"/>
      <c r="K199" s="64"/>
      <c r="L199" s="63"/>
      <c r="M199" s="64"/>
      <c r="N199" s="63"/>
      <c r="O199" s="64"/>
      <c r="P199" s="63"/>
      <c r="Q199" s="64"/>
      <c r="R199" s="63"/>
      <c r="S199" s="64"/>
      <c r="T199" s="63"/>
      <c r="U199" s="64"/>
      <c r="V199" s="63"/>
      <c r="W199" s="64"/>
      <c r="X199" s="63"/>
      <c r="Y199" s="64"/>
      <c r="Z199" s="63"/>
      <c r="AA199" s="64"/>
      <c r="AB199" s="63"/>
      <c r="AC199" s="64"/>
      <c r="AD199" s="63"/>
      <c r="AE199" s="64"/>
      <c r="AF199" s="63"/>
    </row>
    <row r="200" spans="1:32" x14ac:dyDescent="0.25">
      <c r="A200" s="64"/>
      <c r="B200" s="63"/>
      <c r="C200" s="64"/>
      <c r="D200" s="63"/>
      <c r="E200" s="64"/>
      <c r="F200" s="63"/>
      <c r="G200" s="64"/>
      <c r="H200" s="63"/>
      <c r="I200" s="64"/>
      <c r="J200" s="63"/>
      <c r="K200" s="64"/>
      <c r="L200" s="63"/>
      <c r="M200" s="64"/>
      <c r="N200" s="63"/>
      <c r="O200" s="64"/>
      <c r="P200" s="63"/>
      <c r="Q200" s="64"/>
      <c r="R200" s="63"/>
      <c r="S200" s="64"/>
      <c r="T200" s="63"/>
      <c r="U200" s="64"/>
      <c r="V200" s="63"/>
      <c r="W200" s="64"/>
      <c r="X200" s="63"/>
      <c r="Y200" s="64"/>
      <c r="Z200" s="63"/>
      <c r="AA200" s="64"/>
      <c r="AB200" s="63"/>
      <c r="AC200" s="64"/>
      <c r="AD200" s="63"/>
      <c r="AE200" s="64"/>
      <c r="AF200" s="63"/>
    </row>
    <row r="201" spans="1:32" x14ac:dyDescent="0.25">
      <c r="A201" s="64"/>
      <c r="B201" s="63"/>
      <c r="C201" s="64"/>
      <c r="D201" s="63"/>
      <c r="E201" s="64"/>
      <c r="F201" s="63"/>
      <c r="G201" s="64"/>
      <c r="H201" s="63"/>
      <c r="I201" s="64"/>
      <c r="J201" s="63"/>
      <c r="K201" s="64"/>
      <c r="L201" s="63"/>
      <c r="M201" s="64"/>
      <c r="N201" s="63"/>
      <c r="O201" s="64"/>
      <c r="P201" s="63"/>
      <c r="Q201" s="64"/>
      <c r="R201" s="63"/>
      <c r="S201" s="64"/>
      <c r="T201" s="63"/>
      <c r="U201" s="64"/>
      <c r="V201" s="63"/>
      <c r="W201" s="64"/>
      <c r="X201" s="63"/>
      <c r="Y201" s="64"/>
      <c r="Z201" s="63"/>
      <c r="AA201" s="64"/>
      <c r="AB201" s="63"/>
      <c r="AC201" s="64"/>
      <c r="AD201" s="63"/>
      <c r="AE201" s="64"/>
      <c r="AF201" s="63"/>
    </row>
    <row r="202" spans="1:32" x14ac:dyDescent="0.25">
      <c r="A202" s="64"/>
      <c r="B202" s="63"/>
      <c r="C202" s="64"/>
      <c r="D202" s="63"/>
      <c r="E202" s="64"/>
      <c r="F202" s="63"/>
      <c r="G202" s="64"/>
      <c r="H202" s="63"/>
      <c r="I202" s="64"/>
      <c r="J202" s="63"/>
      <c r="K202" s="64"/>
      <c r="L202" s="63"/>
      <c r="M202" s="64"/>
      <c r="N202" s="63"/>
      <c r="O202" s="64"/>
      <c r="P202" s="63"/>
      <c r="Q202" s="64"/>
      <c r="R202" s="63"/>
      <c r="S202" s="64"/>
      <c r="T202" s="63"/>
      <c r="U202" s="64"/>
      <c r="V202" s="63"/>
      <c r="W202" s="64"/>
      <c r="X202" s="63"/>
      <c r="Y202" s="64"/>
      <c r="Z202" s="63"/>
      <c r="AA202" s="64"/>
      <c r="AB202" s="63"/>
      <c r="AC202" s="64"/>
      <c r="AD202" s="63"/>
      <c r="AE202" s="64"/>
      <c r="AF202" s="63"/>
    </row>
    <row r="203" spans="1:32" x14ac:dyDescent="0.25">
      <c r="A203" s="64"/>
      <c r="B203" s="63"/>
      <c r="C203" s="64"/>
      <c r="D203" s="63"/>
      <c r="E203" s="64"/>
      <c r="F203" s="63"/>
      <c r="G203" s="64"/>
      <c r="H203" s="63"/>
      <c r="I203" s="64"/>
      <c r="J203" s="63"/>
      <c r="K203" s="64"/>
      <c r="L203" s="63"/>
      <c r="M203" s="64"/>
      <c r="N203" s="63"/>
      <c r="O203" s="64"/>
      <c r="P203" s="63"/>
      <c r="Q203" s="64"/>
      <c r="R203" s="63"/>
      <c r="S203" s="64"/>
      <c r="T203" s="63"/>
      <c r="U203" s="64"/>
      <c r="V203" s="63"/>
      <c r="W203" s="64"/>
      <c r="X203" s="63"/>
      <c r="Y203" s="64"/>
      <c r="Z203" s="63"/>
      <c r="AA203" s="64"/>
      <c r="AB203" s="63"/>
      <c r="AC203" s="64"/>
      <c r="AD203" s="63"/>
      <c r="AE203" s="64"/>
      <c r="AF203" s="63"/>
    </row>
    <row r="204" spans="1:32" x14ac:dyDescent="0.25">
      <c r="A204" s="64"/>
      <c r="B204" s="63"/>
      <c r="C204" s="64"/>
      <c r="D204" s="63"/>
      <c r="E204" s="64"/>
      <c r="F204" s="63"/>
      <c r="G204" s="64"/>
      <c r="H204" s="63"/>
      <c r="I204" s="64"/>
      <c r="J204" s="63"/>
      <c r="K204" s="64"/>
      <c r="L204" s="63"/>
      <c r="M204" s="64"/>
      <c r="N204" s="63"/>
      <c r="O204" s="64"/>
      <c r="P204" s="63"/>
      <c r="Q204" s="64"/>
      <c r="R204" s="63"/>
      <c r="S204" s="64"/>
      <c r="T204" s="63"/>
      <c r="U204" s="64"/>
      <c r="V204" s="63"/>
      <c r="W204" s="64"/>
      <c r="X204" s="63"/>
      <c r="Y204" s="64"/>
      <c r="Z204" s="63"/>
      <c r="AA204" s="64"/>
      <c r="AB204" s="63"/>
      <c r="AC204" s="64"/>
      <c r="AD204" s="63"/>
      <c r="AE204" s="64"/>
      <c r="AF204" s="63"/>
    </row>
    <row r="205" spans="1:32" x14ac:dyDescent="0.25">
      <c r="A205" s="64"/>
      <c r="B205" s="63"/>
      <c r="C205" s="64"/>
      <c r="D205" s="63"/>
      <c r="E205" s="64"/>
      <c r="F205" s="63"/>
      <c r="G205" s="64"/>
      <c r="H205" s="63"/>
      <c r="I205" s="64"/>
      <c r="J205" s="63"/>
      <c r="K205" s="64"/>
      <c r="L205" s="63"/>
      <c r="M205" s="64"/>
      <c r="N205" s="63"/>
      <c r="O205" s="64"/>
      <c r="P205" s="63"/>
      <c r="Q205" s="64"/>
      <c r="R205" s="63"/>
      <c r="S205" s="64"/>
      <c r="T205" s="63"/>
      <c r="U205" s="64"/>
      <c r="V205" s="63"/>
      <c r="W205" s="64"/>
      <c r="X205" s="63"/>
      <c r="Y205" s="64"/>
      <c r="Z205" s="63"/>
      <c r="AA205" s="64"/>
      <c r="AB205" s="63"/>
      <c r="AC205" s="64"/>
      <c r="AD205" s="63"/>
      <c r="AE205" s="64"/>
      <c r="AF205" s="63"/>
    </row>
    <row r="206" spans="1:32" x14ac:dyDescent="0.25">
      <c r="A206" s="64"/>
      <c r="B206" s="63"/>
      <c r="C206" s="64"/>
      <c r="D206" s="63"/>
      <c r="E206" s="64"/>
      <c r="F206" s="63"/>
      <c r="G206" s="64"/>
      <c r="H206" s="63"/>
      <c r="I206" s="64"/>
      <c r="J206" s="63"/>
      <c r="K206" s="64"/>
      <c r="L206" s="63"/>
      <c r="M206" s="64"/>
      <c r="N206" s="63"/>
      <c r="O206" s="64"/>
      <c r="P206" s="63"/>
      <c r="Q206" s="64"/>
      <c r="R206" s="63"/>
      <c r="S206" s="64"/>
      <c r="T206" s="63"/>
      <c r="U206" s="64"/>
      <c r="V206" s="63"/>
      <c r="W206" s="64"/>
      <c r="X206" s="63"/>
      <c r="Y206" s="64"/>
      <c r="Z206" s="63"/>
      <c r="AA206" s="64"/>
      <c r="AB206" s="63"/>
      <c r="AC206" s="64"/>
      <c r="AD206" s="63"/>
      <c r="AE206" s="64"/>
      <c r="AF206" s="63"/>
    </row>
    <row r="207" spans="1:32" x14ac:dyDescent="0.25">
      <c r="A207" s="64"/>
      <c r="B207" s="63"/>
      <c r="C207" s="64"/>
      <c r="D207" s="63"/>
      <c r="E207" s="64"/>
      <c r="F207" s="63"/>
      <c r="G207" s="64"/>
      <c r="H207" s="63"/>
      <c r="I207" s="64"/>
      <c r="J207" s="63"/>
      <c r="K207" s="64"/>
      <c r="L207" s="63"/>
      <c r="M207" s="64"/>
      <c r="N207" s="63"/>
      <c r="O207" s="64"/>
      <c r="P207" s="63"/>
      <c r="Q207" s="64"/>
      <c r="R207" s="63"/>
      <c r="S207" s="64"/>
      <c r="T207" s="63"/>
      <c r="U207" s="64"/>
      <c r="V207" s="63"/>
      <c r="W207" s="64"/>
      <c r="X207" s="63"/>
      <c r="Y207" s="64"/>
      <c r="Z207" s="63"/>
      <c r="AA207" s="64"/>
      <c r="AB207" s="63"/>
      <c r="AC207" s="64"/>
      <c r="AD207" s="63"/>
      <c r="AE207" s="64"/>
      <c r="AF207" s="63"/>
    </row>
    <row r="208" spans="1:32" x14ac:dyDescent="0.25">
      <c r="A208" s="64"/>
      <c r="B208" s="63"/>
      <c r="C208" s="64"/>
      <c r="D208" s="63"/>
      <c r="E208" s="64"/>
      <c r="F208" s="63"/>
      <c r="G208" s="64"/>
      <c r="H208" s="63"/>
      <c r="I208" s="64"/>
      <c r="J208" s="63"/>
      <c r="K208" s="64"/>
      <c r="L208" s="63"/>
      <c r="M208" s="64"/>
      <c r="N208" s="63"/>
      <c r="O208" s="64"/>
      <c r="P208" s="63"/>
      <c r="Q208" s="64"/>
      <c r="R208" s="63"/>
      <c r="S208" s="64"/>
      <c r="T208" s="63"/>
      <c r="U208" s="64"/>
      <c r="V208" s="63"/>
      <c r="W208" s="64"/>
      <c r="X208" s="63"/>
      <c r="Y208" s="64"/>
      <c r="Z208" s="63"/>
      <c r="AA208" s="64"/>
      <c r="AB208" s="63"/>
      <c r="AC208" s="64"/>
      <c r="AD208" s="63"/>
      <c r="AE208" s="64"/>
      <c r="AF208" s="63"/>
    </row>
    <row r="209" spans="1:32" x14ac:dyDescent="0.25">
      <c r="A209" s="64"/>
      <c r="B209" s="63"/>
      <c r="C209" s="64"/>
      <c r="D209" s="63"/>
      <c r="E209" s="64"/>
      <c r="F209" s="63"/>
      <c r="G209" s="64"/>
      <c r="H209" s="63"/>
      <c r="I209" s="64"/>
      <c r="J209" s="63"/>
      <c r="K209" s="64"/>
      <c r="L209" s="63"/>
      <c r="M209" s="64"/>
      <c r="N209" s="63"/>
      <c r="O209" s="64"/>
      <c r="P209" s="63"/>
      <c r="Q209" s="64"/>
      <c r="R209" s="63"/>
      <c r="S209" s="64"/>
      <c r="T209" s="63"/>
      <c r="U209" s="64"/>
      <c r="V209" s="63"/>
      <c r="W209" s="64"/>
      <c r="X209" s="63"/>
      <c r="Y209" s="64"/>
      <c r="Z209" s="63"/>
      <c r="AA209" s="64"/>
      <c r="AB209" s="63"/>
      <c r="AC209" s="64"/>
      <c r="AD209" s="63"/>
      <c r="AE209" s="64"/>
      <c r="AF209" s="63"/>
    </row>
    <row r="210" spans="1:32" x14ac:dyDescent="0.25">
      <c r="A210" s="64"/>
      <c r="B210" s="63"/>
      <c r="C210" s="64"/>
      <c r="D210" s="63"/>
      <c r="E210" s="64"/>
      <c r="F210" s="63"/>
      <c r="G210" s="64"/>
      <c r="H210" s="63"/>
      <c r="I210" s="64"/>
      <c r="J210" s="63"/>
      <c r="K210" s="64"/>
      <c r="L210" s="63"/>
      <c r="M210" s="64"/>
      <c r="N210" s="63"/>
      <c r="O210" s="64"/>
      <c r="P210" s="63"/>
      <c r="Q210" s="64"/>
      <c r="R210" s="63"/>
      <c r="S210" s="64"/>
      <c r="T210" s="63"/>
      <c r="U210" s="64"/>
      <c r="V210" s="63"/>
      <c r="W210" s="64"/>
      <c r="X210" s="63"/>
      <c r="Y210" s="64"/>
      <c r="Z210" s="63"/>
      <c r="AA210" s="64"/>
      <c r="AB210" s="63"/>
      <c r="AC210" s="64"/>
      <c r="AD210" s="63"/>
      <c r="AE210" s="64"/>
      <c r="AF210" s="63"/>
    </row>
    <row r="211" spans="1:32" x14ac:dyDescent="0.25">
      <c r="A211" s="64"/>
      <c r="B211" s="63"/>
      <c r="C211" s="64"/>
      <c r="D211" s="63"/>
      <c r="E211" s="64"/>
      <c r="F211" s="63"/>
      <c r="G211" s="64"/>
      <c r="H211" s="63"/>
      <c r="I211" s="64"/>
      <c r="J211" s="63"/>
      <c r="K211" s="64"/>
      <c r="L211" s="63"/>
      <c r="M211" s="64"/>
      <c r="N211" s="63"/>
      <c r="O211" s="64"/>
      <c r="P211" s="63"/>
      <c r="Q211" s="64"/>
      <c r="R211" s="63"/>
      <c r="S211" s="64"/>
      <c r="T211" s="63"/>
      <c r="U211" s="64"/>
      <c r="V211" s="63"/>
      <c r="W211" s="64"/>
      <c r="X211" s="63"/>
      <c r="Y211" s="64"/>
      <c r="Z211" s="63"/>
      <c r="AA211" s="64"/>
      <c r="AB211" s="63"/>
      <c r="AC211" s="64"/>
      <c r="AD211" s="63"/>
      <c r="AE211" s="64"/>
      <c r="AF211" s="63"/>
    </row>
    <row r="212" spans="1:32" x14ac:dyDescent="0.25">
      <c r="A212" s="64"/>
      <c r="B212" s="63"/>
      <c r="C212" s="64"/>
      <c r="D212" s="63"/>
      <c r="E212" s="64"/>
      <c r="F212" s="63"/>
      <c r="G212" s="64"/>
      <c r="H212" s="63"/>
      <c r="I212" s="64"/>
      <c r="J212" s="63"/>
      <c r="K212" s="64"/>
      <c r="L212" s="63"/>
      <c r="M212" s="64"/>
      <c r="N212" s="63"/>
      <c r="O212" s="64"/>
      <c r="P212" s="63"/>
      <c r="Q212" s="64"/>
      <c r="R212" s="63"/>
      <c r="S212" s="64"/>
      <c r="T212" s="63"/>
      <c r="U212" s="64"/>
      <c r="V212" s="63"/>
      <c r="W212" s="64"/>
      <c r="X212" s="63"/>
      <c r="Y212" s="64"/>
      <c r="Z212" s="63"/>
      <c r="AA212" s="64"/>
      <c r="AB212" s="63"/>
      <c r="AC212" s="64"/>
      <c r="AD212" s="63"/>
      <c r="AE212" s="64"/>
      <c r="AF212" s="63"/>
    </row>
    <row r="213" spans="1:32" x14ac:dyDescent="0.25">
      <c r="A213" s="64"/>
      <c r="B213" s="63"/>
      <c r="C213" s="64"/>
      <c r="D213" s="63"/>
      <c r="E213" s="64"/>
      <c r="F213" s="63"/>
      <c r="G213" s="64"/>
      <c r="H213" s="63"/>
      <c r="I213" s="64"/>
      <c r="J213" s="63"/>
      <c r="K213" s="64"/>
      <c r="L213" s="63"/>
      <c r="M213" s="64"/>
      <c r="N213" s="63"/>
      <c r="O213" s="64"/>
      <c r="P213" s="63"/>
      <c r="Q213" s="64"/>
      <c r="R213" s="63"/>
      <c r="S213" s="64"/>
      <c r="T213" s="63"/>
      <c r="U213" s="64"/>
      <c r="V213" s="63"/>
      <c r="W213" s="64"/>
      <c r="X213" s="63"/>
      <c r="Y213" s="64"/>
      <c r="Z213" s="63"/>
      <c r="AA213" s="64"/>
      <c r="AB213" s="63"/>
      <c r="AC213" s="64"/>
      <c r="AD213" s="63"/>
      <c r="AE213" s="64"/>
      <c r="AF213" s="63"/>
    </row>
    <row r="214" spans="1:32" x14ac:dyDescent="0.25">
      <c r="A214" s="64"/>
      <c r="B214" s="63"/>
      <c r="C214" s="64"/>
      <c r="D214" s="63"/>
      <c r="E214" s="64"/>
      <c r="F214" s="63"/>
      <c r="G214" s="64"/>
      <c r="H214" s="63"/>
      <c r="I214" s="64"/>
      <c r="J214" s="63"/>
      <c r="K214" s="64"/>
      <c r="L214" s="63"/>
      <c r="M214" s="64"/>
      <c r="N214" s="63"/>
      <c r="O214" s="64"/>
      <c r="P214" s="63"/>
      <c r="Q214" s="64"/>
      <c r="R214" s="63"/>
      <c r="S214" s="64"/>
      <c r="T214" s="63"/>
      <c r="U214" s="64"/>
      <c r="V214" s="63"/>
      <c r="W214" s="64"/>
      <c r="X214" s="63"/>
      <c r="Y214" s="64"/>
      <c r="Z214" s="63"/>
      <c r="AA214" s="64"/>
      <c r="AB214" s="63"/>
      <c r="AC214" s="64"/>
      <c r="AD214" s="63"/>
      <c r="AE214" s="64"/>
      <c r="AF214" s="63"/>
    </row>
    <row r="215" spans="1:32" x14ac:dyDescent="0.25">
      <c r="A215" s="64"/>
      <c r="B215" s="63"/>
      <c r="C215" s="64"/>
      <c r="D215" s="63"/>
      <c r="E215" s="64"/>
      <c r="F215" s="63"/>
      <c r="G215" s="64"/>
      <c r="H215" s="63"/>
      <c r="I215" s="64"/>
      <c r="J215" s="63"/>
      <c r="K215" s="64"/>
      <c r="L215" s="63"/>
      <c r="M215" s="64"/>
      <c r="N215" s="63"/>
      <c r="O215" s="64"/>
      <c r="P215" s="63"/>
      <c r="Q215" s="64"/>
      <c r="R215" s="63"/>
      <c r="S215" s="64"/>
      <c r="T215" s="63"/>
      <c r="U215" s="64"/>
      <c r="V215" s="63"/>
      <c r="W215" s="64"/>
      <c r="X215" s="63"/>
      <c r="Y215" s="64"/>
      <c r="Z215" s="63"/>
      <c r="AA215" s="64"/>
      <c r="AB215" s="63"/>
      <c r="AC215" s="64"/>
      <c r="AD215" s="63"/>
      <c r="AE215" s="64"/>
      <c r="AF215" s="63"/>
    </row>
    <row r="216" spans="1:32" x14ac:dyDescent="0.25">
      <c r="A216" s="64"/>
      <c r="B216" s="63"/>
      <c r="C216" s="64"/>
      <c r="D216" s="63"/>
      <c r="E216" s="64"/>
      <c r="F216" s="63"/>
      <c r="G216" s="64"/>
      <c r="H216" s="63"/>
      <c r="I216" s="64"/>
      <c r="J216" s="63"/>
      <c r="K216" s="64"/>
      <c r="L216" s="63"/>
      <c r="M216" s="64"/>
      <c r="N216" s="63"/>
      <c r="O216" s="64"/>
      <c r="P216" s="63"/>
      <c r="Q216" s="64"/>
      <c r="R216" s="63"/>
      <c r="S216" s="64"/>
      <c r="T216" s="63"/>
      <c r="U216" s="64"/>
      <c r="V216" s="63"/>
      <c r="W216" s="64"/>
      <c r="X216" s="63"/>
      <c r="Y216" s="64"/>
      <c r="Z216" s="63"/>
      <c r="AA216" s="64"/>
      <c r="AB216" s="63"/>
      <c r="AC216" s="64"/>
      <c r="AD216" s="63"/>
      <c r="AE216" s="64"/>
      <c r="AF216" s="63"/>
    </row>
    <row r="217" spans="1:32" x14ac:dyDescent="0.25">
      <c r="A217" s="64"/>
      <c r="B217" s="63"/>
      <c r="C217" s="64"/>
      <c r="D217" s="63"/>
      <c r="E217" s="64"/>
      <c r="F217" s="63"/>
      <c r="G217" s="64"/>
      <c r="H217" s="63"/>
      <c r="I217" s="64"/>
      <c r="J217" s="63"/>
      <c r="K217" s="64"/>
      <c r="L217" s="63"/>
      <c r="M217" s="64"/>
      <c r="N217" s="63"/>
      <c r="O217" s="64"/>
      <c r="P217" s="63"/>
      <c r="Q217" s="64"/>
      <c r="R217" s="63"/>
      <c r="S217" s="64"/>
      <c r="T217" s="63"/>
      <c r="U217" s="64"/>
      <c r="V217" s="63"/>
      <c r="W217" s="64"/>
      <c r="X217" s="63"/>
      <c r="Y217" s="64"/>
      <c r="Z217" s="63"/>
      <c r="AA217" s="64"/>
      <c r="AB217" s="63"/>
      <c r="AC217" s="64"/>
      <c r="AD217" s="63"/>
      <c r="AE217" s="64"/>
      <c r="AF217" s="63"/>
    </row>
    <row r="218" spans="1:32" x14ac:dyDescent="0.25">
      <c r="A218" s="64"/>
      <c r="B218" s="63"/>
      <c r="C218" s="64"/>
      <c r="D218" s="63"/>
      <c r="E218" s="64"/>
      <c r="F218" s="63"/>
      <c r="G218" s="64"/>
      <c r="H218" s="63"/>
      <c r="I218" s="64"/>
      <c r="J218" s="63"/>
      <c r="K218" s="64"/>
      <c r="L218" s="63"/>
      <c r="M218" s="64"/>
      <c r="N218" s="63"/>
      <c r="O218" s="64"/>
      <c r="P218" s="63"/>
      <c r="Q218" s="64"/>
      <c r="R218" s="63"/>
      <c r="S218" s="64"/>
      <c r="T218" s="63"/>
      <c r="U218" s="64"/>
      <c r="V218" s="63"/>
      <c r="W218" s="64"/>
      <c r="X218" s="63"/>
      <c r="Y218" s="64"/>
      <c r="Z218" s="63"/>
      <c r="AA218" s="64"/>
      <c r="AB218" s="63"/>
      <c r="AC218" s="64"/>
      <c r="AD218" s="63"/>
      <c r="AE218" s="64"/>
      <c r="AF218" s="63"/>
    </row>
    <row r="219" spans="1:32" x14ac:dyDescent="0.25">
      <c r="A219" s="64"/>
      <c r="B219" s="63"/>
      <c r="C219" s="64"/>
      <c r="D219" s="63"/>
      <c r="E219" s="64"/>
      <c r="F219" s="63"/>
      <c r="G219" s="64"/>
      <c r="H219" s="63"/>
      <c r="I219" s="64"/>
      <c r="J219" s="63"/>
      <c r="K219" s="64"/>
      <c r="L219" s="63"/>
      <c r="M219" s="64"/>
      <c r="N219" s="63"/>
      <c r="O219" s="64"/>
      <c r="P219" s="63"/>
      <c r="Q219" s="64"/>
      <c r="R219" s="63"/>
      <c r="S219" s="64"/>
      <c r="T219" s="63"/>
      <c r="U219" s="64"/>
      <c r="V219" s="63"/>
      <c r="W219" s="64"/>
      <c r="X219" s="63"/>
      <c r="Y219" s="64"/>
      <c r="Z219" s="63"/>
      <c r="AA219" s="64"/>
      <c r="AB219" s="63"/>
      <c r="AC219" s="64"/>
      <c r="AD219" s="63"/>
      <c r="AE219" s="64"/>
      <c r="AF219" s="63"/>
    </row>
    <row r="220" spans="1:32" x14ac:dyDescent="0.25">
      <c r="A220" s="64"/>
      <c r="B220" s="63"/>
      <c r="C220" s="64"/>
      <c r="D220" s="63"/>
      <c r="E220" s="64"/>
      <c r="F220" s="63"/>
      <c r="G220" s="64"/>
      <c r="H220" s="63"/>
      <c r="I220" s="64"/>
      <c r="J220" s="63"/>
      <c r="K220" s="64"/>
      <c r="L220" s="63"/>
      <c r="M220" s="64"/>
      <c r="N220" s="63"/>
      <c r="O220" s="64"/>
      <c r="P220" s="63"/>
      <c r="Q220" s="64"/>
      <c r="R220" s="63"/>
      <c r="S220" s="64"/>
      <c r="T220" s="63"/>
      <c r="U220" s="64"/>
      <c r="V220" s="63"/>
      <c r="W220" s="64"/>
      <c r="X220" s="63"/>
      <c r="Y220" s="64"/>
      <c r="Z220" s="63"/>
      <c r="AA220" s="64"/>
      <c r="AB220" s="63"/>
      <c r="AC220" s="64"/>
      <c r="AD220" s="63"/>
      <c r="AE220" s="64"/>
      <c r="AF220" s="63"/>
    </row>
    <row r="221" spans="1:32" x14ac:dyDescent="0.25">
      <c r="A221" s="64"/>
      <c r="B221" s="63"/>
      <c r="C221" s="64"/>
      <c r="D221" s="63"/>
      <c r="E221" s="64"/>
      <c r="F221" s="63"/>
      <c r="G221" s="64"/>
      <c r="H221" s="63"/>
      <c r="I221" s="64"/>
      <c r="J221" s="63"/>
      <c r="K221" s="64"/>
      <c r="L221" s="63"/>
      <c r="M221" s="64"/>
      <c r="N221" s="63"/>
      <c r="O221" s="64"/>
      <c r="P221" s="63"/>
      <c r="Q221" s="64"/>
      <c r="R221" s="63"/>
      <c r="S221" s="64"/>
      <c r="T221" s="63"/>
      <c r="U221" s="64"/>
      <c r="V221" s="63"/>
      <c r="W221" s="64"/>
      <c r="X221" s="63"/>
      <c r="Y221" s="64"/>
      <c r="Z221" s="63"/>
      <c r="AA221" s="64"/>
      <c r="AB221" s="63"/>
      <c r="AC221" s="64"/>
      <c r="AD221" s="63"/>
      <c r="AE221" s="64"/>
      <c r="AF221" s="63"/>
    </row>
    <row r="222" spans="1:32" x14ac:dyDescent="0.25">
      <c r="A222" s="64"/>
      <c r="B222" s="63"/>
      <c r="C222" s="64"/>
      <c r="D222" s="63"/>
      <c r="E222" s="64"/>
      <c r="F222" s="63"/>
      <c r="G222" s="64"/>
      <c r="H222" s="63"/>
      <c r="I222" s="64"/>
      <c r="J222" s="63"/>
      <c r="K222" s="64"/>
      <c r="L222" s="63"/>
      <c r="M222" s="64"/>
      <c r="N222" s="63"/>
      <c r="O222" s="64"/>
      <c r="P222" s="63"/>
      <c r="Q222" s="64"/>
      <c r="R222" s="63"/>
      <c r="S222" s="64"/>
      <c r="T222" s="63"/>
      <c r="U222" s="64"/>
      <c r="V222" s="63"/>
      <c r="W222" s="64"/>
      <c r="X222" s="63"/>
      <c r="Y222" s="64"/>
      <c r="Z222" s="63"/>
      <c r="AA222" s="64"/>
      <c r="AB222" s="63"/>
      <c r="AC222" s="64"/>
      <c r="AD222" s="63"/>
      <c r="AE222" s="64"/>
      <c r="AF222" s="63"/>
    </row>
    <row r="223" spans="1:32" x14ac:dyDescent="0.25">
      <c r="A223" s="64"/>
      <c r="B223" s="63"/>
      <c r="C223" s="64"/>
      <c r="D223" s="63"/>
      <c r="E223" s="64"/>
      <c r="F223" s="63"/>
      <c r="G223" s="64"/>
      <c r="H223" s="63"/>
      <c r="I223" s="64"/>
      <c r="J223" s="63"/>
      <c r="K223" s="64"/>
      <c r="L223" s="63"/>
      <c r="M223" s="64"/>
      <c r="N223" s="63"/>
      <c r="O223" s="64"/>
      <c r="P223" s="63"/>
      <c r="Q223" s="64"/>
      <c r="R223" s="63"/>
      <c r="S223" s="64"/>
      <c r="T223" s="63"/>
      <c r="U223" s="64"/>
      <c r="V223" s="63"/>
      <c r="W223" s="64"/>
      <c r="X223" s="63"/>
      <c r="Y223" s="64"/>
      <c r="Z223" s="63"/>
      <c r="AA223" s="64"/>
      <c r="AB223" s="63"/>
      <c r="AC223" s="64"/>
      <c r="AD223" s="63"/>
      <c r="AE223" s="64"/>
      <c r="AF223" s="63"/>
    </row>
    <row r="224" spans="1:32" x14ac:dyDescent="0.25">
      <c r="A224" s="64"/>
      <c r="B224" s="63"/>
      <c r="C224" s="64"/>
      <c r="D224" s="63"/>
      <c r="E224" s="64"/>
      <c r="F224" s="63"/>
      <c r="G224" s="64"/>
      <c r="H224" s="63"/>
      <c r="I224" s="64"/>
      <c r="J224" s="63"/>
      <c r="K224" s="64"/>
      <c r="L224" s="63"/>
      <c r="M224" s="64"/>
      <c r="N224" s="63"/>
      <c r="O224" s="64"/>
      <c r="P224" s="63"/>
      <c r="Q224" s="64"/>
      <c r="R224" s="63"/>
      <c r="S224" s="64"/>
      <c r="T224" s="63"/>
      <c r="U224" s="64"/>
      <c r="V224" s="63"/>
      <c r="W224" s="64"/>
      <c r="X224" s="63"/>
      <c r="Y224" s="64"/>
      <c r="Z224" s="63"/>
      <c r="AA224" s="64"/>
      <c r="AB224" s="63"/>
      <c r="AC224" s="64"/>
      <c r="AD224" s="63"/>
      <c r="AE224" s="64"/>
      <c r="AF224" s="63"/>
    </row>
    <row r="225" spans="1:32" x14ac:dyDescent="0.25">
      <c r="A225" s="64"/>
      <c r="B225" s="63"/>
      <c r="C225" s="64"/>
      <c r="D225" s="63"/>
      <c r="E225" s="64"/>
      <c r="F225" s="63"/>
      <c r="G225" s="64"/>
      <c r="H225" s="63"/>
      <c r="I225" s="64"/>
      <c r="J225" s="63"/>
      <c r="K225" s="64"/>
      <c r="L225" s="63"/>
      <c r="M225" s="64"/>
      <c r="N225" s="63"/>
      <c r="O225" s="64"/>
      <c r="P225" s="63"/>
      <c r="Q225" s="64"/>
      <c r="R225" s="63"/>
      <c r="S225" s="64"/>
      <c r="T225" s="63"/>
      <c r="U225" s="64"/>
      <c r="V225" s="63"/>
      <c r="W225" s="64"/>
      <c r="X225" s="63"/>
      <c r="Y225" s="64"/>
      <c r="Z225" s="63"/>
      <c r="AA225" s="64"/>
      <c r="AB225" s="63"/>
      <c r="AC225" s="64"/>
      <c r="AD225" s="63"/>
      <c r="AE225" s="64"/>
      <c r="AF225" s="63"/>
    </row>
    <row r="226" spans="1:32" x14ac:dyDescent="0.25">
      <c r="A226" s="64"/>
      <c r="B226" s="63"/>
      <c r="C226" s="64"/>
      <c r="D226" s="63"/>
      <c r="E226" s="64"/>
      <c r="F226" s="63"/>
      <c r="G226" s="64"/>
      <c r="H226" s="63"/>
      <c r="I226" s="64"/>
      <c r="J226" s="63"/>
      <c r="K226" s="64"/>
      <c r="L226" s="63"/>
      <c r="M226" s="64"/>
      <c r="N226" s="63"/>
      <c r="O226" s="64"/>
      <c r="P226" s="63"/>
      <c r="Q226" s="64"/>
      <c r="R226" s="63"/>
      <c r="S226" s="64"/>
      <c r="T226" s="63"/>
      <c r="U226" s="64"/>
      <c r="V226" s="63"/>
      <c r="W226" s="64"/>
      <c r="X226" s="63"/>
      <c r="Y226" s="64"/>
      <c r="Z226" s="63"/>
      <c r="AA226" s="64"/>
      <c r="AB226" s="63"/>
      <c r="AC226" s="64"/>
      <c r="AD226" s="63"/>
      <c r="AE226" s="64"/>
      <c r="AF226" s="63"/>
    </row>
    <row r="227" spans="1:32" x14ac:dyDescent="0.25">
      <c r="A227" s="64"/>
      <c r="B227" s="63"/>
      <c r="C227" s="64"/>
      <c r="D227" s="63"/>
      <c r="E227" s="64"/>
      <c r="F227" s="63"/>
      <c r="G227" s="64"/>
      <c r="H227" s="63"/>
      <c r="I227" s="64"/>
      <c r="J227" s="63"/>
      <c r="K227" s="64"/>
      <c r="L227" s="63"/>
      <c r="M227" s="64"/>
      <c r="N227" s="63"/>
      <c r="O227" s="64"/>
      <c r="P227" s="63"/>
      <c r="Q227" s="64"/>
      <c r="R227" s="63"/>
      <c r="S227" s="64"/>
      <c r="T227" s="63"/>
      <c r="U227" s="64"/>
      <c r="V227" s="63"/>
      <c r="W227" s="64"/>
      <c r="X227" s="63"/>
      <c r="Y227" s="64"/>
      <c r="Z227" s="63"/>
      <c r="AA227" s="64"/>
      <c r="AB227" s="63"/>
      <c r="AC227" s="64"/>
      <c r="AD227" s="63"/>
      <c r="AE227" s="64"/>
      <c r="AF227" s="63"/>
    </row>
    <row r="228" spans="1:32" x14ac:dyDescent="0.25">
      <c r="A228" s="64"/>
      <c r="B228" s="63"/>
      <c r="C228" s="64"/>
      <c r="D228" s="63"/>
      <c r="E228" s="64"/>
      <c r="F228" s="63"/>
      <c r="G228" s="64"/>
      <c r="H228" s="63"/>
      <c r="I228" s="64"/>
      <c r="J228" s="63"/>
      <c r="K228" s="64"/>
      <c r="L228" s="63"/>
      <c r="M228" s="64"/>
      <c r="N228" s="63"/>
      <c r="O228" s="64"/>
      <c r="P228" s="63"/>
      <c r="Q228" s="64"/>
      <c r="R228" s="63"/>
      <c r="S228" s="64"/>
      <c r="T228" s="63"/>
      <c r="U228" s="64"/>
      <c r="V228" s="63"/>
      <c r="W228" s="64"/>
      <c r="X228" s="63"/>
      <c r="Y228" s="64"/>
      <c r="Z228" s="63"/>
      <c r="AA228" s="64"/>
      <c r="AB228" s="63"/>
      <c r="AC228" s="64"/>
      <c r="AD228" s="63"/>
      <c r="AE228" s="64"/>
      <c r="AF228" s="63"/>
    </row>
    <row r="229" spans="1:32" x14ac:dyDescent="0.25">
      <c r="A229" s="64"/>
      <c r="B229" s="63"/>
      <c r="C229" s="64"/>
      <c r="D229" s="63"/>
      <c r="E229" s="64"/>
      <c r="F229" s="63"/>
      <c r="G229" s="64"/>
      <c r="H229" s="63"/>
      <c r="I229" s="64"/>
      <c r="J229" s="63"/>
      <c r="K229" s="64"/>
      <c r="L229" s="63"/>
      <c r="M229" s="64"/>
      <c r="N229" s="63"/>
      <c r="O229" s="64"/>
      <c r="P229" s="63"/>
      <c r="Q229" s="64"/>
      <c r="R229" s="63"/>
      <c r="S229" s="64"/>
      <c r="T229" s="63"/>
      <c r="U229" s="64"/>
      <c r="V229" s="63"/>
      <c r="W229" s="64"/>
      <c r="X229" s="63"/>
      <c r="Y229" s="64"/>
      <c r="Z229" s="63"/>
      <c r="AA229" s="64"/>
      <c r="AB229" s="63"/>
      <c r="AC229" s="64"/>
      <c r="AD229" s="63"/>
      <c r="AE229" s="64"/>
      <c r="AF229" s="63"/>
    </row>
    <row r="230" spans="1:32" x14ac:dyDescent="0.25">
      <c r="A230" s="64"/>
      <c r="B230" s="63"/>
      <c r="C230" s="64"/>
      <c r="D230" s="63"/>
      <c r="E230" s="64"/>
      <c r="F230" s="63"/>
      <c r="G230" s="64"/>
      <c r="H230" s="63"/>
      <c r="I230" s="64"/>
      <c r="J230" s="63"/>
      <c r="K230" s="64"/>
      <c r="L230" s="63"/>
      <c r="M230" s="64"/>
      <c r="N230" s="63"/>
      <c r="O230" s="64"/>
      <c r="P230" s="63"/>
      <c r="Q230" s="64"/>
      <c r="R230" s="63"/>
      <c r="S230" s="64"/>
      <c r="T230" s="63"/>
      <c r="U230" s="64"/>
      <c r="V230" s="63"/>
      <c r="W230" s="64"/>
      <c r="X230" s="63"/>
      <c r="Y230" s="64"/>
      <c r="Z230" s="63"/>
      <c r="AA230" s="64"/>
      <c r="AB230" s="63"/>
      <c r="AC230" s="64"/>
      <c r="AD230" s="63"/>
      <c r="AE230" s="64"/>
      <c r="AF230" s="63"/>
    </row>
    <row r="231" spans="1:32" x14ac:dyDescent="0.25">
      <c r="A231" s="64"/>
      <c r="B231" s="63"/>
      <c r="C231" s="64"/>
      <c r="D231" s="63"/>
      <c r="E231" s="64"/>
      <c r="F231" s="63"/>
      <c r="G231" s="64"/>
      <c r="H231" s="63"/>
      <c r="I231" s="64"/>
      <c r="J231" s="63"/>
      <c r="K231" s="64"/>
      <c r="L231" s="63"/>
      <c r="M231" s="64"/>
      <c r="N231" s="63"/>
      <c r="O231" s="64"/>
      <c r="P231" s="63"/>
      <c r="Q231" s="64"/>
      <c r="R231" s="63"/>
      <c r="S231" s="64"/>
      <c r="T231" s="63"/>
      <c r="U231" s="64"/>
      <c r="V231" s="63"/>
      <c r="W231" s="64"/>
      <c r="X231" s="63"/>
      <c r="Y231" s="64"/>
      <c r="Z231" s="63"/>
      <c r="AA231" s="64"/>
      <c r="AB231" s="63"/>
      <c r="AC231" s="64"/>
      <c r="AD231" s="63"/>
      <c r="AE231" s="64"/>
      <c r="AF231" s="63"/>
    </row>
    <row r="232" spans="1:32" x14ac:dyDescent="0.25">
      <c r="A232" s="64"/>
      <c r="B232" s="63"/>
      <c r="C232" s="64"/>
      <c r="D232" s="63"/>
      <c r="E232" s="64"/>
      <c r="F232" s="63"/>
      <c r="G232" s="64"/>
      <c r="H232" s="63"/>
      <c r="I232" s="64"/>
      <c r="J232" s="63"/>
      <c r="K232" s="64"/>
      <c r="L232" s="63"/>
      <c r="M232" s="64"/>
      <c r="N232" s="63"/>
      <c r="O232" s="64"/>
      <c r="P232" s="63"/>
      <c r="Q232" s="64"/>
      <c r="R232" s="63"/>
      <c r="S232" s="64"/>
      <c r="T232" s="63"/>
      <c r="U232" s="64"/>
      <c r="V232" s="63"/>
      <c r="W232" s="64"/>
      <c r="X232" s="63"/>
      <c r="Y232" s="64"/>
      <c r="Z232" s="63"/>
      <c r="AA232" s="64"/>
      <c r="AB232" s="63"/>
      <c r="AC232" s="64"/>
      <c r="AD232" s="63"/>
      <c r="AE232" s="64"/>
      <c r="AF232" s="63"/>
    </row>
    <row r="233" spans="1:32" x14ac:dyDescent="0.25">
      <c r="A233" s="64"/>
      <c r="B233" s="63"/>
      <c r="C233" s="64"/>
      <c r="D233" s="63"/>
      <c r="E233" s="64"/>
      <c r="F233" s="63"/>
      <c r="G233" s="64"/>
      <c r="H233" s="63"/>
      <c r="I233" s="64"/>
      <c r="J233" s="63"/>
      <c r="K233" s="64"/>
      <c r="L233" s="63"/>
      <c r="M233" s="64"/>
      <c r="N233" s="63"/>
      <c r="O233" s="64"/>
      <c r="P233" s="63"/>
      <c r="Q233" s="64"/>
      <c r="R233" s="63"/>
      <c r="S233" s="64"/>
      <c r="T233" s="63"/>
      <c r="U233" s="64"/>
      <c r="V233" s="63"/>
      <c r="W233" s="64"/>
      <c r="X233" s="63"/>
      <c r="Y233" s="64"/>
      <c r="Z233" s="63"/>
      <c r="AA233" s="64"/>
      <c r="AB233" s="63"/>
      <c r="AC233" s="64"/>
      <c r="AD233" s="63"/>
      <c r="AE233" s="64"/>
      <c r="AF233" s="63"/>
    </row>
    <row r="234" spans="1:32" x14ac:dyDescent="0.25">
      <c r="A234" s="64"/>
      <c r="B234" s="63"/>
      <c r="C234" s="64"/>
      <c r="D234" s="63"/>
      <c r="E234" s="64"/>
      <c r="F234" s="63"/>
      <c r="G234" s="64"/>
      <c r="H234" s="63"/>
      <c r="I234" s="64"/>
      <c r="J234" s="63"/>
      <c r="K234" s="64"/>
      <c r="L234" s="63"/>
      <c r="M234" s="64"/>
      <c r="N234" s="63"/>
      <c r="O234" s="64"/>
      <c r="P234" s="63"/>
      <c r="Q234" s="64"/>
      <c r="R234" s="63"/>
      <c r="S234" s="64"/>
      <c r="T234" s="63"/>
      <c r="U234" s="64"/>
      <c r="V234" s="63"/>
      <c r="W234" s="64"/>
      <c r="X234" s="63"/>
      <c r="Y234" s="64"/>
      <c r="Z234" s="63"/>
      <c r="AA234" s="64"/>
      <c r="AB234" s="63"/>
      <c r="AC234" s="64"/>
      <c r="AD234" s="63"/>
      <c r="AE234" s="64"/>
      <c r="AF234" s="63"/>
    </row>
    <row r="235" spans="1:32" x14ac:dyDescent="0.25">
      <c r="A235" s="64"/>
      <c r="B235" s="63"/>
      <c r="C235" s="64"/>
      <c r="D235" s="63"/>
      <c r="E235" s="64"/>
      <c r="F235" s="63"/>
      <c r="G235" s="64"/>
      <c r="H235" s="63"/>
      <c r="I235" s="64"/>
      <c r="J235" s="63"/>
      <c r="K235" s="64"/>
      <c r="L235" s="63"/>
      <c r="M235" s="64"/>
      <c r="N235" s="63"/>
      <c r="O235" s="64"/>
      <c r="P235" s="63"/>
      <c r="Q235" s="64"/>
      <c r="R235" s="63"/>
      <c r="S235" s="64"/>
      <c r="T235" s="63"/>
      <c r="U235" s="64"/>
      <c r="V235" s="63"/>
      <c r="W235" s="64"/>
      <c r="X235" s="63"/>
      <c r="Y235" s="64"/>
      <c r="Z235" s="63"/>
      <c r="AA235" s="64"/>
      <c r="AB235" s="63"/>
      <c r="AC235" s="64"/>
      <c r="AD235" s="63"/>
      <c r="AE235" s="64"/>
      <c r="AF235" s="63"/>
    </row>
    <row r="236" spans="1:32" x14ac:dyDescent="0.25">
      <c r="A236" s="64"/>
      <c r="B236" s="63"/>
      <c r="C236" s="64"/>
      <c r="D236" s="63"/>
      <c r="E236" s="64"/>
      <c r="F236" s="63"/>
      <c r="G236" s="64"/>
      <c r="H236" s="63"/>
      <c r="I236" s="64"/>
      <c r="J236" s="63"/>
      <c r="K236" s="64"/>
      <c r="L236" s="63"/>
      <c r="M236" s="64"/>
      <c r="N236" s="63"/>
      <c r="O236" s="64"/>
      <c r="P236" s="63"/>
      <c r="Q236" s="64"/>
      <c r="R236" s="63"/>
      <c r="S236" s="64"/>
      <c r="T236" s="63"/>
      <c r="U236" s="64"/>
      <c r="V236" s="63"/>
      <c r="W236" s="64"/>
      <c r="X236" s="63"/>
      <c r="Y236" s="64"/>
      <c r="Z236" s="63"/>
      <c r="AA236" s="64"/>
      <c r="AB236" s="63"/>
      <c r="AC236" s="64"/>
      <c r="AD236" s="63"/>
      <c r="AE236" s="64"/>
      <c r="AF236" s="63"/>
    </row>
    <row r="237" spans="1:32" x14ac:dyDescent="0.25">
      <c r="A237" s="64"/>
      <c r="B237" s="63"/>
      <c r="C237" s="64"/>
      <c r="D237" s="63"/>
      <c r="E237" s="64"/>
      <c r="F237" s="63"/>
      <c r="G237" s="64"/>
      <c r="H237" s="63"/>
      <c r="I237" s="64"/>
      <c r="J237" s="63"/>
      <c r="K237" s="64"/>
      <c r="L237" s="63"/>
      <c r="M237" s="64"/>
      <c r="N237" s="63"/>
      <c r="O237" s="64"/>
      <c r="P237" s="63"/>
      <c r="Q237" s="64"/>
      <c r="R237" s="63"/>
      <c r="S237" s="64"/>
      <c r="T237" s="63"/>
      <c r="U237" s="64"/>
      <c r="V237" s="63"/>
      <c r="W237" s="64"/>
      <c r="X237" s="63"/>
      <c r="Y237" s="64"/>
      <c r="Z237" s="63"/>
      <c r="AA237" s="64"/>
      <c r="AB237" s="63"/>
      <c r="AC237" s="64"/>
      <c r="AD237" s="63"/>
      <c r="AE237" s="64"/>
      <c r="AF237" s="63"/>
    </row>
    <row r="238" spans="1:32" x14ac:dyDescent="0.25">
      <c r="A238" s="64"/>
      <c r="B238" s="63"/>
      <c r="C238" s="64"/>
      <c r="D238" s="63"/>
      <c r="E238" s="64"/>
      <c r="F238" s="63"/>
      <c r="G238" s="64"/>
      <c r="H238" s="63"/>
      <c r="I238" s="64"/>
      <c r="J238" s="63"/>
      <c r="K238" s="64"/>
      <c r="L238" s="63"/>
      <c r="M238" s="64"/>
      <c r="N238" s="63"/>
      <c r="O238" s="64"/>
      <c r="P238" s="63"/>
      <c r="Q238" s="64"/>
      <c r="R238" s="63"/>
      <c r="S238" s="64"/>
      <c r="T238" s="63"/>
      <c r="U238" s="64"/>
      <c r="V238" s="63"/>
      <c r="W238" s="64"/>
      <c r="X238" s="63"/>
      <c r="Y238" s="64"/>
      <c r="Z238" s="63"/>
      <c r="AA238" s="64"/>
      <c r="AB238" s="63"/>
      <c r="AC238" s="64"/>
      <c r="AD238" s="63"/>
      <c r="AE238" s="64"/>
      <c r="AF238" s="63"/>
    </row>
    <row r="239" spans="1:32" x14ac:dyDescent="0.25">
      <c r="A239" s="64"/>
      <c r="B239" s="63"/>
      <c r="C239" s="64"/>
      <c r="D239" s="63"/>
      <c r="E239" s="64"/>
      <c r="F239" s="63"/>
      <c r="G239" s="64"/>
      <c r="H239" s="63"/>
      <c r="I239" s="64"/>
      <c r="J239" s="63"/>
      <c r="K239" s="64"/>
      <c r="L239" s="63"/>
      <c r="M239" s="64"/>
      <c r="N239" s="63"/>
      <c r="O239" s="64"/>
      <c r="P239" s="63"/>
      <c r="Q239" s="64"/>
      <c r="R239" s="63"/>
      <c r="S239" s="64"/>
      <c r="T239" s="63"/>
      <c r="U239" s="64"/>
      <c r="V239" s="63"/>
      <c r="W239" s="64"/>
      <c r="X239" s="63"/>
      <c r="Y239" s="64"/>
      <c r="Z239" s="63"/>
      <c r="AA239" s="64"/>
      <c r="AB239" s="63"/>
      <c r="AC239" s="64"/>
      <c r="AD239" s="63"/>
      <c r="AE239" s="64"/>
      <c r="AF239" s="63"/>
    </row>
    <row r="240" spans="1:32" x14ac:dyDescent="0.25">
      <c r="A240" s="64"/>
      <c r="B240" s="63"/>
      <c r="C240" s="64"/>
      <c r="D240" s="63"/>
      <c r="E240" s="64"/>
      <c r="F240" s="63"/>
      <c r="G240" s="64"/>
      <c r="H240" s="63"/>
      <c r="I240" s="64"/>
      <c r="J240" s="63"/>
      <c r="K240" s="64"/>
      <c r="L240" s="63"/>
      <c r="M240" s="64"/>
      <c r="N240" s="63"/>
      <c r="O240" s="64"/>
      <c r="P240" s="63"/>
      <c r="Q240" s="64"/>
      <c r="R240" s="63"/>
      <c r="S240" s="64"/>
      <c r="T240" s="63"/>
      <c r="U240" s="64"/>
      <c r="V240" s="63"/>
      <c r="W240" s="64"/>
      <c r="X240" s="63"/>
      <c r="Y240" s="64"/>
      <c r="Z240" s="63"/>
      <c r="AA240" s="64"/>
      <c r="AB240" s="63"/>
      <c r="AC240" s="64"/>
      <c r="AD240" s="63"/>
      <c r="AE240" s="64"/>
      <c r="AF240" s="63"/>
    </row>
    <row r="241" spans="1:32" x14ac:dyDescent="0.25">
      <c r="A241" s="64"/>
      <c r="B241" s="63"/>
      <c r="C241" s="64"/>
      <c r="D241" s="63"/>
      <c r="E241" s="64"/>
      <c r="F241" s="63"/>
      <c r="G241" s="64"/>
      <c r="H241" s="63"/>
      <c r="I241" s="64"/>
      <c r="J241" s="63"/>
      <c r="K241" s="64"/>
      <c r="L241" s="63"/>
      <c r="M241" s="64"/>
      <c r="N241" s="63"/>
      <c r="O241" s="64"/>
      <c r="P241" s="63"/>
      <c r="Q241" s="64"/>
      <c r="R241" s="63"/>
      <c r="S241" s="64"/>
      <c r="T241" s="63"/>
      <c r="U241" s="64"/>
      <c r="V241" s="63"/>
      <c r="W241" s="64"/>
      <c r="X241" s="63"/>
      <c r="Y241" s="64"/>
      <c r="Z241" s="63"/>
      <c r="AA241" s="64"/>
      <c r="AB241" s="63"/>
      <c r="AC241" s="64"/>
      <c r="AD241" s="63"/>
      <c r="AE241" s="64"/>
      <c r="AF241" s="63"/>
    </row>
    <row r="242" spans="1:32" x14ac:dyDescent="0.25">
      <c r="A242" s="64"/>
      <c r="B242" s="63"/>
      <c r="C242" s="64"/>
      <c r="D242" s="63"/>
      <c r="E242" s="64"/>
      <c r="F242" s="63"/>
      <c r="G242" s="64"/>
      <c r="H242" s="63"/>
      <c r="I242" s="64"/>
      <c r="J242" s="63"/>
      <c r="K242" s="64"/>
      <c r="L242" s="63"/>
      <c r="M242" s="64"/>
      <c r="N242" s="63"/>
      <c r="O242" s="64"/>
      <c r="P242" s="63"/>
      <c r="Q242" s="64"/>
      <c r="R242" s="63"/>
      <c r="S242" s="64"/>
      <c r="T242" s="63"/>
      <c r="U242" s="64"/>
      <c r="V242" s="63"/>
      <c r="W242" s="64"/>
      <c r="X242" s="63"/>
      <c r="Y242" s="64"/>
      <c r="Z242" s="63"/>
      <c r="AA242" s="64"/>
      <c r="AB242" s="63"/>
      <c r="AC242" s="64"/>
      <c r="AD242" s="63"/>
      <c r="AE242" s="64"/>
      <c r="AF242" s="63"/>
    </row>
    <row r="243" spans="1:32" x14ac:dyDescent="0.25">
      <c r="A243" s="64"/>
      <c r="B243" s="63"/>
      <c r="C243" s="64"/>
      <c r="D243" s="63"/>
      <c r="E243" s="64"/>
      <c r="F243" s="63"/>
      <c r="G243" s="64"/>
      <c r="H243" s="63"/>
      <c r="I243" s="64"/>
      <c r="J243" s="63"/>
      <c r="K243" s="64"/>
      <c r="L243" s="63"/>
      <c r="M243" s="64"/>
      <c r="N243" s="63"/>
      <c r="O243" s="64"/>
      <c r="P243" s="63"/>
      <c r="Q243" s="64"/>
      <c r="R243" s="63"/>
      <c r="S243" s="64"/>
      <c r="T243" s="63"/>
      <c r="U243" s="64"/>
      <c r="V243" s="63"/>
      <c r="W243" s="64"/>
      <c r="X243" s="63"/>
      <c r="Y243" s="64"/>
      <c r="Z243" s="63"/>
      <c r="AA243" s="64"/>
      <c r="AB243" s="63"/>
      <c r="AC243" s="64"/>
      <c r="AD243" s="63"/>
      <c r="AE243" s="64"/>
      <c r="AF243" s="63"/>
    </row>
    <row r="244" spans="1:32" x14ac:dyDescent="0.25">
      <c r="A244" s="64"/>
      <c r="B244" s="63"/>
      <c r="C244" s="64"/>
      <c r="D244" s="63"/>
      <c r="E244" s="64"/>
      <c r="F244" s="63"/>
      <c r="G244" s="64"/>
      <c r="H244" s="63"/>
      <c r="I244" s="64"/>
      <c r="J244" s="63"/>
      <c r="K244" s="64"/>
      <c r="L244" s="63"/>
      <c r="M244" s="64"/>
      <c r="N244" s="63"/>
      <c r="O244" s="64"/>
      <c r="P244" s="63"/>
      <c r="Q244" s="64"/>
      <c r="R244" s="63"/>
      <c r="S244" s="64"/>
      <c r="T244" s="63"/>
      <c r="U244" s="64"/>
      <c r="V244" s="63"/>
      <c r="W244" s="64"/>
      <c r="X244" s="63"/>
      <c r="Y244" s="64"/>
      <c r="Z244" s="63"/>
      <c r="AA244" s="64"/>
      <c r="AB244" s="63"/>
      <c r="AC244" s="64"/>
      <c r="AD244" s="63"/>
      <c r="AE244" s="64"/>
      <c r="AF244" s="63"/>
    </row>
    <row r="245" spans="1:32" x14ac:dyDescent="0.25">
      <c r="A245" s="64"/>
      <c r="B245" s="63"/>
      <c r="C245" s="64"/>
      <c r="D245" s="63"/>
      <c r="E245" s="64"/>
      <c r="F245" s="63"/>
      <c r="G245" s="64"/>
      <c r="H245" s="63"/>
      <c r="I245" s="64"/>
      <c r="J245" s="63"/>
      <c r="K245" s="64"/>
      <c r="L245" s="63"/>
      <c r="M245" s="64"/>
      <c r="N245" s="63"/>
      <c r="O245" s="64"/>
      <c r="P245" s="63"/>
      <c r="Q245" s="64"/>
      <c r="R245" s="63"/>
      <c r="S245" s="64"/>
      <c r="T245" s="63"/>
      <c r="U245" s="64"/>
      <c r="V245" s="63"/>
      <c r="W245" s="64"/>
      <c r="X245" s="63"/>
      <c r="Y245" s="64"/>
      <c r="Z245" s="63"/>
      <c r="AA245" s="64"/>
      <c r="AB245" s="63"/>
      <c r="AC245" s="64"/>
      <c r="AD245" s="63"/>
      <c r="AE245" s="64"/>
      <c r="AF245" s="63"/>
    </row>
    <row r="246" spans="1:32" x14ac:dyDescent="0.25">
      <c r="A246" s="64"/>
      <c r="B246" s="63"/>
      <c r="C246" s="64"/>
      <c r="D246" s="63"/>
      <c r="E246" s="64"/>
      <c r="F246" s="63"/>
      <c r="G246" s="64"/>
      <c r="H246" s="63"/>
      <c r="I246" s="64"/>
      <c r="J246" s="63"/>
      <c r="K246" s="64"/>
      <c r="L246" s="63"/>
      <c r="M246" s="64"/>
      <c r="N246" s="63"/>
      <c r="O246" s="64"/>
      <c r="P246" s="63"/>
      <c r="Q246" s="64"/>
      <c r="R246" s="63"/>
      <c r="S246" s="64"/>
      <c r="T246" s="63"/>
      <c r="U246" s="64"/>
      <c r="V246" s="63"/>
      <c r="W246" s="64"/>
      <c r="X246" s="63"/>
      <c r="Y246" s="64"/>
      <c r="Z246" s="63"/>
      <c r="AA246" s="64"/>
      <c r="AB246" s="63"/>
      <c r="AC246" s="64"/>
      <c r="AD246" s="63"/>
      <c r="AE246" s="64"/>
      <c r="AF246" s="63"/>
    </row>
    <row r="247" spans="1:32" x14ac:dyDescent="0.25">
      <c r="A247" s="64"/>
      <c r="B247" s="63"/>
      <c r="C247" s="64"/>
      <c r="D247" s="63"/>
      <c r="E247" s="64"/>
      <c r="F247" s="63"/>
      <c r="G247" s="64"/>
      <c r="H247" s="63"/>
      <c r="I247" s="64"/>
      <c r="J247" s="63"/>
      <c r="K247" s="64"/>
      <c r="L247" s="63"/>
      <c r="M247" s="64"/>
      <c r="N247" s="63"/>
      <c r="O247" s="64"/>
      <c r="P247" s="63"/>
      <c r="Q247" s="64"/>
      <c r="R247" s="63"/>
      <c r="S247" s="64"/>
      <c r="T247" s="63"/>
      <c r="U247" s="64"/>
      <c r="V247" s="63"/>
      <c r="W247" s="64"/>
      <c r="X247" s="63"/>
      <c r="Y247" s="64"/>
      <c r="Z247" s="63"/>
      <c r="AA247" s="64"/>
      <c r="AB247" s="63"/>
      <c r="AC247" s="64"/>
      <c r="AD247" s="63"/>
      <c r="AE247" s="64"/>
      <c r="AF247" s="63"/>
    </row>
    <row r="248" spans="1:32" x14ac:dyDescent="0.25">
      <c r="A248" s="64"/>
      <c r="B248" s="63"/>
      <c r="C248" s="64"/>
      <c r="D248" s="63"/>
      <c r="E248" s="64"/>
      <c r="F248" s="63"/>
      <c r="G248" s="64"/>
      <c r="H248" s="63"/>
      <c r="I248" s="64"/>
      <c r="J248" s="63"/>
      <c r="K248" s="64"/>
      <c r="L248" s="63"/>
      <c r="M248" s="64"/>
      <c r="N248" s="63"/>
      <c r="O248" s="64"/>
      <c r="P248" s="63"/>
      <c r="Q248" s="64"/>
      <c r="R248" s="63"/>
      <c r="S248" s="64"/>
      <c r="T248" s="63"/>
      <c r="U248" s="64"/>
      <c r="V248" s="63"/>
      <c r="W248" s="64"/>
      <c r="X248" s="63"/>
      <c r="Y248" s="64"/>
      <c r="Z248" s="63"/>
      <c r="AA248" s="64"/>
      <c r="AB248" s="63"/>
      <c r="AC248" s="64"/>
      <c r="AD248" s="63"/>
      <c r="AE248" s="64"/>
      <c r="AF248" s="63"/>
    </row>
    <row r="249" spans="1:32" x14ac:dyDescent="0.25">
      <c r="A249" s="64"/>
      <c r="B249" s="63"/>
      <c r="C249" s="64"/>
      <c r="D249" s="63"/>
      <c r="E249" s="64"/>
      <c r="F249" s="63"/>
      <c r="G249" s="64"/>
      <c r="H249" s="63"/>
      <c r="I249" s="64"/>
      <c r="J249" s="63"/>
      <c r="K249" s="64"/>
      <c r="L249" s="63"/>
      <c r="M249" s="64"/>
      <c r="N249" s="63"/>
      <c r="O249" s="64"/>
      <c r="P249" s="63"/>
      <c r="Q249" s="64"/>
      <c r="R249" s="63"/>
      <c r="S249" s="64"/>
      <c r="T249" s="63"/>
      <c r="U249" s="64"/>
      <c r="V249" s="63"/>
      <c r="W249" s="64"/>
      <c r="X249" s="63"/>
      <c r="Y249" s="64"/>
      <c r="Z249" s="63"/>
      <c r="AA249" s="64"/>
      <c r="AB249" s="63"/>
      <c r="AC249" s="64"/>
      <c r="AD249" s="63"/>
      <c r="AE249" s="64"/>
      <c r="AF249" s="63"/>
    </row>
    <row r="250" spans="1:32" x14ac:dyDescent="0.25">
      <c r="A250" s="64"/>
      <c r="B250" s="63"/>
      <c r="C250" s="64"/>
      <c r="D250" s="63"/>
      <c r="E250" s="64"/>
      <c r="F250" s="63"/>
      <c r="G250" s="64"/>
      <c r="H250" s="63"/>
      <c r="I250" s="64"/>
      <c r="J250" s="63"/>
      <c r="K250" s="64"/>
      <c r="L250" s="63"/>
      <c r="M250" s="64"/>
      <c r="N250" s="63"/>
      <c r="O250" s="64"/>
      <c r="P250" s="63"/>
      <c r="Q250" s="64"/>
      <c r="R250" s="63"/>
      <c r="S250" s="64"/>
      <c r="T250" s="63"/>
      <c r="U250" s="64"/>
      <c r="V250" s="63"/>
      <c r="W250" s="64"/>
      <c r="X250" s="63"/>
      <c r="Y250" s="64"/>
      <c r="Z250" s="63"/>
      <c r="AA250" s="64"/>
      <c r="AB250" s="63"/>
      <c r="AC250" s="64"/>
      <c r="AD250" s="63"/>
      <c r="AE250" s="64"/>
      <c r="AF250" s="63"/>
    </row>
    <row r="251" spans="1:32" x14ac:dyDescent="0.25">
      <c r="A251" s="64"/>
      <c r="B251" s="63"/>
      <c r="C251" s="64"/>
      <c r="D251" s="63"/>
      <c r="E251" s="64"/>
      <c r="F251" s="63"/>
      <c r="G251" s="64"/>
      <c r="H251" s="63"/>
      <c r="I251" s="64"/>
      <c r="J251" s="63"/>
      <c r="K251" s="64"/>
      <c r="L251" s="63"/>
      <c r="M251" s="64"/>
      <c r="N251" s="63"/>
      <c r="O251" s="64"/>
      <c r="P251" s="63"/>
      <c r="Q251" s="64"/>
      <c r="R251" s="63"/>
      <c r="S251" s="64"/>
      <c r="T251" s="63"/>
      <c r="U251" s="64"/>
      <c r="V251" s="63"/>
      <c r="W251" s="64"/>
      <c r="X251" s="63"/>
      <c r="Y251" s="64"/>
      <c r="Z251" s="63"/>
      <c r="AA251" s="64"/>
      <c r="AB251" s="63"/>
      <c r="AC251" s="64"/>
      <c r="AD251" s="63"/>
      <c r="AE251" s="64"/>
      <c r="AF251" s="63"/>
    </row>
    <row r="252" spans="1:32" x14ac:dyDescent="0.25">
      <c r="A252" s="64"/>
      <c r="B252" s="63"/>
      <c r="C252" s="64"/>
      <c r="D252" s="63"/>
      <c r="E252" s="64"/>
      <c r="F252" s="63"/>
      <c r="G252" s="64"/>
      <c r="H252" s="63"/>
      <c r="I252" s="64"/>
      <c r="J252" s="63"/>
      <c r="K252" s="64"/>
      <c r="L252" s="63"/>
      <c r="M252" s="64"/>
      <c r="N252" s="63"/>
      <c r="O252" s="64"/>
      <c r="P252" s="63"/>
      <c r="Q252" s="64"/>
      <c r="R252" s="63"/>
      <c r="S252" s="64"/>
      <c r="T252" s="63"/>
      <c r="U252" s="64"/>
      <c r="V252" s="63"/>
      <c r="W252" s="64"/>
      <c r="X252" s="63"/>
      <c r="Y252" s="64"/>
      <c r="Z252" s="63"/>
      <c r="AA252" s="64"/>
      <c r="AB252" s="63"/>
      <c r="AC252" s="64"/>
      <c r="AD252" s="63"/>
      <c r="AE252" s="64"/>
      <c r="AF252" s="63"/>
    </row>
    <row r="253" spans="1:32" x14ac:dyDescent="0.25">
      <c r="A253" s="64"/>
      <c r="B253" s="63"/>
      <c r="C253" s="64"/>
      <c r="D253" s="63"/>
      <c r="E253" s="64"/>
      <c r="F253" s="63"/>
      <c r="G253" s="64"/>
      <c r="H253" s="63"/>
      <c r="I253" s="64"/>
      <c r="J253" s="63"/>
      <c r="K253" s="64"/>
      <c r="L253" s="63"/>
      <c r="M253" s="64"/>
      <c r="N253" s="63"/>
      <c r="O253" s="64"/>
      <c r="P253" s="63"/>
      <c r="Q253" s="64"/>
      <c r="R253" s="63"/>
      <c r="S253" s="64"/>
      <c r="T253" s="63"/>
      <c r="U253" s="64"/>
      <c r="V253" s="63"/>
      <c r="W253" s="64"/>
      <c r="X253" s="63"/>
      <c r="Y253" s="64"/>
      <c r="Z253" s="63"/>
      <c r="AA253" s="64"/>
      <c r="AB253" s="63"/>
      <c r="AC253" s="64"/>
      <c r="AD253" s="63"/>
      <c r="AE253" s="64"/>
      <c r="AF253" s="63"/>
    </row>
    <row r="254" spans="1:32" x14ac:dyDescent="0.25">
      <c r="A254" s="64"/>
      <c r="B254" s="63"/>
      <c r="C254" s="64"/>
      <c r="D254" s="63"/>
      <c r="E254" s="64"/>
      <c r="F254" s="63"/>
      <c r="G254" s="64"/>
      <c r="H254" s="63"/>
      <c r="I254" s="64"/>
      <c r="J254" s="63"/>
      <c r="K254" s="64"/>
      <c r="L254" s="63"/>
      <c r="M254" s="64"/>
      <c r="N254" s="63"/>
      <c r="O254" s="64"/>
      <c r="P254" s="63"/>
      <c r="Q254" s="64"/>
      <c r="R254" s="63"/>
      <c r="S254" s="64"/>
      <c r="T254" s="63"/>
      <c r="U254" s="64"/>
      <c r="V254" s="63"/>
      <c r="W254" s="64"/>
      <c r="X254" s="63"/>
      <c r="Y254" s="64"/>
      <c r="Z254" s="63"/>
      <c r="AA254" s="64"/>
      <c r="AB254" s="63"/>
      <c r="AC254" s="64"/>
      <c r="AD254" s="63"/>
      <c r="AE254" s="64"/>
      <c r="AF254" s="63"/>
    </row>
    <row r="255" spans="1:32" x14ac:dyDescent="0.25">
      <c r="A255" s="64"/>
      <c r="B255" s="63"/>
      <c r="C255" s="64"/>
      <c r="D255" s="63"/>
      <c r="E255" s="64"/>
      <c r="F255" s="63"/>
      <c r="G255" s="64"/>
      <c r="H255" s="63"/>
      <c r="I255" s="64"/>
      <c r="J255" s="63"/>
      <c r="K255" s="64"/>
      <c r="L255" s="63"/>
      <c r="M255" s="64"/>
      <c r="N255" s="63"/>
      <c r="O255" s="64"/>
      <c r="P255" s="63"/>
      <c r="Q255" s="64"/>
      <c r="R255" s="63"/>
      <c r="S255" s="64"/>
      <c r="T255" s="63"/>
      <c r="U255" s="64"/>
      <c r="V255" s="63"/>
      <c r="W255" s="64"/>
      <c r="X255" s="63"/>
      <c r="Y255" s="64"/>
      <c r="Z255" s="63"/>
      <c r="AA255" s="64"/>
      <c r="AB255" s="63"/>
      <c r="AC255" s="64"/>
      <c r="AD255" s="63"/>
      <c r="AE255" s="64"/>
      <c r="AF255" s="63"/>
    </row>
    <row r="256" spans="1:32" x14ac:dyDescent="0.25">
      <c r="A256" s="64"/>
      <c r="B256" s="63"/>
      <c r="C256" s="64"/>
      <c r="D256" s="63"/>
      <c r="E256" s="64"/>
      <c r="F256" s="63"/>
      <c r="G256" s="64"/>
      <c r="H256" s="63"/>
      <c r="I256" s="64"/>
      <c r="J256" s="63"/>
      <c r="K256" s="64"/>
      <c r="L256" s="63"/>
      <c r="M256" s="64"/>
      <c r="N256" s="63"/>
      <c r="O256" s="64"/>
      <c r="P256" s="63"/>
      <c r="Q256" s="64"/>
      <c r="R256" s="63"/>
      <c r="S256" s="64"/>
      <c r="T256" s="63"/>
      <c r="U256" s="64"/>
      <c r="V256" s="63"/>
      <c r="W256" s="64"/>
      <c r="X256" s="63"/>
      <c r="Y256" s="64"/>
      <c r="Z256" s="63"/>
      <c r="AA256" s="64"/>
      <c r="AB256" s="63"/>
      <c r="AC256" s="64"/>
      <c r="AD256" s="63"/>
      <c r="AE256" s="64"/>
      <c r="AF256" s="63"/>
    </row>
    <row r="257" spans="1:32" x14ac:dyDescent="0.25">
      <c r="A257" s="64"/>
      <c r="B257" s="63"/>
      <c r="C257" s="64"/>
      <c r="D257" s="63"/>
      <c r="E257" s="64"/>
      <c r="F257" s="63"/>
      <c r="G257" s="64"/>
      <c r="H257" s="63"/>
      <c r="I257" s="64"/>
      <c r="J257" s="63"/>
      <c r="K257" s="64"/>
      <c r="L257" s="63"/>
      <c r="M257" s="64"/>
      <c r="N257" s="63"/>
      <c r="O257" s="64"/>
      <c r="P257" s="63"/>
      <c r="Q257" s="64"/>
      <c r="R257" s="63"/>
      <c r="S257" s="64"/>
      <c r="T257" s="63"/>
      <c r="U257" s="64"/>
      <c r="V257" s="63"/>
      <c r="W257" s="64"/>
      <c r="X257" s="63"/>
      <c r="Y257" s="64"/>
      <c r="Z257" s="63"/>
      <c r="AA257" s="64"/>
      <c r="AB257" s="63"/>
      <c r="AC257" s="64"/>
      <c r="AD257" s="63"/>
      <c r="AE257" s="64"/>
      <c r="AF257" s="63"/>
    </row>
    <row r="258" spans="1:32" x14ac:dyDescent="0.25">
      <c r="A258" s="64"/>
      <c r="B258" s="63"/>
      <c r="C258" s="64"/>
      <c r="D258" s="63"/>
      <c r="E258" s="64"/>
      <c r="F258" s="63"/>
      <c r="G258" s="64"/>
      <c r="H258" s="63"/>
      <c r="I258" s="64"/>
      <c r="J258" s="63"/>
      <c r="K258" s="64"/>
      <c r="L258" s="63"/>
      <c r="M258" s="64"/>
      <c r="N258" s="63"/>
      <c r="O258" s="64"/>
      <c r="P258" s="63"/>
      <c r="Q258" s="64"/>
      <c r="R258" s="63"/>
      <c r="S258" s="64"/>
      <c r="T258" s="63"/>
      <c r="U258" s="64"/>
      <c r="V258" s="63"/>
      <c r="W258" s="64"/>
      <c r="X258" s="63"/>
      <c r="Y258" s="64"/>
      <c r="Z258" s="63"/>
      <c r="AA258" s="64"/>
      <c r="AB258" s="63"/>
      <c r="AC258" s="64"/>
      <c r="AD258" s="63"/>
      <c r="AE258" s="64"/>
      <c r="AF258" s="63"/>
    </row>
    <row r="259" spans="1:32" x14ac:dyDescent="0.25">
      <c r="A259" s="64"/>
      <c r="B259" s="63"/>
      <c r="C259" s="64"/>
      <c r="D259" s="63"/>
      <c r="E259" s="64"/>
      <c r="F259" s="63"/>
      <c r="G259" s="64"/>
      <c r="H259" s="63"/>
      <c r="I259" s="64"/>
      <c r="J259" s="63"/>
      <c r="K259" s="64"/>
      <c r="L259" s="63"/>
      <c r="M259" s="64"/>
      <c r="N259" s="63"/>
      <c r="O259" s="64"/>
      <c r="P259" s="63"/>
      <c r="Q259" s="64"/>
      <c r="R259" s="63"/>
      <c r="S259" s="64"/>
      <c r="T259" s="63"/>
      <c r="U259" s="64"/>
      <c r="V259" s="63"/>
      <c r="W259" s="64"/>
      <c r="X259" s="63"/>
      <c r="Y259" s="64"/>
      <c r="Z259" s="63"/>
      <c r="AA259" s="64"/>
      <c r="AB259" s="63"/>
      <c r="AC259" s="64"/>
      <c r="AD259" s="63"/>
      <c r="AE259" s="64"/>
      <c r="AF259" s="63"/>
    </row>
    <row r="260" spans="1:32" x14ac:dyDescent="0.25">
      <c r="A260" s="64"/>
      <c r="B260" s="63"/>
      <c r="C260" s="64"/>
      <c r="D260" s="63"/>
      <c r="E260" s="64"/>
      <c r="F260" s="63"/>
      <c r="G260" s="64"/>
      <c r="H260" s="63"/>
      <c r="I260" s="64"/>
      <c r="J260" s="63"/>
      <c r="K260" s="64"/>
      <c r="L260" s="63"/>
      <c r="M260" s="64"/>
      <c r="N260" s="63"/>
      <c r="O260" s="64"/>
      <c r="P260" s="63"/>
      <c r="Q260" s="64"/>
      <c r="R260" s="63"/>
      <c r="S260" s="64"/>
      <c r="T260" s="63"/>
      <c r="U260" s="64"/>
      <c r="V260" s="63"/>
      <c r="W260" s="64"/>
      <c r="X260" s="63"/>
      <c r="Y260" s="64"/>
      <c r="Z260" s="63"/>
      <c r="AA260" s="64"/>
      <c r="AB260" s="63"/>
      <c r="AC260" s="64"/>
      <c r="AD260" s="63"/>
      <c r="AE260" s="64"/>
      <c r="AF260" s="63"/>
    </row>
    <row r="261" spans="1:32" x14ac:dyDescent="0.25">
      <c r="A261" s="64"/>
      <c r="B261" s="63"/>
      <c r="C261" s="64"/>
      <c r="D261" s="63"/>
      <c r="E261" s="64"/>
      <c r="F261" s="63"/>
      <c r="G261" s="64"/>
      <c r="H261" s="63"/>
      <c r="I261" s="64"/>
      <c r="J261" s="63"/>
      <c r="K261" s="64"/>
      <c r="L261" s="63"/>
      <c r="M261" s="64"/>
      <c r="N261" s="63"/>
      <c r="O261" s="64"/>
      <c r="P261" s="63"/>
      <c r="Q261" s="64"/>
      <c r="R261" s="63"/>
      <c r="S261" s="64"/>
      <c r="T261" s="63"/>
      <c r="U261" s="64"/>
      <c r="V261" s="63"/>
      <c r="W261" s="64"/>
      <c r="X261" s="63"/>
      <c r="Y261" s="64"/>
      <c r="Z261" s="63"/>
      <c r="AA261" s="64"/>
      <c r="AB261" s="63"/>
      <c r="AC261" s="64"/>
      <c r="AD261" s="63"/>
      <c r="AE261" s="64"/>
      <c r="AF261" s="63"/>
    </row>
    <row r="262" spans="1:32" x14ac:dyDescent="0.25">
      <c r="A262" s="64"/>
      <c r="B262" s="63"/>
      <c r="C262" s="64"/>
      <c r="D262" s="63"/>
      <c r="E262" s="64"/>
      <c r="F262" s="63"/>
      <c r="G262" s="64"/>
      <c r="H262" s="63"/>
      <c r="I262" s="64"/>
      <c r="J262" s="63"/>
      <c r="K262" s="64"/>
      <c r="L262" s="63"/>
      <c r="M262" s="64"/>
      <c r="N262" s="63"/>
      <c r="O262" s="64"/>
      <c r="P262" s="63"/>
      <c r="Q262" s="64"/>
      <c r="R262" s="63"/>
      <c r="S262" s="64"/>
      <c r="T262" s="63"/>
      <c r="U262" s="64"/>
      <c r="V262" s="63"/>
      <c r="W262" s="64"/>
      <c r="X262" s="63"/>
      <c r="Y262" s="64"/>
      <c r="Z262" s="63"/>
      <c r="AA262" s="64"/>
      <c r="AB262" s="63"/>
      <c r="AC262" s="64"/>
      <c r="AD262" s="63"/>
      <c r="AE262" s="64"/>
      <c r="AF262" s="63"/>
    </row>
    <row r="263" spans="1:32" x14ac:dyDescent="0.25">
      <c r="A263" s="64"/>
      <c r="B263" s="63"/>
      <c r="C263" s="64"/>
      <c r="D263" s="63"/>
      <c r="E263" s="64"/>
      <c r="F263" s="63"/>
      <c r="G263" s="64"/>
      <c r="H263" s="63"/>
      <c r="I263" s="64"/>
      <c r="J263" s="63"/>
      <c r="K263" s="64"/>
      <c r="L263" s="63"/>
      <c r="M263" s="64"/>
      <c r="N263" s="63"/>
      <c r="O263" s="64"/>
      <c r="P263" s="63"/>
      <c r="Q263" s="64"/>
      <c r="R263" s="63"/>
      <c r="S263" s="64"/>
      <c r="T263" s="63"/>
      <c r="U263" s="64"/>
      <c r="V263" s="63"/>
      <c r="W263" s="64"/>
      <c r="X263" s="63"/>
      <c r="Y263" s="64"/>
      <c r="Z263" s="63"/>
      <c r="AA263" s="64"/>
      <c r="AB263" s="63"/>
      <c r="AC263" s="64"/>
      <c r="AD263" s="63"/>
      <c r="AE263" s="64"/>
      <c r="AF263" s="63"/>
    </row>
    <row r="264" spans="1:32" x14ac:dyDescent="0.25">
      <c r="A264" s="64"/>
      <c r="B264" s="63"/>
      <c r="C264" s="64"/>
      <c r="D264" s="63"/>
      <c r="E264" s="64"/>
      <c r="F264" s="63"/>
      <c r="G264" s="64"/>
      <c r="H264" s="63"/>
      <c r="I264" s="64"/>
      <c r="J264" s="63"/>
      <c r="K264" s="64"/>
      <c r="L264" s="63"/>
      <c r="M264" s="64"/>
      <c r="N264" s="63"/>
      <c r="O264" s="64"/>
      <c r="P264" s="63"/>
      <c r="Q264" s="64"/>
      <c r="R264" s="63"/>
      <c r="S264" s="64"/>
      <c r="T264" s="63"/>
      <c r="U264" s="64"/>
      <c r="V264" s="63"/>
      <c r="W264" s="64"/>
      <c r="X264" s="63"/>
      <c r="Y264" s="64"/>
      <c r="Z264" s="63"/>
      <c r="AA264" s="64"/>
      <c r="AB264" s="63"/>
      <c r="AC264" s="64"/>
      <c r="AD264" s="63"/>
      <c r="AE264" s="64"/>
      <c r="AF264" s="63"/>
    </row>
    <row r="265" spans="1:32" x14ac:dyDescent="0.25">
      <c r="A265" s="64"/>
      <c r="B265" s="63"/>
      <c r="C265" s="64"/>
      <c r="D265" s="63"/>
      <c r="E265" s="64"/>
      <c r="F265" s="63"/>
      <c r="G265" s="64"/>
      <c r="H265" s="63"/>
      <c r="I265" s="64"/>
      <c r="J265" s="63"/>
      <c r="K265" s="64"/>
      <c r="L265" s="63"/>
      <c r="M265" s="64"/>
      <c r="N265" s="63"/>
      <c r="O265" s="64"/>
      <c r="P265" s="63"/>
      <c r="Q265" s="64"/>
      <c r="R265" s="63"/>
      <c r="S265" s="64"/>
      <c r="T265" s="63"/>
      <c r="U265" s="64"/>
      <c r="V265" s="63"/>
      <c r="W265" s="64"/>
      <c r="X265" s="63"/>
      <c r="Y265" s="64"/>
      <c r="Z265" s="63"/>
      <c r="AA265" s="64"/>
      <c r="AB265" s="63"/>
      <c r="AC265" s="64"/>
      <c r="AD265" s="63"/>
      <c r="AE265" s="64"/>
      <c r="AF265" s="63"/>
    </row>
    <row r="266" spans="1:32" x14ac:dyDescent="0.25">
      <c r="A266" s="64"/>
      <c r="B266" s="63"/>
      <c r="C266" s="64"/>
      <c r="D266" s="63"/>
      <c r="E266" s="64"/>
      <c r="F266" s="63"/>
      <c r="G266" s="64"/>
      <c r="H266" s="63"/>
      <c r="I266" s="64"/>
      <c r="J266" s="63"/>
      <c r="K266" s="64"/>
      <c r="L266" s="63"/>
      <c r="M266" s="64"/>
      <c r="N266" s="63"/>
      <c r="O266" s="64"/>
      <c r="P266" s="63"/>
      <c r="Q266" s="64"/>
      <c r="R266" s="63"/>
      <c r="S266" s="64"/>
      <c r="T266" s="63"/>
      <c r="U266" s="64"/>
      <c r="V266" s="63"/>
      <c r="W266" s="64"/>
      <c r="X266" s="63"/>
      <c r="Y266" s="64"/>
      <c r="Z266" s="63"/>
      <c r="AA266" s="64"/>
      <c r="AB266" s="63"/>
      <c r="AC266" s="64"/>
      <c r="AD266" s="63"/>
      <c r="AE266" s="64"/>
      <c r="AF266" s="63"/>
    </row>
    <row r="267" spans="1:32" x14ac:dyDescent="0.25">
      <c r="A267" s="64"/>
      <c r="B267" s="63"/>
      <c r="C267" s="64"/>
      <c r="D267" s="63"/>
      <c r="E267" s="64"/>
      <c r="F267" s="63"/>
      <c r="G267" s="64"/>
      <c r="H267" s="63"/>
      <c r="I267" s="64"/>
      <c r="J267" s="63"/>
      <c r="K267" s="64"/>
      <c r="L267" s="63"/>
      <c r="M267" s="64"/>
      <c r="N267" s="63"/>
      <c r="O267" s="64"/>
      <c r="P267" s="63"/>
      <c r="Q267" s="64"/>
      <c r="R267" s="63"/>
      <c r="S267" s="64"/>
      <c r="T267" s="63"/>
      <c r="U267" s="64"/>
      <c r="V267" s="63"/>
      <c r="W267" s="64"/>
      <c r="X267" s="63"/>
      <c r="Y267" s="64"/>
      <c r="Z267" s="63"/>
      <c r="AA267" s="64"/>
      <c r="AB267" s="63"/>
      <c r="AC267" s="64"/>
      <c r="AD267" s="63"/>
      <c r="AE267" s="64"/>
      <c r="AF267" s="63"/>
    </row>
    <row r="268" spans="1:32" x14ac:dyDescent="0.25">
      <c r="A268" s="64"/>
      <c r="B268" s="63"/>
      <c r="C268" s="64"/>
      <c r="D268" s="63"/>
      <c r="E268" s="64"/>
      <c r="F268" s="63"/>
      <c r="G268" s="64"/>
      <c r="H268" s="63"/>
      <c r="I268" s="64"/>
      <c r="J268" s="63"/>
      <c r="K268" s="64"/>
      <c r="L268" s="63"/>
      <c r="M268" s="64"/>
      <c r="N268" s="63"/>
      <c r="O268" s="64"/>
      <c r="P268" s="63"/>
      <c r="Q268" s="64"/>
      <c r="R268" s="63"/>
      <c r="S268" s="64"/>
      <c r="T268" s="63"/>
      <c r="U268" s="64"/>
      <c r="V268" s="63"/>
      <c r="W268" s="64"/>
      <c r="X268" s="63"/>
      <c r="Y268" s="64"/>
      <c r="Z268" s="63"/>
      <c r="AA268" s="64"/>
      <c r="AB268" s="63"/>
      <c r="AC268" s="64"/>
      <c r="AD268" s="63"/>
      <c r="AE268" s="64"/>
      <c r="AF268" s="63"/>
    </row>
    <row r="269" spans="1:32" x14ac:dyDescent="0.25">
      <c r="A269" s="64"/>
      <c r="B269" s="63"/>
      <c r="C269" s="64"/>
      <c r="D269" s="63"/>
      <c r="E269" s="64"/>
      <c r="F269" s="63"/>
      <c r="G269" s="64"/>
      <c r="H269" s="63"/>
      <c r="I269" s="64"/>
      <c r="J269" s="63"/>
      <c r="K269" s="64"/>
      <c r="L269" s="63"/>
      <c r="M269" s="64"/>
      <c r="N269" s="63"/>
      <c r="O269" s="64"/>
      <c r="P269" s="63"/>
      <c r="Q269" s="64"/>
      <c r="R269" s="63"/>
      <c r="S269" s="64"/>
      <c r="T269" s="63"/>
      <c r="U269" s="64"/>
      <c r="V269" s="63"/>
      <c r="W269" s="64"/>
      <c r="X269" s="63"/>
      <c r="Y269" s="64"/>
      <c r="Z269" s="63"/>
      <c r="AA269" s="64"/>
      <c r="AB269" s="63"/>
      <c r="AC269" s="64"/>
      <c r="AD269" s="63"/>
      <c r="AE269" s="64"/>
      <c r="AF269" s="63"/>
    </row>
    <row r="270" spans="1:32" x14ac:dyDescent="0.25">
      <c r="A270" s="64"/>
      <c r="B270" s="63"/>
      <c r="C270" s="64"/>
      <c r="D270" s="63"/>
      <c r="E270" s="64"/>
      <c r="F270" s="63"/>
      <c r="G270" s="64"/>
      <c r="H270" s="63"/>
      <c r="I270" s="64"/>
      <c r="J270" s="63"/>
      <c r="K270" s="64"/>
      <c r="L270" s="63"/>
      <c r="M270" s="64"/>
      <c r="N270" s="63"/>
      <c r="O270" s="64"/>
      <c r="P270" s="63"/>
      <c r="Q270" s="64"/>
      <c r="R270" s="63"/>
      <c r="S270" s="64"/>
      <c r="T270" s="63"/>
      <c r="U270" s="64"/>
      <c r="V270" s="63"/>
      <c r="W270" s="64"/>
      <c r="X270" s="63"/>
      <c r="Y270" s="64"/>
      <c r="Z270" s="63"/>
      <c r="AA270" s="64"/>
      <c r="AB270" s="63"/>
      <c r="AC270" s="64"/>
      <c r="AD270" s="63"/>
      <c r="AE270" s="64"/>
      <c r="AF270" s="63"/>
    </row>
    <row r="271" spans="1:32" x14ac:dyDescent="0.25">
      <c r="A271" s="64"/>
      <c r="B271" s="63"/>
      <c r="C271" s="64"/>
      <c r="D271" s="63"/>
      <c r="E271" s="64"/>
      <c r="F271" s="63"/>
      <c r="G271" s="64"/>
      <c r="H271" s="63"/>
      <c r="I271" s="64"/>
      <c r="J271" s="63"/>
      <c r="K271" s="64"/>
      <c r="L271" s="63"/>
      <c r="M271" s="64"/>
      <c r="N271" s="63"/>
      <c r="O271" s="64"/>
      <c r="P271" s="63"/>
      <c r="Q271" s="64"/>
      <c r="R271" s="63"/>
      <c r="S271" s="64"/>
      <c r="T271" s="63"/>
      <c r="U271" s="64"/>
      <c r="V271" s="63"/>
      <c r="W271" s="64"/>
      <c r="X271" s="63"/>
      <c r="Y271" s="64"/>
      <c r="Z271" s="63"/>
      <c r="AA271" s="64"/>
      <c r="AB271" s="63"/>
      <c r="AC271" s="64"/>
      <c r="AD271" s="63"/>
      <c r="AE271" s="64"/>
      <c r="AF271" s="63"/>
    </row>
    <row r="272" spans="1:32" x14ac:dyDescent="0.25">
      <c r="A272" s="64"/>
      <c r="B272" s="63"/>
      <c r="C272" s="64"/>
      <c r="D272" s="63"/>
      <c r="E272" s="64"/>
      <c r="F272" s="63"/>
      <c r="G272" s="64"/>
      <c r="H272" s="63"/>
      <c r="I272" s="64"/>
      <c r="J272" s="63"/>
      <c r="K272" s="64"/>
      <c r="L272" s="63"/>
      <c r="M272" s="64"/>
      <c r="N272" s="63"/>
      <c r="O272" s="64"/>
      <c r="P272" s="63"/>
      <c r="Q272" s="64"/>
      <c r="R272" s="63"/>
      <c r="S272" s="64"/>
      <c r="T272" s="63"/>
      <c r="U272" s="64"/>
      <c r="V272" s="63"/>
      <c r="W272" s="64"/>
      <c r="X272" s="63"/>
      <c r="Y272" s="64"/>
      <c r="Z272" s="63"/>
      <c r="AA272" s="64"/>
      <c r="AB272" s="63"/>
      <c r="AC272" s="64"/>
      <c r="AD272" s="63"/>
      <c r="AE272" s="64"/>
      <c r="AF272" s="63"/>
    </row>
    <row r="273" spans="1:32" x14ac:dyDescent="0.25">
      <c r="A273" s="64"/>
      <c r="B273" s="63"/>
      <c r="C273" s="64"/>
      <c r="D273" s="63"/>
      <c r="E273" s="64"/>
      <c r="F273" s="63"/>
      <c r="G273" s="64"/>
      <c r="H273" s="63"/>
      <c r="I273" s="64"/>
      <c r="J273" s="63"/>
      <c r="K273" s="64"/>
      <c r="L273" s="63"/>
      <c r="M273" s="64"/>
      <c r="N273" s="63"/>
      <c r="O273" s="64"/>
      <c r="P273" s="63"/>
      <c r="Q273" s="64"/>
      <c r="R273" s="63"/>
      <c r="S273" s="64"/>
      <c r="T273" s="63"/>
      <c r="U273" s="64"/>
      <c r="V273" s="63"/>
      <c r="W273" s="64"/>
      <c r="X273" s="63"/>
      <c r="Y273" s="64"/>
      <c r="Z273" s="63"/>
      <c r="AA273" s="64"/>
      <c r="AB273" s="63"/>
      <c r="AC273" s="64"/>
      <c r="AD273" s="63"/>
      <c r="AE273" s="64"/>
      <c r="AF273" s="63"/>
    </row>
    <row r="274" spans="1:32" x14ac:dyDescent="0.25">
      <c r="A274" s="64"/>
      <c r="B274" s="63"/>
      <c r="C274" s="64"/>
      <c r="D274" s="63"/>
      <c r="E274" s="64"/>
      <c r="F274" s="63"/>
      <c r="G274" s="64"/>
      <c r="H274" s="63"/>
      <c r="I274" s="64"/>
      <c r="J274" s="63"/>
      <c r="K274" s="64"/>
      <c r="L274" s="63"/>
      <c r="M274" s="64"/>
      <c r="N274" s="63"/>
      <c r="O274" s="64"/>
      <c r="P274" s="63"/>
      <c r="Q274" s="64"/>
      <c r="R274" s="63"/>
      <c r="S274" s="64"/>
      <c r="T274" s="63"/>
      <c r="U274" s="64"/>
      <c r="V274" s="63"/>
      <c r="W274" s="64"/>
      <c r="X274" s="63"/>
      <c r="Y274" s="64"/>
      <c r="Z274" s="63"/>
      <c r="AA274" s="64"/>
      <c r="AB274" s="63"/>
      <c r="AC274" s="64"/>
      <c r="AD274" s="63"/>
      <c r="AE274" s="64"/>
      <c r="AF274" s="63"/>
    </row>
    <row r="275" spans="1:32" x14ac:dyDescent="0.25">
      <c r="A275" s="64"/>
      <c r="B275" s="63"/>
      <c r="C275" s="64"/>
      <c r="D275" s="63"/>
      <c r="E275" s="64"/>
      <c r="F275" s="63"/>
      <c r="G275" s="64"/>
      <c r="H275" s="63"/>
      <c r="I275" s="64"/>
      <c r="J275" s="63"/>
      <c r="K275" s="64"/>
      <c r="L275" s="63"/>
      <c r="M275" s="64"/>
      <c r="N275" s="63"/>
      <c r="O275" s="64"/>
      <c r="P275" s="63"/>
      <c r="Q275" s="64"/>
      <c r="R275" s="63"/>
      <c r="S275" s="64"/>
      <c r="T275" s="63"/>
      <c r="U275" s="64"/>
      <c r="V275" s="63"/>
      <c r="W275" s="64"/>
      <c r="X275" s="63"/>
      <c r="Y275" s="64"/>
      <c r="Z275" s="63"/>
      <c r="AA275" s="64"/>
      <c r="AB275" s="63"/>
      <c r="AC275" s="64"/>
      <c r="AD275" s="63"/>
      <c r="AE275" s="64"/>
      <c r="AF275" s="63"/>
    </row>
    <row r="276" spans="1:32" x14ac:dyDescent="0.25">
      <c r="A276" s="64"/>
      <c r="B276" s="63"/>
      <c r="C276" s="64"/>
      <c r="D276" s="63"/>
      <c r="E276" s="64"/>
      <c r="F276" s="63"/>
      <c r="G276" s="64"/>
      <c r="H276" s="63"/>
      <c r="I276" s="64"/>
      <c r="J276" s="63"/>
      <c r="K276" s="64"/>
      <c r="L276" s="63"/>
      <c r="M276" s="64"/>
      <c r="N276" s="63"/>
      <c r="O276" s="64"/>
      <c r="P276" s="63"/>
      <c r="Q276" s="64"/>
      <c r="R276" s="63"/>
      <c r="S276" s="64"/>
      <c r="T276" s="63"/>
      <c r="U276" s="64"/>
      <c r="V276" s="63"/>
      <c r="W276" s="64"/>
      <c r="X276" s="63"/>
      <c r="Y276" s="64"/>
      <c r="Z276" s="63"/>
      <c r="AA276" s="64"/>
      <c r="AB276" s="63"/>
      <c r="AC276" s="64"/>
      <c r="AD276" s="63"/>
      <c r="AE276" s="64"/>
      <c r="AF276" s="63"/>
    </row>
    <row r="277" spans="1:32" x14ac:dyDescent="0.25">
      <c r="A277" s="64"/>
      <c r="B277" s="63"/>
      <c r="C277" s="64"/>
      <c r="D277" s="63"/>
      <c r="E277" s="64"/>
      <c r="F277" s="63"/>
      <c r="G277" s="64"/>
      <c r="H277" s="63"/>
      <c r="I277" s="64"/>
      <c r="J277" s="63"/>
      <c r="K277" s="64"/>
      <c r="L277" s="63"/>
      <c r="M277" s="64"/>
      <c r="N277" s="63"/>
      <c r="O277" s="64"/>
      <c r="P277" s="63"/>
      <c r="Q277" s="64"/>
      <c r="R277" s="63"/>
      <c r="S277" s="64"/>
      <c r="T277" s="63"/>
      <c r="U277" s="64"/>
      <c r="V277" s="63"/>
      <c r="W277" s="64"/>
      <c r="X277" s="63"/>
      <c r="Y277" s="64"/>
      <c r="Z277" s="63"/>
      <c r="AA277" s="64"/>
      <c r="AB277" s="63"/>
      <c r="AC277" s="64"/>
      <c r="AD277" s="63"/>
      <c r="AE277" s="64"/>
      <c r="AF277" s="63"/>
    </row>
    <row r="278" spans="1:32" x14ac:dyDescent="0.25">
      <c r="A278" s="64"/>
      <c r="B278" s="63"/>
      <c r="C278" s="64"/>
      <c r="D278" s="63"/>
      <c r="E278" s="64"/>
      <c r="F278" s="63"/>
      <c r="G278" s="64"/>
      <c r="H278" s="63"/>
      <c r="I278" s="64"/>
      <c r="J278" s="63"/>
      <c r="K278" s="64"/>
      <c r="L278" s="63"/>
      <c r="M278" s="64"/>
      <c r="N278" s="63"/>
      <c r="O278" s="64"/>
      <c r="P278" s="63"/>
      <c r="Q278" s="64"/>
      <c r="R278" s="63"/>
      <c r="S278" s="64"/>
      <c r="T278" s="63"/>
      <c r="U278" s="64"/>
      <c r="V278" s="63"/>
      <c r="W278" s="64"/>
      <c r="X278" s="63"/>
      <c r="Y278" s="64"/>
      <c r="Z278" s="63"/>
      <c r="AA278" s="64"/>
      <c r="AB278" s="63"/>
      <c r="AC278" s="64"/>
      <c r="AD278" s="63"/>
      <c r="AE278" s="64"/>
      <c r="AF278" s="63"/>
    </row>
    <row r="279" spans="1:32" x14ac:dyDescent="0.25">
      <c r="A279" s="64"/>
      <c r="B279" s="63"/>
      <c r="C279" s="64"/>
      <c r="D279" s="63"/>
      <c r="E279" s="64"/>
      <c r="F279" s="63"/>
      <c r="G279" s="64"/>
      <c r="H279" s="63"/>
      <c r="I279" s="64"/>
      <c r="J279" s="63"/>
      <c r="K279" s="64"/>
      <c r="L279" s="63"/>
      <c r="M279" s="64"/>
      <c r="N279" s="63"/>
      <c r="O279" s="64"/>
      <c r="P279" s="63"/>
      <c r="Q279" s="64"/>
      <c r="R279" s="63"/>
      <c r="S279" s="64"/>
      <c r="T279" s="63"/>
      <c r="U279" s="64"/>
      <c r="V279" s="63"/>
      <c r="W279" s="64"/>
      <c r="X279" s="63"/>
      <c r="Y279" s="64"/>
      <c r="Z279" s="63"/>
      <c r="AA279" s="64"/>
      <c r="AB279" s="63"/>
      <c r="AC279" s="64"/>
      <c r="AD279" s="63"/>
      <c r="AE279" s="64"/>
      <c r="AF279" s="63"/>
    </row>
    <row r="280" spans="1:32" x14ac:dyDescent="0.25">
      <c r="A280" s="64"/>
      <c r="B280" s="63"/>
      <c r="C280" s="64"/>
      <c r="D280" s="63"/>
      <c r="E280" s="64"/>
      <c r="F280" s="63"/>
      <c r="G280" s="64"/>
      <c r="H280" s="63"/>
      <c r="I280" s="64"/>
      <c r="J280" s="63"/>
      <c r="K280" s="64"/>
      <c r="L280" s="63"/>
      <c r="M280" s="64"/>
      <c r="N280" s="63"/>
      <c r="O280" s="64"/>
      <c r="P280" s="63"/>
      <c r="Q280" s="64"/>
      <c r="R280" s="63"/>
      <c r="S280" s="64"/>
      <c r="T280" s="63"/>
      <c r="U280" s="64"/>
      <c r="V280" s="63"/>
      <c r="W280" s="64"/>
      <c r="X280" s="63"/>
      <c r="Y280" s="64"/>
      <c r="Z280" s="63"/>
      <c r="AA280" s="64"/>
      <c r="AB280" s="63"/>
      <c r="AC280" s="64"/>
      <c r="AD280" s="63"/>
      <c r="AE280" s="64"/>
      <c r="AF280" s="63"/>
    </row>
    <row r="281" spans="1:32" x14ac:dyDescent="0.25">
      <c r="A281" s="64"/>
      <c r="B281" s="63"/>
      <c r="C281" s="64"/>
      <c r="D281" s="63"/>
      <c r="E281" s="64"/>
      <c r="F281" s="63"/>
      <c r="G281" s="64"/>
      <c r="H281" s="63"/>
      <c r="I281" s="64"/>
      <c r="J281" s="63"/>
      <c r="K281" s="64"/>
      <c r="L281" s="63"/>
      <c r="M281" s="64"/>
      <c r="N281" s="63"/>
      <c r="O281" s="64"/>
      <c r="P281" s="63"/>
      <c r="Q281" s="64"/>
      <c r="R281" s="63"/>
      <c r="S281" s="64"/>
      <c r="T281" s="63"/>
      <c r="U281" s="64"/>
      <c r="V281" s="63"/>
      <c r="W281" s="64"/>
      <c r="X281" s="63"/>
      <c r="Y281" s="64"/>
      <c r="Z281" s="63"/>
      <c r="AA281" s="64"/>
      <c r="AB281" s="63"/>
      <c r="AC281" s="64"/>
      <c r="AD281" s="63"/>
      <c r="AE281" s="64"/>
      <c r="AF281" s="63"/>
    </row>
    <row r="282" spans="1:32" x14ac:dyDescent="0.25">
      <c r="A282" s="64"/>
      <c r="B282" s="63"/>
      <c r="C282" s="64"/>
      <c r="D282" s="63"/>
      <c r="E282" s="64"/>
      <c r="F282" s="63"/>
      <c r="G282" s="64"/>
      <c r="H282" s="63"/>
      <c r="I282" s="64"/>
      <c r="J282" s="63"/>
      <c r="K282" s="64"/>
      <c r="L282" s="63"/>
      <c r="M282" s="64"/>
      <c r="N282" s="63"/>
      <c r="O282" s="64"/>
      <c r="P282" s="63"/>
      <c r="Q282" s="64"/>
      <c r="R282" s="63"/>
      <c r="S282" s="64"/>
      <c r="T282" s="63"/>
      <c r="U282" s="64"/>
      <c r="V282" s="63"/>
      <c r="W282" s="64"/>
      <c r="X282" s="63"/>
      <c r="Y282" s="64"/>
      <c r="Z282" s="63"/>
      <c r="AA282" s="64"/>
      <c r="AB282" s="63"/>
      <c r="AC282" s="64"/>
      <c r="AD282" s="63"/>
      <c r="AE282" s="64"/>
      <c r="AF282" s="63"/>
    </row>
    <row r="283" spans="1:32" x14ac:dyDescent="0.25">
      <c r="A283" s="64"/>
      <c r="B283" s="63"/>
      <c r="C283" s="64"/>
      <c r="D283" s="63"/>
      <c r="E283" s="64"/>
      <c r="F283" s="63"/>
      <c r="G283" s="64"/>
      <c r="H283" s="63"/>
      <c r="I283" s="64"/>
      <c r="J283" s="63"/>
      <c r="K283" s="64"/>
      <c r="L283" s="63"/>
      <c r="M283" s="64"/>
      <c r="N283" s="63"/>
      <c r="O283" s="64"/>
      <c r="P283" s="63"/>
      <c r="Q283" s="64"/>
      <c r="R283" s="63"/>
      <c r="S283" s="64"/>
      <c r="T283" s="63"/>
      <c r="U283" s="64"/>
      <c r="V283" s="63"/>
      <c r="W283" s="64"/>
      <c r="X283" s="63"/>
      <c r="Y283" s="64"/>
      <c r="Z283" s="63"/>
      <c r="AA283" s="64"/>
      <c r="AB283" s="63"/>
      <c r="AC283" s="64"/>
      <c r="AD283" s="63"/>
      <c r="AE283" s="64"/>
      <c r="AF283" s="63"/>
    </row>
    <row r="284" spans="1:32" x14ac:dyDescent="0.25">
      <c r="A284" s="64"/>
      <c r="B284" s="63"/>
      <c r="C284" s="64"/>
      <c r="D284" s="63"/>
      <c r="E284" s="64"/>
      <c r="F284" s="63"/>
      <c r="G284" s="64"/>
      <c r="H284" s="63"/>
      <c r="I284" s="64"/>
      <c r="J284" s="63"/>
      <c r="K284" s="64"/>
      <c r="L284" s="63"/>
      <c r="M284" s="64"/>
      <c r="N284" s="63"/>
      <c r="O284" s="64"/>
      <c r="P284" s="63"/>
      <c r="Q284" s="64"/>
      <c r="R284" s="63"/>
      <c r="S284" s="64"/>
      <c r="T284" s="63"/>
      <c r="U284" s="64"/>
      <c r="V284" s="63"/>
      <c r="W284" s="64"/>
      <c r="X284" s="63"/>
      <c r="Y284" s="64"/>
      <c r="Z284" s="63"/>
      <c r="AA284" s="64"/>
      <c r="AB284" s="63"/>
      <c r="AC284" s="64"/>
      <c r="AD284" s="63"/>
      <c r="AE284" s="64"/>
      <c r="AF284" s="63"/>
    </row>
    <row r="285" spans="1:32" x14ac:dyDescent="0.25">
      <c r="A285" s="64"/>
      <c r="B285" s="63"/>
      <c r="C285" s="64"/>
      <c r="D285" s="63"/>
      <c r="E285" s="64"/>
      <c r="F285" s="63"/>
      <c r="G285" s="64"/>
      <c r="H285" s="63"/>
      <c r="I285" s="64"/>
      <c r="J285" s="63"/>
      <c r="K285" s="64"/>
      <c r="L285" s="63"/>
      <c r="M285" s="64"/>
      <c r="N285" s="63"/>
      <c r="O285" s="64"/>
      <c r="P285" s="63"/>
      <c r="Q285" s="64"/>
      <c r="R285" s="63"/>
      <c r="S285" s="64"/>
      <c r="T285" s="63"/>
      <c r="U285" s="64"/>
      <c r="V285" s="63"/>
      <c r="W285" s="64"/>
      <c r="X285" s="63"/>
      <c r="Y285" s="64"/>
      <c r="Z285" s="63"/>
      <c r="AA285" s="64"/>
      <c r="AB285" s="63"/>
      <c r="AC285" s="64"/>
      <c r="AD285" s="63"/>
      <c r="AE285" s="64"/>
      <c r="AF285" s="63"/>
    </row>
    <row r="286" spans="1:32" x14ac:dyDescent="0.25">
      <c r="A286" s="64"/>
      <c r="B286" s="63"/>
      <c r="C286" s="64"/>
      <c r="D286" s="63"/>
      <c r="E286" s="64"/>
      <c r="F286" s="63"/>
      <c r="G286" s="64"/>
      <c r="H286" s="63"/>
      <c r="I286" s="64"/>
      <c r="J286" s="63"/>
      <c r="K286" s="64"/>
      <c r="L286" s="63"/>
      <c r="M286" s="64"/>
      <c r="N286" s="63"/>
      <c r="O286" s="64"/>
      <c r="P286" s="63"/>
      <c r="Q286" s="64"/>
      <c r="R286" s="63"/>
      <c r="S286" s="64"/>
      <c r="T286" s="63"/>
      <c r="U286" s="64"/>
      <c r="V286" s="63"/>
      <c r="W286" s="64"/>
      <c r="X286" s="63"/>
      <c r="Y286" s="64"/>
      <c r="Z286" s="63"/>
      <c r="AA286" s="64"/>
      <c r="AB286" s="63"/>
      <c r="AC286" s="64"/>
      <c r="AD286" s="63"/>
      <c r="AE286" s="64"/>
      <c r="AF286" s="63"/>
    </row>
    <row r="287" spans="1:32" x14ac:dyDescent="0.25">
      <c r="A287" s="64"/>
      <c r="B287" s="63"/>
      <c r="C287" s="64"/>
      <c r="D287" s="63"/>
      <c r="E287" s="64"/>
      <c r="F287" s="63"/>
      <c r="G287" s="64"/>
      <c r="H287" s="63"/>
      <c r="I287" s="64"/>
      <c r="J287" s="63"/>
      <c r="K287" s="64"/>
      <c r="L287" s="63"/>
      <c r="M287" s="64"/>
      <c r="N287" s="63"/>
      <c r="O287" s="64"/>
      <c r="P287" s="63"/>
      <c r="Q287" s="64"/>
      <c r="R287" s="63"/>
      <c r="S287" s="64"/>
      <c r="T287" s="63"/>
      <c r="U287" s="64"/>
      <c r="V287" s="63"/>
      <c r="W287" s="64"/>
      <c r="X287" s="63"/>
      <c r="Y287" s="64"/>
      <c r="Z287" s="63"/>
      <c r="AA287" s="64"/>
      <c r="AB287" s="63"/>
      <c r="AC287" s="64"/>
      <c r="AD287" s="63"/>
      <c r="AE287" s="64"/>
      <c r="AF287" s="63"/>
    </row>
    <row r="288" spans="1:32" x14ac:dyDescent="0.25">
      <c r="A288" s="64"/>
      <c r="B288" s="63"/>
      <c r="C288" s="64"/>
      <c r="D288" s="63"/>
      <c r="E288" s="64"/>
      <c r="F288" s="63"/>
      <c r="G288" s="64"/>
      <c r="H288" s="63"/>
      <c r="I288" s="64"/>
      <c r="J288" s="63"/>
      <c r="K288" s="64"/>
      <c r="L288" s="63"/>
      <c r="M288" s="64"/>
      <c r="N288" s="63"/>
      <c r="O288" s="64"/>
      <c r="P288" s="63"/>
      <c r="Q288" s="64"/>
      <c r="R288" s="63"/>
      <c r="S288" s="64"/>
      <c r="T288" s="63"/>
      <c r="U288" s="64"/>
      <c r="V288" s="63"/>
      <c r="W288" s="64"/>
      <c r="X288" s="63"/>
      <c r="Y288" s="64"/>
      <c r="Z288" s="63"/>
      <c r="AA288" s="64"/>
      <c r="AB288" s="63"/>
      <c r="AC288" s="64"/>
      <c r="AD288" s="63"/>
      <c r="AE288" s="64"/>
      <c r="AF288" s="63"/>
    </row>
    <row r="289" spans="1:32" x14ac:dyDescent="0.25">
      <c r="A289" s="64"/>
      <c r="B289" s="63"/>
      <c r="C289" s="64"/>
      <c r="D289" s="63"/>
      <c r="E289" s="64"/>
      <c r="F289" s="63"/>
      <c r="G289" s="64"/>
      <c r="H289" s="63"/>
      <c r="I289" s="64"/>
      <c r="J289" s="63"/>
      <c r="K289" s="64"/>
      <c r="L289" s="63"/>
      <c r="M289" s="64"/>
      <c r="N289" s="63"/>
      <c r="O289" s="64"/>
      <c r="P289" s="63"/>
      <c r="Q289" s="64"/>
      <c r="R289" s="63"/>
      <c r="S289" s="64"/>
      <c r="T289" s="63"/>
      <c r="U289" s="64"/>
      <c r="V289" s="63"/>
      <c r="W289" s="64"/>
      <c r="X289" s="63"/>
      <c r="Y289" s="64"/>
      <c r="Z289" s="63"/>
      <c r="AA289" s="64"/>
      <c r="AB289" s="63"/>
      <c r="AC289" s="64"/>
      <c r="AD289" s="63"/>
      <c r="AE289" s="64"/>
      <c r="AF289" s="63"/>
    </row>
    <row r="290" spans="1:32" x14ac:dyDescent="0.25">
      <c r="A290" s="64"/>
      <c r="B290" s="63"/>
      <c r="C290" s="64"/>
      <c r="D290" s="63"/>
      <c r="E290" s="64"/>
      <c r="F290" s="63"/>
      <c r="G290" s="64"/>
      <c r="H290" s="63"/>
      <c r="I290" s="64"/>
      <c r="J290" s="63"/>
      <c r="K290" s="64"/>
      <c r="L290" s="63"/>
      <c r="M290" s="64"/>
      <c r="N290" s="63"/>
      <c r="O290" s="64"/>
      <c r="P290" s="63"/>
      <c r="Q290" s="64"/>
      <c r="R290" s="63"/>
      <c r="S290" s="64"/>
      <c r="T290" s="63"/>
      <c r="U290" s="64"/>
      <c r="V290" s="63"/>
      <c r="W290" s="64"/>
      <c r="X290" s="63"/>
      <c r="Y290" s="64"/>
      <c r="Z290" s="63"/>
      <c r="AA290" s="64"/>
      <c r="AB290" s="63"/>
      <c r="AC290" s="64"/>
      <c r="AD290" s="63"/>
      <c r="AE290" s="64"/>
      <c r="AF290" s="63"/>
    </row>
    <row r="291" spans="1:32" x14ac:dyDescent="0.25">
      <c r="A291" s="64"/>
      <c r="B291" s="63"/>
      <c r="C291" s="64"/>
      <c r="D291" s="63"/>
      <c r="E291" s="64"/>
      <c r="F291" s="63"/>
      <c r="G291" s="64"/>
      <c r="H291" s="63"/>
      <c r="I291" s="64"/>
      <c r="J291" s="63"/>
      <c r="K291" s="64"/>
      <c r="L291" s="63"/>
      <c r="M291" s="64"/>
      <c r="N291" s="63"/>
      <c r="O291" s="64"/>
      <c r="P291" s="63"/>
      <c r="Q291" s="64"/>
      <c r="R291" s="63"/>
      <c r="S291" s="64"/>
      <c r="T291" s="63"/>
      <c r="U291" s="64"/>
      <c r="V291" s="63"/>
      <c r="W291" s="64"/>
      <c r="X291" s="63"/>
      <c r="Y291" s="64"/>
      <c r="Z291" s="63"/>
      <c r="AA291" s="64"/>
      <c r="AB291" s="63"/>
      <c r="AC291" s="64"/>
      <c r="AD291" s="63"/>
      <c r="AE291" s="64"/>
      <c r="AF291" s="63"/>
    </row>
    <row r="292" spans="1:32" x14ac:dyDescent="0.25">
      <c r="A292" s="64"/>
      <c r="B292" s="63"/>
      <c r="C292" s="64"/>
      <c r="D292" s="63"/>
      <c r="E292" s="64"/>
      <c r="F292" s="63"/>
      <c r="G292" s="64"/>
      <c r="H292" s="63"/>
      <c r="I292" s="64"/>
      <c r="J292" s="63"/>
      <c r="K292" s="64"/>
      <c r="L292" s="63"/>
      <c r="M292" s="64"/>
      <c r="N292" s="63"/>
      <c r="O292" s="64"/>
      <c r="P292" s="63"/>
      <c r="Q292" s="64"/>
      <c r="R292" s="63"/>
      <c r="S292" s="64"/>
      <c r="T292" s="63"/>
      <c r="U292" s="64"/>
      <c r="V292" s="63"/>
      <c r="W292" s="64"/>
      <c r="X292" s="63"/>
      <c r="Y292" s="64"/>
      <c r="Z292" s="63"/>
      <c r="AA292" s="64"/>
      <c r="AB292" s="63"/>
      <c r="AC292" s="64"/>
      <c r="AD292" s="63"/>
      <c r="AE292" s="64"/>
      <c r="AF292" s="63"/>
    </row>
    <row r="293" spans="1:32" x14ac:dyDescent="0.25">
      <c r="A293" s="64"/>
      <c r="B293" s="63"/>
      <c r="C293" s="64"/>
      <c r="D293" s="63"/>
      <c r="E293" s="64"/>
      <c r="F293" s="63"/>
      <c r="G293" s="64"/>
      <c r="H293" s="63"/>
      <c r="I293" s="64"/>
      <c r="J293" s="63"/>
      <c r="K293" s="64"/>
      <c r="L293" s="63"/>
      <c r="M293" s="64"/>
      <c r="N293" s="63"/>
      <c r="O293" s="64"/>
      <c r="P293" s="63"/>
      <c r="Q293" s="64"/>
      <c r="R293" s="63"/>
      <c r="S293" s="64"/>
      <c r="T293" s="63"/>
      <c r="U293" s="64"/>
      <c r="V293" s="63"/>
      <c r="W293" s="64"/>
      <c r="X293" s="63"/>
      <c r="Y293" s="64"/>
      <c r="Z293" s="63"/>
      <c r="AA293" s="64"/>
      <c r="AB293" s="63"/>
      <c r="AC293" s="64"/>
      <c r="AD293" s="63"/>
      <c r="AE293" s="64"/>
      <c r="AF293" s="63"/>
    </row>
    <row r="294" spans="1:32" x14ac:dyDescent="0.25">
      <c r="A294" s="64"/>
      <c r="B294" s="63"/>
      <c r="C294" s="64"/>
      <c r="D294" s="63"/>
      <c r="E294" s="64"/>
      <c r="F294" s="63"/>
      <c r="G294" s="64"/>
      <c r="H294" s="63"/>
      <c r="I294" s="64"/>
      <c r="J294" s="63"/>
      <c r="K294" s="64"/>
      <c r="L294" s="63"/>
      <c r="M294" s="64"/>
      <c r="N294" s="63"/>
      <c r="O294" s="64"/>
      <c r="P294" s="63"/>
      <c r="Q294" s="64"/>
      <c r="R294" s="63"/>
      <c r="S294" s="64"/>
      <c r="T294" s="63"/>
      <c r="U294" s="64"/>
      <c r="V294" s="63"/>
      <c r="W294" s="64"/>
      <c r="X294" s="63"/>
      <c r="Y294" s="64"/>
      <c r="Z294" s="63"/>
      <c r="AA294" s="64"/>
      <c r="AB294" s="63"/>
      <c r="AC294" s="64"/>
      <c r="AD294" s="63"/>
      <c r="AE294" s="64"/>
      <c r="AF294" s="63"/>
    </row>
    <row r="295" spans="1:32" x14ac:dyDescent="0.25">
      <c r="A295" s="64"/>
      <c r="B295" s="63"/>
      <c r="C295" s="64"/>
      <c r="D295" s="63"/>
      <c r="E295" s="64"/>
      <c r="F295" s="63"/>
      <c r="G295" s="64"/>
      <c r="H295" s="63"/>
      <c r="I295" s="64"/>
      <c r="J295" s="63"/>
      <c r="K295" s="64"/>
      <c r="L295" s="63"/>
      <c r="M295" s="64"/>
      <c r="N295" s="63"/>
      <c r="O295" s="64"/>
      <c r="P295" s="63"/>
      <c r="Q295" s="64"/>
      <c r="R295" s="63"/>
      <c r="S295" s="64"/>
      <c r="T295" s="63"/>
      <c r="U295" s="64"/>
      <c r="V295" s="63"/>
      <c r="W295" s="64"/>
      <c r="X295" s="63"/>
      <c r="Y295" s="64"/>
      <c r="Z295" s="63"/>
      <c r="AA295" s="64"/>
      <c r="AB295" s="63"/>
      <c r="AC295" s="64"/>
      <c r="AD295" s="63"/>
      <c r="AE295" s="64"/>
      <c r="AF295" s="63"/>
    </row>
    <row r="296" spans="1:32" x14ac:dyDescent="0.25">
      <c r="A296" s="64"/>
      <c r="B296" s="63"/>
      <c r="C296" s="64"/>
      <c r="D296" s="63"/>
      <c r="E296" s="64"/>
      <c r="F296" s="63"/>
      <c r="G296" s="64"/>
      <c r="H296" s="63"/>
      <c r="I296" s="64"/>
      <c r="J296" s="63"/>
      <c r="K296" s="64"/>
      <c r="L296" s="63"/>
      <c r="M296" s="64"/>
      <c r="N296" s="63"/>
      <c r="O296" s="64"/>
      <c r="P296" s="63"/>
      <c r="Q296" s="64"/>
      <c r="R296" s="63"/>
      <c r="S296" s="64"/>
      <c r="T296" s="63"/>
      <c r="U296" s="64"/>
      <c r="V296" s="63"/>
      <c r="W296" s="64"/>
      <c r="X296" s="63"/>
      <c r="Y296" s="64"/>
      <c r="Z296" s="63"/>
      <c r="AA296" s="64"/>
      <c r="AB296" s="63"/>
      <c r="AC296" s="64"/>
      <c r="AD296" s="63"/>
      <c r="AE296" s="64"/>
      <c r="AF296" s="63"/>
    </row>
    <row r="297" spans="1:32" x14ac:dyDescent="0.25">
      <c r="A297" s="64"/>
      <c r="B297" s="63"/>
      <c r="C297" s="64"/>
      <c r="D297" s="63"/>
      <c r="E297" s="64"/>
      <c r="F297" s="63"/>
      <c r="G297" s="64"/>
      <c r="H297" s="63"/>
      <c r="I297" s="64"/>
      <c r="J297" s="63"/>
      <c r="K297" s="64"/>
      <c r="L297" s="63"/>
      <c r="M297" s="64"/>
      <c r="N297" s="63"/>
      <c r="O297" s="64"/>
      <c r="P297" s="63"/>
      <c r="Q297" s="64"/>
      <c r="R297" s="63"/>
      <c r="S297" s="64"/>
      <c r="T297" s="63"/>
      <c r="U297" s="64"/>
      <c r="V297" s="63"/>
      <c r="W297" s="64"/>
      <c r="X297" s="63"/>
      <c r="Y297" s="64"/>
      <c r="Z297" s="63"/>
      <c r="AA297" s="64"/>
      <c r="AB297" s="63"/>
      <c r="AC297" s="64"/>
      <c r="AD297" s="63"/>
      <c r="AE297" s="64"/>
      <c r="AF297" s="63"/>
    </row>
    <row r="298" spans="1:32" x14ac:dyDescent="0.25">
      <c r="A298" s="64"/>
      <c r="B298" s="63"/>
      <c r="C298" s="64"/>
      <c r="D298" s="63"/>
      <c r="E298" s="64"/>
      <c r="F298" s="63"/>
      <c r="G298" s="64"/>
      <c r="H298" s="63"/>
      <c r="I298" s="64"/>
      <c r="J298" s="63"/>
      <c r="K298" s="64"/>
      <c r="L298" s="63"/>
      <c r="M298" s="64"/>
      <c r="N298" s="63"/>
      <c r="O298" s="64"/>
      <c r="P298" s="63"/>
      <c r="Q298" s="64"/>
      <c r="R298" s="63"/>
      <c r="S298" s="64"/>
      <c r="T298" s="63"/>
      <c r="U298" s="64"/>
      <c r="V298" s="63"/>
      <c r="W298" s="64"/>
      <c r="X298" s="63"/>
      <c r="Y298" s="64"/>
      <c r="Z298" s="63"/>
      <c r="AA298" s="64"/>
      <c r="AB298" s="63"/>
      <c r="AC298" s="64"/>
      <c r="AD298" s="63"/>
      <c r="AE298" s="64"/>
      <c r="AF298" s="63"/>
    </row>
    <row r="299" spans="1:32" x14ac:dyDescent="0.25">
      <c r="A299" s="64"/>
      <c r="B299" s="63"/>
      <c r="C299" s="64"/>
      <c r="D299" s="63"/>
      <c r="E299" s="64"/>
      <c r="F299" s="63"/>
      <c r="G299" s="64"/>
      <c r="H299" s="63"/>
      <c r="I299" s="64"/>
      <c r="J299" s="63"/>
      <c r="K299" s="64"/>
      <c r="L299" s="63"/>
      <c r="M299" s="64"/>
      <c r="N299" s="63"/>
      <c r="O299" s="64"/>
      <c r="P299" s="63"/>
      <c r="Q299" s="64"/>
      <c r="R299" s="63"/>
      <c r="S299" s="64"/>
      <c r="T299" s="63"/>
      <c r="U299" s="64"/>
      <c r="V299" s="63"/>
      <c r="W299" s="64"/>
      <c r="X299" s="63"/>
      <c r="Y299" s="64"/>
      <c r="Z299" s="63"/>
      <c r="AA299" s="64"/>
      <c r="AB299" s="63"/>
      <c r="AC299" s="64"/>
      <c r="AD299" s="63"/>
      <c r="AE299" s="64"/>
      <c r="AF299" s="63"/>
    </row>
    <row r="300" spans="1:32" x14ac:dyDescent="0.25">
      <c r="A300" s="64"/>
      <c r="B300" s="63"/>
      <c r="C300" s="64"/>
      <c r="D300" s="63"/>
      <c r="E300" s="64"/>
      <c r="F300" s="63"/>
      <c r="G300" s="64"/>
      <c r="H300" s="63"/>
      <c r="I300" s="64"/>
      <c r="J300" s="63"/>
      <c r="K300" s="64"/>
      <c r="L300" s="63"/>
      <c r="M300" s="64"/>
      <c r="N300" s="63"/>
      <c r="O300" s="64"/>
      <c r="P300" s="63"/>
      <c r="Q300" s="64"/>
      <c r="R300" s="63"/>
      <c r="S300" s="64"/>
      <c r="T300" s="63"/>
      <c r="U300" s="64"/>
      <c r="V300" s="63"/>
      <c r="W300" s="64"/>
      <c r="X300" s="63"/>
      <c r="Y300" s="64"/>
      <c r="Z300" s="63"/>
      <c r="AA300" s="64"/>
      <c r="AB300" s="63"/>
      <c r="AC300" s="64"/>
      <c r="AD300" s="63"/>
      <c r="AE300" s="64"/>
      <c r="AF300" s="63"/>
    </row>
    <row r="301" spans="1:32" x14ac:dyDescent="0.25">
      <c r="A301" s="2"/>
      <c r="C301" s="2"/>
      <c r="E301" s="2"/>
      <c r="G301" s="2"/>
      <c r="I301" s="2"/>
      <c r="K301" s="2"/>
      <c r="M301" s="2"/>
      <c r="O301" s="2"/>
      <c r="Q301" s="2"/>
      <c r="S301" s="2"/>
      <c r="U301" s="2"/>
      <c r="W301" s="2"/>
      <c r="Y301" s="2"/>
      <c r="AA301" s="2"/>
      <c r="AC301" s="2"/>
      <c r="AE301" s="2"/>
    </row>
    <row r="302" spans="1:32" x14ac:dyDescent="0.25">
      <c r="A302" s="2"/>
      <c r="C302" s="2"/>
      <c r="E302" s="2"/>
      <c r="G302" s="2"/>
      <c r="I302" s="2"/>
      <c r="K302" s="2"/>
      <c r="M302" s="2"/>
      <c r="O302" s="2"/>
      <c r="Q302" s="2"/>
      <c r="S302" s="2"/>
      <c r="U302" s="2"/>
      <c r="W302" s="2"/>
      <c r="Y302" s="2"/>
      <c r="AA302" s="2"/>
      <c r="AC302" s="2"/>
      <c r="AE302" s="2"/>
    </row>
    <row r="303" spans="1:32" x14ac:dyDescent="0.25">
      <c r="A303" s="2"/>
      <c r="C303" s="2"/>
      <c r="E303" s="2"/>
      <c r="G303" s="2"/>
      <c r="I303" s="2"/>
      <c r="K303" s="2"/>
      <c r="M303" s="2"/>
      <c r="O303" s="2"/>
      <c r="Q303" s="2"/>
      <c r="S303" s="2"/>
      <c r="U303" s="2"/>
      <c r="W303" s="2"/>
      <c r="Y303" s="2"/>
      <c r="AA303" s="2"/>
      <c r="AC303" s="2"/>
      <c r="AE303" s="2"/>
    </row>
    <row r="304" spans="1:32" x14ac:dyDescent="0.25">
      <c r="A304" s="2"/>
      <c r="C304" s="2"/>
      <c r="E304" s="2"/>
      <c r="G304" s="2"/>
      <c r="I304" s="2"/>
      <c r="K304" s="2"/>
      <c r="M304" s="2"/>
      <c r="O304" s="2"/>
      <c r="Q304" s="2"/>
      <c r="S304" s="2"/>
      <c r="U304" s="2"/>
      <c r="W304" s="2"/>
      <c r="Y304" s="2"/>
      <c r="AA304" s="2"/>
      <c r="AC304" s="2"/>
      <c r="AE304" s="2"/>
    </row>
    <row r="305" spans="1:31" x14ac:dyDescent="0.25">
      <c r="A305" s="2"/>
      <c r="C305" s="2"/>
      <c r="E305" s="2"/>
      <c r="G305" s="2"/>
      <c r="I305" s="2"/>
      <c r="K305" s="2"/>
      <c r="M305" s="2"/>
      <c r="O305" s="2"/>
      <c r="Q305" s="2"/>
      <c r="S305" s="2"/>
      <c r="U305" s="2"/>
      <c r="W305" s="2"/>
      <c r="Y305" s="2"/>
      <c r="AA305" s="2"/>
      <c r="AC305" s="2"/>
      <c r="AE305" s="2"/>
    </row>
    <row r="306" spans="1:31" x14ac:dyDescent="0.25">
      <c r="A306" s="2"/>
      <c r="C306" s="2"/>
      <c r="E306" s="2"/>
      <c r="G306" s="2"/>
      <c r="I306" s="2"/>
      <c r="K306" s="2"/>
      <c r="M306" s="2"/>
      <c r="O306" s="2"/>
      <c r="Q306" s="2"/>
      <c r="S306" s="2"/>
      <c r="U306" s="2"/>
      <c r="W306" s="2"/>
      <c r="Y306" s="2"/>
      <c r="AA306" s="2"/>
      <c r="AC306" s="2"/>
      <c r="AE306" s="2"/>
    </row>
    <row r="307" spans="1:31" x14ac:dyDescent="0.25">
      <c r="A307" s="2"/>
      <c r="C307" s="2"/>
      <c r="E307" s="2"/>
      <c r="G307" s="2"/>
      <c r="I307" s="2"/>
      <c r="K307" s="2"/>
      <c r="M307" s="2"/>
      <c r="O307" s="2"/>
      <c r="Q307" s="2"/>
      <c r="S307" s="2"/>
      <c r="U307" s="2"/>
      <c r="W307" s="2"/>
      <c r="Y307" s="2"/>
      <c r="AA307" s="2"/>
      <c r="AC307" s="2"/>
      <c r="AE307" s="2"/>
    </row>
    <row r="308" spans="1:31" x14ac:dyDescent="0.25">
      <c r="A308" s="2"/>
      <c r="C308" s="2"/>
      <c r="E308" s="2"/>
      <c r="G308" s="2"/>
      <c r="I308" s="2"/>
      <c r="K308" s="2"/>
      <c r="M308" s="2"/>
      <c r="O308" s="2"/>
      <c r="Q308" s="2"/>
      <c r="S308" s="2"/>
      <c r="U308" s="2"/>
      <c r="W308" s="2"/>
      <c r="Y308" s="2"/>
      <c r="AA308" s="2"/>
      <c r="AC308" s="2"/>
      <c r="AE308" s="2"/>
    </row>
    <row r="309" spans="1:31" x14ac:dyDescent="0.25">
      <c r="A309" s="2"/>
      <c r="C309" s="2"/>
      <c r="E309" s="2"/>
      <c r="G309" s="2"/>
      <c r="I309" s="2"/>
      <c r="K309" s="2"/>
      <c r="M309" s="2"/>
      <c r="O309" s="2"/>
      <c r="Q309" s="2"/>
      <c r="S309" s="2"/>
      <c r="U309" s="2"/>
      <c r="W309" s="2"/>
      <c r="Y309" s="2"/>
      <c r="AA309" s="2"/>
      <c r="AC309" s="2"/>
      <c r="AE309" s="2"/>
    </row>
    <row r="310" spans="1:31" x14ac:dyDescent="0.25">
      <c r="A310" s="2"/>
      <c r="C310" s="2"/>
      <c r="E310" s="2"/>
      <c r="G310" s="2"/>
      <c r="I310" s="2"/>
      <c r="K310" s="2"/>
      <c r="M310" s="2"/>
      <c r="O310" s="2"/>
      <c r="Q310" s="2"/>
      <c r="S310" s="2"/>
      <c r="U310" s="2"/>
      <c r="W310" s="2"/>
      <c r="Y310" s="2"/>
      <c r="AA310" s="2"/>
      <c r="AC310" s="2"/>
      <c r="AE310" s="2"/>
    </row>
    <row r="311" spans="1:31" x14ac:dyDescent="0.25">
      <c r="A311" s="2"/>
      <c r="C311" s="2"/>
      <c r="E311" s="2"/>
      <c r="G311" s="2"/>
      <c r="I311" s="2"/>
      <c r="K311" s="2"/>
      <c r="M311" s="2"/>
      <c r="O311" s="2"/>
      <c r="Q311" s="2"/>
      <c r="S311" s="2"/>
      <c r="U311" s="2"/>
      <c r="W311" s="2"/>
      <c r="Y311" s="2"/>
      <c r="AA311" s="2"/>
      <c r="AC311" s="2"/>
      <c r="AE311" s="2"/>
    </row>
    <row r="312" spans="1:31" x14ac:dyDescent="0.25">
      <c r="A312" s="2"/>
      <c r="C312" s="2"/>
      <c r="E312" s="2"/>
      <c r="G312" s="2"/>
      <c r="I312" s="2"/>
      <c r="K312" s="2"/>
      <c r="M312" s="2"/>
      <c r="O312" s="2"/>
      <c r="Q312" s="2"/>
      <c r="S312" s="2"/>
      <c r="U312" s="2"/>
      <c r="W312" s="2"/>
      <c r="Y312" s="2"/>
      <c r="AA312" s="2"/>
      <c r="AC312" s="2"/>
      <c r="AE312" s="2"/>
    </row>
    <row r="313" spans="1:31" x14ac:dyDescent="0.25">
      <c r="A313" s="2"/>
      <c r="C313" s="2"/>
      <c r="E313" s="2"/>
      <c r="G313" s="2"/>
      <c r="I313" s="2"/>
      <c r="K313" s="2"/>
      <c r="M313" s="2"/>
      <c r="O313" s="2"/>
      <c r="Q313" s="2"/>
      <c r="S313" s="2"/>
      <c r="U313" s="2"/>
      <c r="W313" s="2"/>
      <c r="Y313" s="2"/>
      <c r="AA313" s="2"/>
      <c r="AC313" s="2"/>
      <c r="AE313" s="2"/>
    </row>
    <row r="314" spans="1:31" x14ac:dyDescent="0.25">
      <c r="A314" s="2"/>
      <c r="C314" s="2"/>
      <c r="E314" s="2"/>
      <c r="G314" s="2"/>
      <c r="I314" s="2"/>
      <c r="K314" s="2"/>
      <c r="M314" s="2"/>
      <c r="O314" s="2"/>
      <c r="Q314" s="2"/>
      <c r="S314" s="2"/>
      <c r="U314" s="2"/>
      <c r="W314" s="2"/>
      <c r="Y314" s="2"/>
      <c r="AA314" s="2"/>
      <c r="AC314" s="2"/>
      <c r="AE314" s="2"/>
    </row>
    <row r="315" spans="1:31" x14ac:dyDescent="0.25">
      <c r="A315" s="2"/>
      <c r="C315" s="2"/>
      <c r="E315" s="2"/>
      <c r="G315" s="2"/>
      <c r="I315" s="2"/>
      <c r="K315" s="2"/>
      <c r="M315" s="2"/>
      <c r="O315" s="2"/>
      <c r="Q315" s="2"/>
      <c r="S315" s="2"/>
      <c r="U315" s="2"/>
      <c r="W315" s="2"/>
      <c r="Y315" s="2"/>
      <c r="AA315" s="2"/>
      <c r="AC315" s="2"/>
      <c r="AE315" s="2"/>
    </row>
    <row r="316" spans="1:31" x14ac:dyDescent="0.25">
      <c r="A316" s="2"/>
      <c r="C316" s="2"/>
      <c r="E316" s="2"/>
      <c r="G316" s="2"/>
      <c r="I316" s="2"/>
      <c r="K316" s="2"/>
      <c r="M316" s="2"/>
      <c r="O316" s="2"/>
      <c r="Q316" s="2"/>
      <c r="S316" s="2"/>
      <c r="U316" s="2"/>
      <c r="W316" s="2"/>
      <c r="Y316" s="2"/>
      <c r="AA316" s="2"/>
      <c r="AC316" s="2"/>
      <c r="AE316" s="2"/>
    </row>
    <row r="317" spans="1:31" x14ac:dyDescent="0.25">
      <c r="A317" s="2"/>
      <c r="C317" s="2"/>
      <c r="E317" s="2"/>
      <c r="G317" s="2"/>
      <c r="I317" s="2"/>
      <c r="K317" s="2"/>
      <c r="M317" s="2"/>
      <c r="O317" s="2"/>
      <c r="Q317" s="2"/>
      <c r="S317" s="2"/>
      <c r="U317" s="2"/>
      <c r="W317" s="2"/>
      <c r="Y317" s="2"/>
      <c r="AA317" s="2"/>
      <c r="AC317" s="2"/>
      <c r="AE317" s="2"/>
    </row>
    <row r="318" spans="1:31" x14ac:dyDescent="0.25">
      <c r="A318" s="2"/>
      <c r="C318" s="2"/>
      <c r="E318" s="2"/>
      <c r="G318" s="2"/>
      <c r="I318" s="2"/>
      <c r="K318" s="2"/>
      <c r="M318" s="2"/>
      <c r="O318" s="2"/>
      <c r="Q318" s="2"/>
      <c r="S318" s="2"/>
      <c r="U318" s="2"/>
      <c r="W318" s="2"/>
      <c r="Y318" s="2"/>
      <c r="AA318" s="2"/>
      <c r="AC318" s="2"/>
      <c r="AE318" s="2"/>
    </row>
    <row r="319" spans="1:31" x14ac:dyDescent="0.25">
      <c r="A319" s="2"/>
      <c r="C319" s="2"/>
      <c r="E319" s="2"/>
      <c r="G319" s="2"/>
      <c r="I319" s="2"/>
      <c r="K319" s="2"/>
      <c r="M319" s="2"/>
      <c r="O319" s="2"/>
      <c r="Q319" s="2"/>
      <c r="S319" s="2"/>
      <c r="U319" s="2"/>
      <c r="W319" s="2"/>
      <c r="Y319" s="2"/>
      <c r="AA319" s="2"/>
      <c r="AC319" s="2"/>
      <c r="AE319" s="2"/>
    </row>
    <row r="320" spans="1:31" x14ac:dyDescent="0.25">
      <c r="A320" s="2"/>
      <c r="C320" s="2"/>
      <c r="E320" s="2"/>
      <c r="G320" s="2"/>
      <c r="I320" s="2"/>
      <c r="K320" s="2"/>
      <c r="M320" s="2"/>
      <c r="O320" s="2"/>
      <c r="Q320" s="2"/>
      <c r="S320" s="2"/>
      <c r="U320" s="2"/>
      <c r="W320" s="2"/>
      <c r="Y320" s="2"/>
      <c r="AA320" s="2"/>
      <c r="AC320" s="2"/>
      <c r="AE320" s="2"/>
    </row>
    <row r="321" spans="1:31" x14ac:dyDescent="0.25">
      <c r="A321" s="2"/>
      <c r="C321" s="2"/>
      <c r="E321" s="2"/>
      <c r="G321" s="2"/>
      <c r="I321" s="2"/>
      <c r="K321" s="2"/>
      <c r="M321" s="2"/>
      <c r="O321" s="2"/>
      <c r="Q321" s="2"/>
      <c r="S321" s="2"/>
      <c r="U321" s="2"/>
      <c r="W321" s="2"/>
      <c r="Y321" s="2"/>
      <c r="AA321" s="2"/>
      <c r="AC321" s="2"/>
      <c r="AE321" s="2"/>
    </row>
    <row r="322" spans="1:31" x14ac:dyDescent="0.25">
      <c r="A322" s="2"/>
      <c r="C322" s="2"/>
      <c r="E322" s="2"/>
      <c r="G322" s="2"/>
      <c r="I322" s="2"/>
      <c r="K322" s="2"/>
      <c r="M322" s="2"/>
      <c r="O322" s="2"/>
      <c r="Q322" s="2"/>
      <c r="S322" s="2"/>
      <c r="U322" s="2"/>
      <c r="W322" s="2"/>
      <c r="Y322" s="2"/>
      <c r="AA322" s="2"/>
      <c r="AC322" s="2"/>
      <c r="AE322" s="2"/>
    </row>
    <row r="323" spans="1:31" x14ac:dyDescent="0.25">
      <c r="A323" s="2"/>
      <c r="C323" s="2"/>
      <c r="E323" s="2"/>
      <c r="G323" s="2"/>
      <c r="I323" s="2"/>
      <c r="K323" s="2"/>
      <c r="M323" s="2"/>
      <c r="O323" s="2"/>
      <c r="Q323" s="2"/>
      <c r="S323" s="2"/>
      <c r="U323" s="2"/>
      <c r="W323" s="2"/>
      <c r="Y323" s="2"/>
      <c r="AA323" s="2"/>
      <c r="AC323" s="2"/>
      <c r="AE323" s="2"/>
    </row>
    <row r="324" spans="1:31" x14ac:dyDescent="0.25">
      <c r="A324" s="2"/>
      <c r="C324" s="2"/>
      <c r="E324" s="2"/>
      <c r="G324" s="2"/>
      <c r="I324" s="2"/>
      <c r="K324" s="2"/>
      <c r="M324" s="2"/>
      <c r="O324" s="2"/>
      <c r="Q324" s="2"/>
      <c r="S324" s="2"/>
      <c r="U324" s="2"/>
      <c r="W324" s="2"/>
      <c r="Y324" s="2"/>
      <c r="AA324" s="2"/>
      <c r="AC324" s="2"/>
      <c r="AE324" s="2"/>
    </row>
    <row r="325" spans="1:31" x14ac:dyDescent="0.25">
      <c r="A325" s="2"/>
      <c r="C325" s="2"/>
      <c r="E325" s="2"/>
      <c r="G325" s="2"/>
      <c r="I325" s="2"/>
      <c r="K325" s="2"/>
      <c r="M325" s="2"/>
      <c r="O325" s="2"/>
      <c r="Q325" s="2"/>
      <c r="S325" s="2"/>
      <c r="U325" s="2"/>
      <c r="W325" s="2"/>
      <c r="Y325" s="2"/>
      <c r="AA325" s="2"/>
      <c r="AC325" s="2"/>
      <c r="AE325" s="2"/>
    </row>
    <row r="326" spans="1:31" x14ac:dyDescent="0.25">
      <c r="A326" s="2"/>
      <c r="C326" s="2"/>
      <c r="E326" s="2"/>
      <c r="G326" s="2"/>
      <c r="I326" s="2"/>
      <c r="K326" s="2"/>
      <c r="M326" s="2"/>
      <c r="O326" s="2"/>
      <c r="Q326" s="2"/>
      <c r="S326" s="2"/>
      <c r="U326" s="2"/>
      <c r="W326" s="2"/>
      <c r="Y326" s="2"/>
      <c r="AA326" s="2"/>
      <c r="AC326" s="2"/>
      <c r="AE326" s="2"/>
    </row>
    <row r="327" spans="1:31" x14ac:dyDescent="0.25">
      <c r="A327" s="2"/>
      <c r="C327" s="2"/>
      <c r="E327" s="2"/>
      <c r="G327" s="2"/>
      <c r="I327" s="2"/>
      <c r="K327" s="2"/>
      <c r="M327" s="2"/>
      <c r="O327" s="2"/>
      <c r="Q327" s="2"/>
      <c r="S327" s="2"/>
      <c r="U327" s="2"/>
      <c r="W327" s="2"/>
      <c r="Y327" s="2"/>
      <c r="AA327" s="2"/>
      <c r="AC327" s="2"/>
      <c r="AE327" s="2"/>
    </row>
    <row r="328" spans="1:31" x14ac:dyDescent="0.25">
      <c r="A328" s="2"/>
      <c r="C328" s="2"/>
      <c r="E328" s="2"/>
      <c r="G328" s="2"/>
      <c r="I328" s="2"/>
      <c r="K328" s="2"/>
      <c r="M328" s="2"/>
      <c r="O328" s="2"/>
      <c r="Q328" s="2"/>
      <c r="S328" s="2"/>
      <c r="U328" s="2"/>
      <c r="W328" s="2"/>
      <c r="Y328" s="2"/>
      <c r="AA328" s="2"/>
      <c r="AC328" s="2"/>
      <c r="AE328" s="2"/>
    </row>
    <row r="329" spans="1:31" x14ac:dyDescent="0.25">
      <c r="A329" s="2"/>
      <c r="C329" s="2"/>
      <c r="E329" s="2"/>
      <c r="G329" s="2"/>
      <c r="I329" s="2"/>
      <c r="K329" s="2"/>
      <c r="M329" s="2"/>
      <c r="O329" s="2"/>
      <c r="Q329" s="2"/>
      <c r="S329" s="2"/>
      <c r="U329" s="2"/>
      <c r="W329" s="2"/>
      <c r="Y329" s="2"/>
      <c r="AA329" s="2"/>
      <c r="AC329" s="2"/>
      <c r="AE329" s="2"/>
    </row>
    <row r="330" spans="1:31" x14ac:dyDescent="0.25">
      <c r="A330" s="2"/>
      <c r="C330" s="2"/>
      <c r="E330" s="2"/>
      <c r="G330" s="2"/>
      <c r="I330" s="2"/>
      <c r="K330" s="2"/>
      <c r="M330" s="2"/>
      <c r="O330" s="2"/>
      <c r="Q330" s="2"/>
      <c r="S330" s="2"/>
      <c r="U330" s="2"/>
      <c r="W330" s="2"/>
      <c r="Y330" s="2"/>
      <c r="AA330" s="2"/>
      <c r="AC330" s="2"/>
      <c r="AE330" s="2"/>
    </row>
    <row r="331" spans="1:31" x14ac:dyDescent="0.25">
      <c r="A331" s="2"/>
      <c r="C331" s="2"/>
      <c r="E331" s="2"/>
      <c r="G331" s="2"/>
      <c r="I331" s="2"/>
      <c r="K331" s="2"/>
      <c r="M331" s="2"/>
      <c r="O331" s="2"/>
      <c r="Q331" s="2"/>
      <c r="S331" s="2"/>
      <c r="U331" s="2"/>
      <c r="W331" s="2"/>
      <c r="Y331" s="2"/>
      <c r="AA331" s="2"/>
      <c r="AC331" s="2"/>
      <c r="AE331" s="2"/>
    </row>
    <row r="332" spans="1:31" x14ac:dyDescent="0.25">
      <c r="A332" s="2"/>
      <c r="C332" s="2"/>
      <c r="E332" s="2"/>
      <c r="G332" s="2"/>
      <c r="I332" s="2"/>
      <c r="K332" s="2"/>
      <c r="M332" s="2"/>
      <c r="O332" s="2"/>
      <c r="Q332" s="2"/>
      <c r="S332" s="2"/>
      <c r="U332" s="2"/>
      <c r="W332" s="2"/>
      <c r="Y332" s="2"/>
      <c r="AA332" s="2"/>
      <c r="AC332" s="2"/>
      <c r="AE332" s="2"/>
    </row>
    <row r="333" spans="1:31" x14ac:dyDescent="0.25">
      <c r="A333" s="2"/>
      <c r="C333" s="2"/>
      <c r="E333" s="2"/>
      <c r="G333" s="2"/>
      <c r="I333" s="2"/>
      <c r="K333" s="2"/>
      <c r="M333" s="2"/>
      <c r="O333" s="2"/>
      <c r="Q333" s="2"/>
      <c r="S333" s="2"/>
      <c r="U333" s="2"/>
      <c r="W333" s="2"/>
      <c r="Y333" s="2"/>
      <c r="AA333" s="2"/>
      <c r="AC333" s="2"/>
      <c r="AE333" s="2"/>
    </row>
    <row r="334" spans="1:31" x14ac:dyDescent="0.25">
      <c r="A334" s="2"/>
      <c r="C334" s="2"/>
      <c r="E334" s="2"/>
      <c r="G334" s="2"/>
      <c r="I334" s="2"/>
      <c r="K334" s="2"/>
      <c r="M334" s="2"/>
      <c r="O334" s="2"/>
      <c r="Q334" s="2"/>
      <c r="S334" s="2"/>
      <c r="U334" s="2"/>
      <c r="W334" s="2"/>
      <c r="Y334" s="2"/>
      <c r="AA334" s="2"/>
      <c r="AC334" s="2"/>
      <c r="AE334" s="2"/>
    </row>
    <row r="335" spans="1:31" x14ac:dyDescent="0.25">
      <c r="A335" s="2"/>
      <c r="C335" s="2"/>
      <c r="E335" s="2"/>
      <c r="G335" s="2"/>
      <c r="I335" s="2"/>
      <c r="K335" s="2"/>
      <c r="M335" s="2"/>
      <c r="O335" s="2"/>
      <c r="Q335" s="2"/>
      <c r="S335" s="2"/>
      <c r="U335" s="2"/>
      <c r="W335" s="2"/>
      <c r="Y335" s="2"/>
      <c r="AA335" s="2"/>
      <c r="AC335" s="2"/>
      <c r="AE335" s="2"/>
    </row>
    <row r="336" spans="1:31" x14ac:dyDescent="0.25">
      <c r="A336" s="2"/>
      <c r="C336" s="2"/>
      <c r="E336" s="2"/>
      <c r="G336" s="2"/>
      <c r="I336" s="2"/>
      <c r="K336" s="2"/>
      <c r="M336" s="2"/>
      <c r="O336" s="2"/>
      <c r="Q336" s="2"/>
      <c r="S336" s="2"/>
      <c r="U336" s="2"/>
      <c r="W336" s="2"/>
      <c r="Y336" s="2"/>
      <c r="AA336" s="2"/>
      <c r="AC336" s="2"/>
      <c r="AE336" s="2"/>
    </row>
    <row r="337" spans="1:31" x14ac:dyDescent="0.25">
      <c r="A337" s="2"/>
      <c r="C337" s="2"/>
      <c r="E337" s="2"/>
      <c r="G337" s="2"/>
      <c r="I337" s="2"/>
      <c r="K337" s="2"/>
      <c r="M337" s="2"/>
      <c r="O337" s="2"/>
      <c r="Q337" s="2"/>
      <c r="S337" s="2"/>
      <c r="U337" s="2"/>
      <c r="W337" s="2"/>
      <c r="Y337" s="2"/>
      <c r="AA337" s="2"/>
      <c r="AC337" s="2"/>
      <c r="AE337" s="2"/>
    </row>
    <row r="338" spans="1:31" x14ac:dyDescent="0.25">
      <c r="A338" s="2"/>
      <c r="C338" s="2"/>
      <c r="E338" s="2"/>
      <c r="G338" s="2"/>
      <c r="I338" s="2"/>
      <c r="K338" s="2"/>
      <c r="M338" s="2"/>
      <c r="O338" s="2"/>
      <c r="Q338" s="2"/>
      <c r="S338" s="2"/>
      <c r="U338" s="2"/>
      <c r="W338" s="2"/>
      <c r="Y338" s="2"/>
      <c r="AA338" s="2"/>
      <c r="AC338" s="2"/>
      <c r="AE338" s="2"/>
    </row>
    <row r="339" spans="1:31" x14ac:dyDescent="0.25">
      <c r="A339" s="2"/>
      <c r="C339" s="2"/>
      <c r="E339" s="2"/>
      <c r="G339" s="2"/>
      <c r="I339" s="2"/>
      <c r="K339" s="2"/>
      <c r="M339" s="2"/>
      <c r="O339" s="2"/>
      <c r="Q339" s="2"/>
      <c r="S339" s="2"/>
      <c r="U339" s="2"/>
      <c r="W339" s="2"/>
      <c r="Y339" s="2"/>
      <c r="AA339" s="2"/>
      <c r="AC339" s="2"/>
      <c r="AE339" s="2"/>
    </row>
    <row r="340" spans="1:31" x14ac:dyDescent="0.25">
      <c r="A340" s="2"/>
      <c r="C340" s="2"/>
      <c r="E340" s="2"/>
      <c r="G340" s="2"/>
      <c r="I340" s="2"/>
      <c r="K340" s="2"/>
      <c r="M340" s="2"/>
      <c r="O340" s="2"/>
      <c r="Q340" s="2"/>
      <c r="S340" s="2"/>
      <c r="U340" s="2"/>
      <c r="W340" s="2"/>
      <c r="Y340" s="2"/>
      <c r="AA340" s="2"/>
      <c r="AC340" s="2"/>
      <c r="AE340" s="2"/>
    </row>
    <row r="341" spans="1:31" x14ac:dyDescent="0.25">
      <c r="A341" s="2"/>
      <c r="C341" s="2"/>
      <c r="E341" s="2"/>
      <c r="G341" s="2"/>
      <c r="I341" s="2"/>
      <c r="K341" s="2"/>
      <c r="M341" s="2"/>
      <c r="O341" s="2"/>
      <c r="Q341" s="2"/>
      <c r="S341" s="2"/>
      <c r="U341" s="2"/>
      <c r="W341" s="2"/>
      <c r="Y341" s="2"/>
      <c r="AA341" s="2"/>
      <c r="AC341" s="2"/>
      <c r="AE341" s="2"/>
    </row>
    <row r="342" spans="1:31" x14ac:dyDescent="0.25">
      <c r="A342" s="2"/>
      <c r="C342" s="2"/>
      <c r="E342" s="2"/>
      <c r="G342" s="2"/>
      <c r="I342" s="2"/>
      <c r="K342" s="2"/>
      <c r="M342" s="2"/>
      <c r="O342" s="2"/>
      <c r="Q342" s="2"/>
      <c r="S342" s="2"/>
      <c r="U342" s="2"/>
      <c r="W342" s="2"/>
      <c r="Y342" s="2"/>
      <c r="AA342" s="2"/>
      <c r="AC342" s="2"/>
      <c r="AE342" s="2"/>
    </row>
    <row r="343" spans="1:31" x14ac:dyDescent="0.25">
      <c r="A343" s="2"/>
      <c r="C343" s="2"/>
      <c r="E343" s="2"/>
      <c r="G343" s="2"/>
      <c r="I343" s="2"/>
      <c r="K343" s="2"/>
      <c r="M343" s="2"/>
      <c r="O343" s="2"/>
      <c r="Q343" s="2"/>
      <c r="S343" s="2"/>
      <c r="U343" s="2"/>
      <c r="W343" s="2"/>
      <c r="Y343" s="2"/>
      <c r="AA343" s="2"/>
      <c r="AC343" s="2"/>
      <c r="AE343" s="2"/>
    </row>
    <row r="344" spans="1:31" x14ac:dyDescent="0.25">
      <c r="A344" s="2"/>
      <c r="C344" s="2"/>
      <c r="E344" s="2"/>
      <c r="G344" s="2"/>
      <c r="I344" s="2"/>
      <c r="K344" s="2"/>
      <c r="M344" s="2"/>
      <c r="O344" s="2"/>
      <c r="Q344" s="2"/>
      <c r="S344" s="2"/>
      <c r="U344" s="2"/>
      <c r="W344" s="2"/>
      <c r="Y344" s="2"/>
      <c r="AA344" s="2"/>
      <c r="AC344" s="2"/>
      <c r="AE344" s="2"/>
    </row>
    <row r="345" spans="1:31" x14ac:dyDescent="0.25">
      <c r="A345" s="2"/>
      <c r="C345" s="2"/>
      <c r="E345" s="2"/>
      <c r="G345" s="2"/>
      <c r="I345" s="2"/>
      <c r="K345" s="2"/>
      <c r="M345" s="2"/>
      <c r="O345" s="2"/>
      <c r="Q345" s="2"/>
      <c r="S345" s="2"/>
      <c r="U345" s="2"/>
      <c r="W345" s="2"/>
      <c r="Y345" s="2"/>
      <c r="AA345" s="2"/>
      <c r="AC345" s="2"/>
      <c r="AE345" s="2"/>
    </row>
    <row r="346" spans="1:31" x14ac:dyDescent="0.25">
      <c r="A346" s="2"/>
      <c r="C346" s="2"/>
      <c r="E346" s="2"/>
      <c r="G346" s="2"/>
      <c r="I346" s="2"/>
      <c r="K346" s="2"/>
      <c r="M346" s="2"/>
      <c r="O346" s="2"/>
      <c r="Q346" s="2"/>
      <c r="S346" s="2"/>
      <c r="U346" s="2"/>
      <c r="W346" s="2"/>
      <c r="Y346" s="2"/>
      <c r="AA346" s="2"/>
      <c r="AC346" s="2"/>
      <c r="AE346" s="2"/>
    </row>
    <row r="347" spans="1:31" x14ac:dyDescent="0.25">
      <c r="A347" s="2"/>
      <c r="C347" s="2"/>
      <c r="E347" s="2"/>
      <c r="G347" s="2"/>
      <c r="I347" s="2"/>
      <c r="K347" s="2"/>
      <c r="M347" s="2"/>
      <c r="O347" s="2"/>
      <c r="Q347" s="2"/>
      <c r="S347" s="2"/>
      <c r="U347" s="2"/>
      <c r="W347" s="2"/>
      <c r="Y347" s="2"/>
      <c r="AA347" s="2"/>
      <c r="AC347" s="2"/>
      <c r="AE347" s="2"/>
    </row>
    <row r="348" spans="1:31" x14ac:dyDescent="0.25">
      <c r="A348" s="2"/>
      <c r="C348" s="2"/>
      <c r="E348" s="2"/>
      <c r="G348" s="2"/>
      <c r="I348" s="2"/>
      <c r="K348" s="2"/>
      <c r="M348" s="2"/>
      <c r="O348" s="2"/>
      <c r="Q348" s="2"/>
      <c r="S348" s="2"/>
      <c r="U348" s="2"/>
      <c r="W348" s="2"/>
      <c r="Y348" s="2"/>
      <c r="AA348" s="2"/>
      <c r="AC348" s="2"/>
      <c r="AE348" s="2"/>
    </row>
    <row r="349" spans="1:31" x14ac:dyDescent="0.25">
      <c r="A349" s="2"/>
      <c r="C349" s="2"/>
      <c r="E349" s="2"/>
      <c r="G349" s="2"/>
      <c r="I349" s="2"/>
      <c r="K349" s="2"/>
      <c r="M349" s="2"/>
      <c r="O349" s="2"/>
      <c r="Q349" s="2"/>
      <c r="S349" s="2"/>
      <c r="U349" s="2"/>
      <c r="W349" s="2"/>
      <c r="Y349" s="2"/>
      <c r="AA349" s="2"/>
      <c r="AC349" s="2"/>
      <c r="AE349" s="2"/>
    </row>
    <row r="350" spans="1:31" x14ac:dyDescent="0.25">
      <c r="A350" s="2"/>
      <c r="C350" s="2"/>
      <c r="E350" s="2"/>
      <c r="G350" s="2"/>
      <c r="I350" s="2"/>
      <c r="K350" s="2"/>
      <c r="M350" s="2"/>
      <c r="O350" s="2"/>
      <c r="Q350" s="2"/>
      <c r="S350" s="2"/>
      <c r="U350" s="2"/>
      <c r="W350" s="2"/>
      <c r="Y350" s="2"/>
      <c r="AA350" s="2"/>
      <c r="AC350" s="2"/>
      <c r="AE350" s="2"/>
    </row>
    <row r="351" spans="1:31" x14ac:dyDescent="0.25">
      <c r="A351" s="2"/>
      <c r="C351" s="2"/>
      <c r="E351" s="2"/>
      <c r="G351" s="2"/>
      <c r="I351" s="2"/>
      <c r="K351" s="2"/>
      <c r="M351" s="2"/>
      <c r="O351" s="2"/>
      <c r="Q351" s="2"/>
      <c r="S351" s="2"/>
      <c r="U351" s="2"/>
      <c r="W351" s="2"/>
      <c r="Y351" s="2"/>
      <c r="AA351" s="2"/>
      <c r="AC351" s="2"/>
      <c r="AE351" s="2"/>
    </row>
    <row r="352" spans="1:31" x14ac:dyDescent="0.25">
      <c r="A352" s="2"/>
      <c r="C352" s="2"/>
      <c r="E352" s="2"/>
      <c r="G352" s="2"/>
      <c r="I352" s="2"/>
      <c r="K352" s="2"/>
      <c r="M352" s="2"/>
      <c r="O352" s="2"/>
      <c r="Q352" s="2"/>
      <c r="S352" s="2"/>
      <c r="U352" s="2"/>
      <c r="W352" s="2"/>
      <c r="Y352" s="2"/>
      <c r="AA352" s="2"/>
      <c r="AC352" s="2"/>
      <c r="AE352" s="2"/>
    </row>
    <row r="353" spans="1:31" x14ac:dyDescent="0.25">
      <c r="A353" s="2"/>
      <c r="C353" s="2"/>
      <c r="E353" s="2"/>
      <c r="G353" s="2"/>
      <c r="I353" s="2"/>
      <c r="K353" s="2"/>
      <c r="M353" s="2"/>
      <c r="O353" s="2"/>
      <c r="Q353" s="2"/>
      <c r="S353" s="2"/>
      <c r="U353" s="2"/>
      <c r="W353" s="2"/>
      <c r="Y353" s="2"/>
      <c r="AA353" s="2"/>
      <c r="AC353" s="2"/>
      <c r="AE353" s="2"/>
    </row>
    <row r="354" spans="1:31" x14ac:dyDescent="0.25">
      <c r="A354" s="2"/>
      <c r="C354" s="2"/>
      <c r="E354" s="2"/>
      <c r="G354" s="2"/>
      <c r="I354" s="2"/>
      <c r="K354" s="2"/>
      <c r="M354" s="2"/>
      <c r="O354" s="2"/>
      <c r="Q354" s="2"/>
      <c r="S354" s="2"/>
      <c r="U354" s="2"/>
      <c r="W354" s="2"/>
      <c r="Y354" s="2"/>
      <c r="AA354" s="2"/>
      <c r="AC354" s="2"/>
      <c r="AE354" s="2"/>
    </row>
    <row r="355" spans="1:31" x14ac:dyDescent="0.25">
      <c r="A355" s="2"/>
      <c r="C355" s="2"/>
      <c r="E355" s="2"/>
      <c r="G355" s="2"/>
      <c r="I355" s="2"/>
      <c r="K355" s="2"/>
      <c r="M355" s="2"/>
      <c r="O355" s="2"/>
      <c r="Q355" s="2"/>
      <c r="S355" s="2"/>
      <c r="U355" s="2"/>
      <c r="W355" s="2"/>
      <c r="Y355" s="2"/>
      <c r="AA355" s="2"/>
      <c r="AC355" s="2"/>
      <c r="AE355" s="2"/>
    </row>
    <row r="356" spans="1:31" x14ac:dyDescent="0.25">
      <c r="A356" s="2"/>
      <c r="C356" s="2"/>
      <c r="E356" s="2"/>
      <c r="G356" s="2"/>
      <c r="I356" s="2"/>
      <c r="K356" s="2"/>
      <c r="M356" s="2"/>
      <c r="O356" s="2"/>
      <c r="Q356" s="2"/>
      <c r="S356" s="2"/>
      <c r="U356" s="2"/>
      <c r="W356" s="2"/>
      <c r="Y356" s="2"/>
      <c r="AA356" s="2"/>
      <c r="AC356" s="2"/>
      <c r="AE356" s="2"/>
    </row>
    <row r="357" spans="1:31" x14ac:dyDescent="0.25">
      <c r="A357" s="2"/>
      <c r="C357" s="2"/>
      <c r="E357" s="2"/>
      <c r="G357" s="2"/>
      <c r="I357" s="2"/>
      <c r="K357" s="2"/>
      <c r="M357" s="2"/>
      <c r="O357" s="2"/>
      <c r="Q357" s="2"/>
      <c r="S357" s="2"/>
      <c r="U357" s="2"/>
      <c r="W357" s="2"/>
      <c r="Y357" s="2"/>
      <c r="AA357" s="2"/>
      <c r="AC357" s="2"/>
      <c r="AE357" s="2"/>
    </row>
    <row r="358" spans="1:31" x14ac:dyDescent="0.25">
      <c r="A358" s="2"/>
      <c r="C358" s="2"/>
      <c r="E358" s="2"/>
      <c r="G358" s="2"/>
      <c r="I358" s="2"/>
      <c r="K358" s="2"/>
      <c r="M358" s="2"/>
      <c r="O358" s="2"/>
      <c r="Q358" s="2"/>
      <c r="S358" s="2"/>
      <c r="U358" s="2"/>
      <c r="W358" s="2"/>
      <c r="Y358" s="2"/>
      <c r="AA358" s="2"/>
      <c r="AC358" s="2"/>
      <c r="AE358" s="2"/>
    </row>
    <row r="359" spans="1:31" x14ac:dyDescent="0.25">
      <c r="A359" s="2"/>
      <c r="C359" s="2"/>
      <c r="E359" s="2"/>
      <c r="G359" s="2"/>
      <c r="I359" s="2"/>
      <c r="K359" s="2"/>
      <c r="M359" s="2"/>
      <c r="O359" s="2"/>
      <c r="Q359" s="2"/>
      <c r="S359" s="2"/>
      <c r="U359" s="2"/>
      <c r="W359" s="2"/>
      <c r="Y359" s="2"/>
      <c r="AA359" s="2"/>
      <c r="AC359" s="2"/>
      <c r="AE359" s="2"/>
    </row>
    <row r="360" spans="1:31" x14ac:dyDescent="0.25">
      <c r="A360" s="2"/>
      <c r="C360" s="2"/>
      <c r="E360" s="2"/>
      <c r="G360" s="2"/>
      <c r="I360" s="2"/>
      <c r="K360" s="2"/>
      <c r="M360" s="2"/>
      <c r="O360" s="2"/>
      <c r="Q360" s="2"/>
      <c r="S360" s="2"/>
      <c r="U360" s="2"/>
      <c r="W360" s="2"/>
      <c r="Y360" s="2"/>
      <c r="AA360" s="2"/>
      <c r="AC360" s="2"/>
      <c r="AE360" s="2"/>
    </row>
    <row r="361" spans="1:31" x14ac:dyDescent="0.25">
      <c r="A361" s="2"/>
      <c r="C361" s="2"/>
      <c r="E361" s="2"/>
      <c r="G361" s="2"/>
      <c r="I361" s="2"/>
      <c r="K361" s="2"/>
      <c r="M361" s="2"/>
      <c r="O361" s="2"/>
      <c r="Q361" s="2"/>
      <c r="S361" s="2"/>
      <c r="U361" s="2"/>
      <c r="W361" s="2"/>
      <c r="Y361" s="2"/>
      <c r="AA361" s="2"/>
      <c r="AC361" s="2"/>
      <c r="AE361" s="2"/>
    </row>
    <row r="362" spans="1:31" x14ac:dyDescent="0.25">
      <c r="A362" s="2"/>
      <c r="C362" s="2"/>
      <c r="E362" s="2"/>
      <c r="G362" s="2"/>
      <c r="I362" s="2"/>
      <c r="K362" s="2"/>
      <c r="M362" s="2"/>
      <c r="O362" s="2"/>
      <c r="Q362" s="2"/>
      <c r="S362" s="2"/>
      <c r="U362" s="2"/>
      <c r="W362" s="2"/>
      <c r="Y362" s="2"/>
      <c r="AA362" s="2"/>
      <c r="AC362" s="2"/>
      <c r="AE362" s="2"/>
    </row>
    <row r="363" spans="1:31" x14ac:dyDescent="0.25">
      <c r="A363" s="2"/>
      <c r="C363" s="2"/>
      <c r="E363" s="2"/>
      <c r="G363" s="2"/>
      <c r="I363" s="2"/>
      <c r="K363" s="2"/>
      <c r="M363" s="2"/>
      <c r="O363" s="2"/>
      <c r="Q363" s="2"/>
      <c r="S363" s="2"/>
      <c r="U363" s="2"/>
      <c r="W363" s="2"/>
      <c r="Y363" s="2"/>
      <c r="AA363" s="2"/>
      <c r="AC363" s="2"/>
      <c r="AE363" s="2"/>
    </row>
    <row r="364" spans="1:31" x14ac:dyDescent="0.25">
      <c r="A364" s="2"/>
      <c r="C364" s="2"/>
      <c r="E364" s="2"/>
      <c r="G364" s="2"/>
      <c r="I364" s="2"/>
      <c r="K364" s="2"/>
      <c r="M364" s="2"/>
      <c r="O364" s="2"/>
      <c r="Q364" s="2"/>
      <c r="S364" s="2"/>
      <c r="U364" s="2"/>
      <c r="W364" s="2"/>
      <c r="Y364" s="2"/>
      <c r="AA364" s="2"/>
      <c r="AC364" s="2"/>
      <c r="AE364" s="2"/>
    </row>
    <row r="365" spans="1:31" x14ac:dyDescent="0.25">
      <c r="A365" s="2"/>
      <c r="C365" s="2"/>
      <c r="E365" s="2"/>
      <c r="G365" s="2"/>
      <c r="I365" s="2"/>
      <c r="K365" s="2"/>
      <c r="M365" s="2"/>
      <c r="O365" s="2"/>
      <c r="Q365" s="2"/>
      <c r="S365" s="2"/>
      <c r="U365" s="2"/>
      <c r="W365" s="2"/>
      <c r="Y365" s="2"/>
      <c r="AA365" s="2"/>
      <c r="AC365" s="2"/>
      <c r="AE365" s="2"/>
    </row>
    <row r="366" spans="1:31" x14ac:dyDescent="0.25">
      <c r="A366" s="2"/>
      <c r="C366" s="2"/>
      <c r="E366" s="2"/>
      <c r="G366" s="2"/>
      <c r="I366" s="2"/>
      <c r="K366" s="2"/>
      <c r="M366" s="2"/>
      <c r="O366" s="2"/>
      <c r="Q366" s="2"/>
      <c r="S366" s="2"/>
      <c r="U366" s="2"/>
      <c r="W366" s="2"/>
      <c r="Y366" s="2"/>
      <c r="AA366" s="2"/>
      <c r="AC366" s="2"/>
      <c r="AE366" s="2"/>
    </row>
    <row r="367" spans="1:31" x14ac:dyDescent="0.25">
      <c r="A367" s="2"/>
      <c r="C367" s="2"/>
      <c r="E367" s="2"/>
      <c r="G367" s="2"/>
      <c r="I367" s="2"/>
      <c r="K367" s="2"/>
      <c r="M367" s="2"/>
      <c r="O367" s="2"/>
      <c r="Q367" s="2"/>
      <c r="S367" s="2"/>
      <c r="U367" s="2"/>
      <c r="W367" s="2"/>
      <c r="Y367" s="2"/>
      <c r="AA367" s="2"/>
      <c r="AC367" s="2"/>
      <c r="AE367" s="2"/>
    </row>
    <row r="368" spans="1:31" x14ac:dyDescent="0.25">
      <c r="A368" s="2"/>
      <c r="C368" s="2"/>
      <c r="E368" s="2"/>
      <c r="G368" s="2"/>
      <c r="I368" s="2"/>
      <c r="K368" s="2"/>
      <c r="M368" s="2"/>
      <c r="O368" s="2"/>
      <c r="Q368" s="2"/>
      <c r="S368" s="2"/>
      <c r="U368" s="2"/>
      <c r="W368" s="2"/>
      <c r="Y368" s="2"/>
      <c r="AA368" s="2"/>
      <c r="AC368" s="2"/>
      <c r="AE368" s="2"/>
    </row>
    <row r="369" spans="1:31" x14ac:dyDescent="0.25">
      <c r="A369" s="2"/>
      <c r="C369" s="2"/>
      <c r="E369" s="2"/>
      <c r="G369" s="2"/>
      <c r="I369" s="2"/>
      <c r="K369" s="2"/>
      <c r="M369" s="2"/>
      <c r="O369" s="2"/>
      <c r="Q369" s="2"/>
      <c r="S369" s="2"/>
      <c r="U369" s="2"/>
      <c r="W369" s="2"/>
      <c r="Y369" s="2"/>
      <c r="AA369" s="2"/>
      <c r="AC369" s="2"/>
      <c r="AE369" s="2"/>
    </row>
    <row r="370" spans="1:31" x14ac:dyDescent="0.25">
      <c r="A370" s="2"/>
      <c r="C370" s="2"/>
      <c r="E370" s="2"/>
      <c r="G370" s="2"/>
      <c r="I370" s="2"/>
      <c r="K370" s="2"/>
      <c r="M370" s="2"/>
      <c r="O370" s="2"/>
      <c r="Q370" s="2"/>
      <c r="S370" s="2"/>
      <c r="U370" s="2"/>
      <c r="W370" s="2"/>
      <c r="Y370" s="2"/>
      <c r="AA370" s="2"/>
      <c r="AC370" s="2"/>
      <c r="AE370" s="2"/>
    </row>
    <row r="371" spans="1:31" x14ac:dyDescent="0.25">
      <c r="A371" s="2"/>
      <c r="C371" s="2"/>
      <c r="E371" s="2"/>
      <c r="G371" s="2"/>
      <c r="I371" s="2"/>
      <c r="K371" s="2"/>
      <c r="M371" s="2"/>
      <c r="O371" s="2"/>
      <c r="Q371" s="2"/>
      <c r="S371" s="2"/>
      <c r="U371" s="2"/>
      <c r="W371" s="2"/>
      <c r="Y371" s="2"/>
      <c r="AA371" s="2"/>
      <c r="AC371" s="2"/>
      <c r="AE371" s="2"/>
    </row>
    <row r="372" spans="1:31" x14ac:dyDescent="0.25">
      <c r="A372" s="2"/>
      <c r="C372" s="2"/>
      <c r="E372" s="2"/>
      <c r="G372" s="2"/>
      <c r="I372" s="2"/>
      <c r="K372" s="2"/>
      <c r="M372" s="2"/>
      <c r="O372" s="2"/>
      <c r="Q372" s="2"/>
      <c r="S372" s="2"/>
      <c r="U372" s="2"/>
      <c r="W372" s="2"/>
      <c r="Y372" s="2"/>
      <c r="AA372" s="2"/>
      <c r="AC372" s="2"/>
      <c r="AE372" s="2"/>
    </row>
    <row r="373" spans="1:31" x14ac:dyDescent="0.25">
      <c r="A373" s="2"/>
      <c r="C373" s="2"/>
      <c r="E373" s="2"/>
      <c r="G373" s="2"/>
      <c r="I373" s="2"/>
      <c r="K373" s="2"/>
      <c r="M373" s="2"/>
      <c r="O373" s="2"/>
      <c r="Q373" s="2"/>
      <c r="S373" s="2"/>
      <c r="U373" s="2"/>
      <c r="W373" s="2"/>
      <c r="Y373" s="2"/>
      <c r="AA373" s="2"/>
      <c r="AC373" s="2"/>
      <c r="AE373" s="2"/>
    </row>
    <row r="374" spans="1:31" x14ac:dyDescent="0.25">
      <c r="A374" s="2"/>
      <c r="C374" s="2"/>
      <c r="E374" s="2"/>
      <c r="G374" s="2"/>
      <c r="I374" s="2"/>
      <c r="K374" s="2"/>
      <c r="M374" s="2"/>
      <c r="O374" s="2"/>
      <c r="Q374" s="2"/>
      <c r="S374" s="2"/>
      <c r="U374" s="2"/>
      <c r="W374" s="2"/>
      <c r="Y374" s="2"/>
      <c r="AA374" s="2"/>
      <c r="AC374" s="2"/>
      <c r="AE374" s="2"/>
    </row>
    <row r="375" spans="1:31" x14ac:dyDescent="0.25">
      <c r="A375" s="2"/>
      <c r="C375" s="2"/>
      <c r="E375" s="2"/>
      <c r="G375" s="2"/>
      <c r="I375" s="2"/>
      <c r="K375" s="2"/>
      <c r="M375" s="2"/>
      <c r="O375" s="2"/>
      <c r="Q375" s="2"/>
      <c r="S375" s="2"/>
      <c r="U375" s="2"/>
      <c r="W375" s="2"/>
      <c r="Y375" s="2"/>
      <c r="AA375" s="2"/>
      <c r="AC375" s="2"/>
      <c r="AE375" s="2"/>
    </row>
    <row r="376" spans="1:31" x14ac:dyDescent="0.25">
      <c r="A376" s="2"/>
      <c r="C376" s="2"/>
      <c r="E376" s="2"/>
      <c r="G376" s="2"/>
      <c r="I376" s="2"/>
      <c r="K376" s="2"/>
      <c r="M376" s="2"/>
      <c r="O376" s="2"/>
      <c r="Q376" s="2"/>
      <c r="S376" s="2"/>
      <c r="U376" s="2"/>
      <c r="W376" s="2"/>
      <c r="Y376" s="2"/>
      <c r="AA376" s="2"/>
      <c r="AC376" s="2"/>
      <c r="AE376" s="2"/>
    </row>
    <row r="377" spans="1:31" x14ac:dyDescent="0.25">
      <c r="A377" s="2"/>
      <c r="C377" s="2"/>
      <c r="E377" s="2"/>
      <c r="G377" s="2"/>
      <c r="I377" s="2"/>
      <c r="K377" s="2"/>
      <c r="M377" s="2"/>
      <c r="O377" s="2"/>
      <c r="Q377" s="2"/>
      <c r="S377" s="2"/>
      <c r="U377" s="2"/>
      <c r="W377" s="2"/>
      <c r="Y377" s="2"/>
      <c r="AA377" s="2"/>
      <c r="AC377" s="2"/>
      <c r="AE377" s="2"/>
    </row>
    <row r="378" spans="1:31" x14ac:dyDescent="0.25">
      <c r="A378" s="2"/>
      <c r="C378" s="2"/>
      <c r="E378" s="2"/>
      <c r="G378" s="2"/>
      <c r="I378" s="2"/>
      <c r="K378" s="2"/>
      <c r="M378" s="2"/>
      <c r="O378" s="2"/>
      <c r="Q378" s="2"/>
      <c r="S378" s="2"/>
      <c r="U378" s="2"/>
      <c r="W378" s="2"/>
      <c r="Y378" s="2"/>
      <c r="AA378" s="2"/>
      <c r="AC378" s="2"/>
      <c r="AE378" s="2"/>
    </row>
    <row r="379" spans="1:31" x14ac:dyDescent="0.25">
      <c r="A379" s="2"/>
      <c r="C379" s="2"/>
      <c r="E379" s="2"/>
      <c r="G379" s="2"/>
      <c r="I379" s="2"/>
      <c r="K379" s="2"/>
      <c r="M379" s="2"/>
      <c r="O379" s="2"/>
      <c r="Q379" s="2"/>
      <c r="S379" s="2"/>
      <c r="U379" s="2"/>
      <c r="W379" s="2"/>
      <c r="Y379" s="2"/>
      <c r="AA379" s="2"/>
      <c r="AC379" s="2"/>
      <c r="AE379" s="2"/>
    </row>
    <row r="380" spans="1:31" x14ac:dyDescent="0.25">
      <c r="A380" s="2"/>
      <c r="C380" s="2"/>
      <c r="E380" s="2"/>
      <c r="G380" s="2"/>
      <c r="I380" s="2"/>
      <c r="K380" s="2"/>
      <c r="M380" s="2"/>
      <c r="O380" s="2"/>
      <c r="Q380" s="2"/>
      <c r="S380" s="2"/>
      <c r="U380" s="2"/>
      <c r="W380" s="2"/>
      <c r="Y380" s="2"/>
      <c r="AA380" s="2"/>
      <c r="AC380" s="2"/>
      <c r="AE380" s="2"/>
    </row>
    <row r="381" spans="1:31" x14ac:dyDescent="0.25">
      <c r="A381" s="2"/>
      <c r="C381" s="2"/>
      <c r="E381" s="2"/>
      <c r="G381" s="2"/>
      <c r="I381" s="2"/>
      <c r="K381" s="2"/>
      <c r="M381" s="2"/>
      <c r="O381" s="2"/>
      <c r="Q381" s="2"/>
      <c r="S381" s="2"/>
      <c r="U381" s="2"/>
      <c r="W381" s="2"/>
      <c r="Y381" s="2"/>
      <c r="AA381" s="2"/>
      <c r="AC381" s="2"/>
      <c r="AE381" s="2"/>
    </row>
    <row r="382" spans="1:31" x14ac:dyDescent="0.25">
      <c r="A382" s="2"/>
      <c r="C382" s="2"/>
      <c r="E382" s="2"/>
      <c r="G382" s="2"/>
      <c r="I382" s="2"/>
      <c r="K382" s="2"/>
      <c r="M382" s="2"/>
      <c r="O382" s="2"/>
      <c r="Q382" s="2"/>
      <c r="S382" s="2"/>
      <c r="U382" s="2"/>
      <c r="W382" s="2"/>
      <c r="Y382" s="2"/>
      <c r="AA382" s="2"/>
      <c r="AC382" s="2"/>
      <c r="AE382" s="2"/>
    </row>
    <row r="383" spans="1:31" x14ac:dyDescent="0.25">
      <c r="A383" s="2"/>
      <c r="C383" s="2"/>
      <c r="E383" s="2"/>
      <c r="G383" s="2"/>
      <c r="I383" s="2"/>
      <c r="K383" s="2"/>
      <c r="M383" s="2"/>
      <c r="O383" s="2"/>
      <c r="Q383" s="2"/>
      <c r="S383" s="2"/>
      <c r="U383" s="2"/>
      <c r="W383" s="2"/>
      <c r="Y383" s="2"/>
      <c r="AA383" s="2"/>
      <c r="AC383" s="2"/>
      <c r="AE383" s="2"/>
    </row>
    <row r="384" spans="1:31" x14ac:dyDescent="0.25">
      <c r="A384" s="2"/>
      <c r="C384" s="2"/>
      <c r="E384" s="2"/>
      <c r="G384" s="2"/>
      <c r="I384" s="2"/>
      <c r="K384" s="2"/>
      <c r="M384" s="2"/>
      <c r="O384" s="2"/>
      <c r="Q384" s="2"/>
      <c r="S384" s="2"/>
      <c r="U384" s="2"/>
      <c r="W384" s="2"/>
      <c r="Y384" s="2"/>
      <c r="AA384" s="2"/>
      <c r="AC384" s="2"/>
      <c r="AE384" s="2"/>
    </row>
    <row r="385" spans="1:31" x14ac:dyDescent="0.25">
      <c r="A385" s="2"/>
      <c r="C385" s="2"/>
      <c r="E385" s="2"/>
      <c r="G385" s="2"/>
      <c r="I385" s="2"/>
      <c r="K385" s="2"/>
      <c r="M385" s="2"/>
      <c r="O385" s="2"/>
      <c r="Q385" s="2"/>
      <c r="S385" s="2"/>
      <c r="U385" s="2"/>
      <c r="W385" s="2"/>
      <c r="Y385" s="2"/>
      <c r="AA385" s="2"/>
      <c r="AC385" s="2"/>
      <c r="AE385" s="2"/>
    </row>
    <row r="386" spans="1:31" x14ac:dyDescent="0.25">
      <c r="A386" s="2"/>
      <c r="C386" s="2"/>
      <c r="E386" s="2"/>
      <c r="G386" s="2"/>
      <c r="I386" s="2"/>
      <c r="K386" s="2"/>
      <c r="M386" s="2"/>
      <c r="O386" s="2"/>
      <c r="Q386" s="2"/>
      <c r="S386" s="2"/>
      <c r="U386" s="2"/>
      <c r="W386" s="2"/>
      <c r="Y386" s="2"/>
      <c r="AA386" s="2"/>
      <c r="AC386" s="2"/>
      <c r="AE386" s="2"/>
    </row>
    <row r="387" spans="1:31" x14ac:dyDescent="0.25">
      <c r="A387" s="2"/>
      <c r="C387" s="2"/>
      <c r="E387" s="2"/>
      <c r="G387" s="2"/>
      <c r="I387" s="2"/>
      <c r="K387" s="2"/>
      <c r="M387" s="2"/>
      <c r="O387" s="2"/>
      <c r="Q387" s="2"/>
      <c r="S387" s="2"/>
      <c r="U387" s="2"/>
      <c r="W387" s="2"/>
      <c r="Y387" s="2"/>
      <c r="AA387" s="2"/>
      <c r="AC387" s="2"/>
      <c r="AE387" s="2"/>
    </row>
    <row r="388" spans="1:31" x14ac:dyDescent="0.25">
      <c r="A388" s="2"/>
      <c r="C388" s="2"/>
      <c r="E388" s="2"/>
      <c r="G388" s="2"/>
      <c r="I388" s="2"/>
      <c r="K388" s="2"/>
      <c r="M388" s="2"/>
      <c r="O388" s="2"/>
      <c r="Q388" s="2"/>
      <c r="S388" s="2"/>
      <c r="U388" s="2"/>
      <c r="W388" s="2"/>
      <c r="Y388" s="2"/>
      <c r="AA388" s="2"/>
      <c r="AC388" s="2"/>
      <c r="AE388" s="2"/>
    </row>
    <row r="389" spans="1:31" x14ac:dyDescent="0.25">
      <c r="A389" s="2"/>
      <c r="C389" s="2"/>
      <c r="E389" s="2"/>
      <c r="G389" s="2"/>
      <c r="I389" s="2"/>
      <c r="K389" s="2"/>
      <c r="M389" s="2"/>
      <c r="O389" s="2"/>
      <c r="Q389" s="2"/>
      <c r="S389" s="2"/>
      <c r="U389" s="2"/>
      <c r="W389" s="2"/>
      <c r="Y389" s="2"/>
      <c r="AA389" s="2"/>
      <c r="AC389" s="2"/>
      <c r="AE389" s="2"/>
    </row>
    <row r="390" spans="1:31" x14ac:dyDescent="0.25">
      <c r="A390" s="2"/>
      <c r="C390" s="2"/>
      <c r="E390" s="2"/>
      <c r="G390" s="2"/>
      <c r="I390" s="2"/>
      <c r="K390" s="2"/>
      <c r="M390" s="2"/>
      <c r="O390" s="2"/>
      <c r="Q390" s="2"/>
      <c r="S390" s="2"/>
      <c r="U390" s="2"/>
      <c r="W390" s="2"/>
      <c r="Y390" s="2"/>
      <c r="AA390" s="2"/>
      <c r="AC390" s="2"/>
      <c r="AE390" s="2"/>
    </row>
    <row r="391" spans="1:31" x14ac:dyDescent="0.25">
      <c r="A391" s="2"/>
      <c r="C391" s="2"/>
      <c r="E391" s="2"/>
      <c r="G391" s="2"/>
      <c r="I391" s="2"/>
      <c r="K391" s="2"/>
      <c r="M391" s="2"/>
      <c r="O391" s="2"/>
      <c r="Q391" s="2"/>
      <c r="S391" s="2"/>
      <c r="U391" s="2"/>
      <c r="W391" s="2"/>
      <c r="Y391" s="2"/>
      <c r="AA391" s="2"/>
      <c r="AC391" s="2"/>
      <c r="AE391" s="2"/>
    </row>
    <row r="392" spans="1:31" x14ac:dyDescent="0.25">
      <c r="A392" s="2"/>
      <c r="C392" s="2"/>
      <c r="E392" s="2"/>
      <c r="G392" s="2"/>
      <c r="I392" s="2"/>
      <c r="K392" s="2"/>
      <c r="M392" s="2"/>
      <c r="O392" s="2"/>
      <c r="Q392" s="2"/>
      <c r="S392" s="2"/>
      <c r="U392" s="2"/>
      <c r="W392" s="2"/>
      <c r="Y392" s="2"/>
      <c r="AA392" s="2"/>
      <c r="AC392" s="2"/>
      <c r="AE392" s="2"/>
    </row>
    <row r="393" spans="1:31" x14ac:dyDescent="0.25">
      <c r="A393" s="2"/>
      <c r="C393" s="2"/>
      <c r="E393" s="2"/>
      <c r="G393" s="2"/>
      <c r="I393" s="2"/>
      <c r="K393" s="2"/>
      <c r="M393" s="2"/>
      <c r="O393" s="2"/>
      <c r="Q393" s="2"/>
      <c r="S393" s="2"/>
      <c r="U393" s="2"/>
      <c r="W393" s="2"/>
      <c r="Y393" s="2"/>
      <c r="AA393" s="2"/>
      <c r="AC393" s="2"/>
      <c r="AE393" s="2"/>
    </row>
    <row r="394" spans="1:31" x14ac:dyDescent="0.25">
      <c r="A394" s="2"/>
      <c r="C394" s="2"/>
      <c r="E394" s="2"/>
      <c r="G394" s="2"/>
      <c r="I394" s="2"/>
      <c r="K394" s="2"/>
      <c r="M394" s="2"/>
      <c r="O394" s="2"/>
      <c r="Q394" s="2"/>
      <c r="S394" s="2"/>
      <c r="U394" s="2"/>
      <c r="W394" s="2"/>
      <c r="Y394" s="2"/>
      <c r="AA394" s="2"/>
      <c r="AC394" s="2"/>
      <c r="AE394" s="2"/>
    </row>
    <row r="395" spans="1:31" x14ac:dyDescent="0.25">
      <c r="A395" s="2"/>
      <c r="C395" s="2"/>
      <c r="E395" s="2"/>
      <c r="G395" s="2"/>
      <c r="I395" s="2"/>
      <c r="K395" s="2"/>
      <c r="M395" s="2"/>
      <c r="O395" s="2"/>
      <c r="Q395" s="2"/>
      <c r="S395" s="2"/>
      <c r="U395" s="2"/>
      <c r="W395" s="2"/>
      <c r="Y395" s="2"/>
      <c r="AA395" s="2"/>
      <c r="AC395" s="2"/>
      <c r="AE395" s="2"/>
    </row>
    <row r="396" spans="1:31" x14ac:dyDescent="0.25">
      <c r="A396" s="2"/>
      <c r="C396" s="2"/>
      <c r="E396" s="2"/>
      <c r="G396" s="2"/>
      <c r="I396" s="2"/>
      <c r="K396" s="2"/>
      <c r="M396" s="2"/>
      <c r="O396" s="2"/>
      <c r="Q396" s="2"/>
      <c r="S396" s="2"/>
      <c r="U396" s="2"/>
      <c r="W396" s="2"/>
      <c r="Y396" s="2"/>
      <c r="AA396" s="2"/>
      <c r="AC396" s="2"/>
      <c r="AE396" s="2"/>
    </row>
    <row r="397" spans="1:31" x14ac:dyDescent="0.25">
      <c r="A397" s="2"/>
      <c r="C397" s="2"/>
      <c r="E397" s="2"/>
      <c r="G397" s="2"/>
      <c r="I397" s="2"/>
      <c r="K397" s="2"/>
      <c r="M397" s="2"/>
      <c r="O397" s="2"/>
      <c r="Q397" s="2"/>
      <c r="S397" s="2"/>
      <c r="U397" s="2"/>
      <c r="W397" s="2"/>
      <c r="Y397" s="2"/>
      <c r="AA397" s="2"/>
      <c r="AC397" s="2"/>
      <c r="AE397" s="2"/>
    </row>
    <row r="398" spans="1:31" x14ac:dyDescent="0.25">
      <c r="A398" s="2"/>
      <c r="C398" s="2"/>
      <c r="E398" s="2"/>
      <c r="G398" s="2"/>
      <c r="I398" s="2"/>
      <c r="K398" s="2"/>
      <c r="M398" s="2"/>
      <c r="O398" s="2"/>
      <c r="Q398" s="2"/>
      <c r="S398" s="2"/>
      <c r="U398" s="2"/>
      <c r="W398" s="2"/>
      <c r="Y398" s="2"/>
      <c r="AA398" s="2"/>
      <c r="AC398" s="2"/>
      <c r="AE398" s="2"/>
    </row>
    <row r="399" spans="1:31" x14ac:dyDescent="0.25">
      <c r="A399" s="2"/>
      <c r="C399" s="2"/>
      <c r="E399" s="2"/>
      <c r="G399" s="2"/>
      <c r="I399" s="2"/>
      <c r="K399" s="2"/>
      <c r="M399" s="2"/>
      <c r="O399" s="2"/>
      <c r="Q399" s="2"/>
      <c r="S399" s="2"/>
      <c r="U399" s="2"/>
      <c r="W399" s="2"/>
      <c r="Y399" s="2"/>
      <c r="AA399" s="2"/>
      <c r="AC399" s="2"/>
      <c r="AE399" s="2"/>
    </row>
    <row r="400" spans="1:31" x14ac:dyDescent="0.25">
      <c r="A400" s="2"/>
      <c r="C400" s="2"/>
      <c r="E400" s="2"/>
      <c r="G400" s="2"/>
      <c r="I400" s="2"/>
      <c r="K400" s="2"/>
      <c r="M400" s="2"/>
      <c r="O400" s="2"/>
      <c r="Q400" s="2"/>
      <c r="S400" s="2"/>
      <c r="U400" s="2"/>
      <c r="W400" s="2"/>
      <c r="Y400" s="2"/>
      <c r="AA400" s="2"/>
      <c r="AC400" s="2"/>
      <c r="AE400" s="2"/>
    </row>
    <row r="401" spans="1:31" x14ac:dyDescent="0.25">
      <c r="A401" s="2"/>
      <c r="C401" s="2"/>
      <c r="E401" s="2"/>
      <c r="G401" s="2"/>
      <c r="I401" s="2"/>
      <c r="K401" s="2"/>
      <c r="M401" s="2"/>
      <c r="O401" s="2"/>
      <c r="Q401" s="2"/>
      <c r="S401" s="2"/>
      <c r="U401" s="2"/>
      <c r="W401" s="2"/>
      <c r="Y401" s="2"/>
      <c r="AA401" s="2"/>
      <c r="AC401" s="2"/>
      <c r="AE401" s="2"/>
    </row>
    <row r="402" spans="1:31" x14ac:dyDescent="0.25">
      <c r="A402" s="2"/>
      <c r="C402" s="2"/>
      <c r="E402" s="2"/>
      <c r="G402" s="2"/>
      <c r="I402" s="2"/>
      <c r="K402" s="2"/>
      <c r="M402" s="2"/>
      <c r="O402" s="2"/>
      <c r="Q402" s="2"/>
      <c r="S402" s="2"/>
      <c r="U402" s="2"/>
      <c r="W402" s="2"/>
      <c r="Y402" s="2"/>
      <c r="AA402" s="2"/>
      <c r="AC402" s="2"/>
      <c r="AE402" s="2"/>
    </row>
    <row r="403" spans="1:31" x14ac:dyDescent="0.25">
      <c r="A403" s="2"/>
      <c r="C403" s="2"/>
      <c r="E403" s="2"/>
      <c r="G403" s="2"/>
      <c r="I403" s="2"/>
      <c r="K403" s="2"/>
      <c r="M403" s="2"/>
      <c r="O403" s="2"/>
      <c r="Q403" s="2"/>
      <c r="S403" s="2"/>
      <c r="U403" s="2"/>
      <c r="W403" s="2"/>
      <c r="Y403" s="2"/>
      <c r="AA403" s="2"/>
      <c r="AC403" s="2"/>
      <c r="AE403" s="2"/>
    </row>
    <row r="404" spans="1:31" x14ac:dyDescent="0.25">
      <c r="A404" s="2"/>
      <c r="C404" s="2"/>
      <c r="E404" s="2"/>
      <c r="G404" s="2"/>
      <c r="I404" s="2"/>
      <c r="K404" s="2"/>
      <c r="M404" s="2"/>
      <c r="O404" s="2"/>
      <c r="Q404" s="2"/>
      <c r="S404" s="2"/>
      <c r="U404" s="2"/>
      <c r="W404" s="2"/>
      <c r="Y404" s="2"/>
      <c r="AA404" s="2"/>
      <c r="AC404" s="2"/>
      <c r="AE404" s="2"/>
    </row>
    <row r="405" spans="1:31" x14ac:dyDescent="0.25">
      <c r="A405" s="2"/>
      <c r="C405" s="2"/>
      <c r="E405" s="2"/>
      <c r="G405" s="2"/>
      <c r="I405" s="2"/>
      <c r="K405" s="2"/>
      <c r="M405" s="2"/>
      <c r="O405" s="2"/>
      <c r="Q405" s="2"/>
      <c r="S405" s="2"/>
      <c r="U405" s="2"/>
      <c r="W405" s="2"/>
      <c r="Y405" s="2"/>
      <c r="AA405" s="2"/>
      <c r="AC405" s="2"/>
      <c r="AE405" s="2"/>
    </row>
    <row r="406" spans="1:31" x14ac:dyDescent="0.25">
      <c r="A406" s="2"/>
      <c r="C406" s="2"/>
      <c r="E406" s="2"/>
      <c r="G406" s="2"/>
      <c r="I406" s="2"/>
      <c r="K406" s="2"/>
      <c r="M406" s="2"/>
      <c r="O406" s="2"/>
      <c r="Q406" s="2"/>
      <c r="S406" s="2"/>
      <c r="U406" s="2"/>
      <c r="W406" s="2"/>
      <c r="Y406" s="2"/>
      <c r="AA406" s="2"/>
      <c r="AC406" s="2"/>
      <c r="AE406" s="2"/>
    </row>
    <row r="407" spans="1:31" x14ac:dyDescent="0.25">
      <c r="A407" s="2"/>
      <c r="C407" s="2"/>
      <c r="E407" s="2"/>
      <c r="G407" s="2"/>
      <c r="I407" s="2"/>
      <c r="K407" s="2"/>
      <c r="M407" s="2"/>
      <c r="O407" s="2"/>
      <c r="Q407" s="2"/>
      <c r="S407" s="2"/>
      <c r="U407" s="2"/>
      <c r="W407" s="2"/>
      <c r="Y407" s="2"/>
      <c r="AA407" s="2"/>
      <c r="AC407" s="2"/>
      <c r="AE407" s="2"/>
    </row>
    <row r="408" spans="1:31" x14ac:dyDescent="0.25">
      <c r="A408" s="2"/>
      <c r="C408" s="2"/>
      <c r="E408" s="2"/>
      <c r="G408" s="2"/>
      <c r="I408" s="2"/>
      <c r="K408" s="2"/>
      <c r="M408" s="2"/>
      <c r="O408" s="2"/>
      <c r="Q408" s="2"/>
      <c r="S408" s="2"/>
      <c r="U408" s="2"/>
      <c r="W408" s="2"/>
      <c r="Y408" s="2"/>
      <c r="AA408" s="2"/>
      <c r="AC408" s="2"/>
      <c r="AE408" s="2"/>
    </row>
    <row r="409" spans="1:31" x14ac:dyDescent="0.25">
      <c r="A409" s="2"/>
      <c r="C409" s="2"/>
      <c r="E409" s="2"/>
      <c r="G409" s="2"/>
      <c r="I409" s="2"/>
      <c r="K409" s="2"/>
      <c r="M409" s="2"/>
      <c r="O409" s="2"/>
      <c r="Q409" s="2"/>
      <c r="S409" s="2"/>
      <c r="U409" s="2"/>
      <c r="W409" s="2"/>
      <c r="Y409" s="2"/>
      <c r="AA409" s="2"/>
      <c r="AC409" s="2"/>
      <c r="AE409" s="2"/>
    </row>
    <row r="410" spans="1:31" x14ac:dyDescent="0.25">
      <c r="A410" s="2"/>
      <c r="C410" s="2"/>
      <c r="E410" s="2"/>
      <c r="G410" s="2"/>
      <c r="I410" s="2"/>
      <c r="K410" s="2"/>
      <c r="M410" s="2"/>
      <c r="O410" s="2"/>
      <c r="Q410" s="2"/>
      <c r="S410" s="2"/>
      <c r="U410" s="2"/>
      <c r="W410" s="2"/>
      <c r="Y410" s="2"/>
      <c r="AA410" s="2"/>
      <c r="AC410" s="2"/>
      <c r="AE410" s="2"/>
    </row>
    <row r="411" spans="1:31" x14ac:dyDescent="0.25">
      <c r="A411" s="2"/>
      <c r="C411" s="2"/>
      <c r="E411" s="2"/>
      <c r="G411" s="2"/>
      <c r="I411" s="2"/>
      <c r="K411" s="2"/>
      <c r="M411" s="2"/>
      <c r="O411" s="2"/>
      <c r="Q411" s="2"/>
      <c r="S411" s="2"/>
      <c r="U411" s="2"/>
      <c r="W411" s="2"/>
      <c r="Y411" s="2"/>
      <c r="AA411" s="2"/>
      <c r="AC411" s="2"/>
      <c r="AE411" s="2"/>
    </row>
    <row r="412" spans="1:31" x14ac:dyDescent="0.25">
      <c r="A412" s="2"/>
      <c r="C412" s="2"/>
      <c r="E412" s="2"/>
      <c r="G412" s="2"/>
      <c r="I412" s="2"/>
      <c r="K412" s="2"/>
      <c r="M412" s="2"/>
      <c r="O412" s="2"/>
      <c r="Q412" s="2"/>
      <c r="S412" s="2"/>
      <c r="U412" s="2"/>
      <c r="W412" s="2"/>
      <c r="Y412" s="2"/>
      <c r="AA412" s="2"/>
      <c r="AC412" s="2"/>
      <c r="AE412" s="2"/>
    </row>
    <row r="413" spans="1:31" x14ac:dyDescent="0.25">
      <c r="A413" s="2"/>
      <c r="C413" s="2"/>
      <c r="E413" s="2"/>
      <c r="G413" s="2"/>
      <c r="I413" s="2"/>
      <c r="K413" s="2"/>
      <c r="M413" s="2"/>
      <c r="O413" s="2"/>
      <c r="Q413" s="2"/>
      <c r="S413" s="2"/>
      <c r="U413" s="2"/>
      <c r="W413" s="2"/>
      <c r="Y413" s="2"/>
      <c r="AA413" s="2"/>
      <c r="AC413" s="2"/>
      <c r="AE413" s="2"/>
    </row>
    <row r="414" spans="1:31" x14ac:dyDescent="0.25">
      <c r="A414" s="2"/>
      <c r="C414" s="2"/>
      <c r="E414" s="2"/>
      <c r="G414" s="2"/>
      <c r="I414" s="2"/>
      <c r="K414" s="2"/>
      <c r="M414" s="2"/>
      <c r="O414" s="2"/>
      <c r="Q414" s="2"/>
      <c r="S414" s="2"/>
      <c r="U414" s="2"/>
      <c r="W414" s="2"/>
      <c r="Y414" s="2"/>
      <c r="AA414" s="2"/>
      <c r="AC414" s="2"/>
      <c r="AE414" s="2"/>
    </row>
    <row r="415" spans="1:31" x14ac:dyDescent="0.25">
      <c r="A415" s="2"/>
      <c r="C415" s="2"/>
      <c r="E415" s="2"/>
      <c r="G415" s="2"/>
      <c r="I415" s="2"/>
      <c r="K415" s="2"/>
      <c r="M415" s="2"/>
      <c r="O415" s="2"/>
      <c r="Q415" s="2"/>
      <c r="S415" s="2"/>
      <c r="U415" s="2"/>
      <c r="W415" s="2"/>
      <c r="Y415" s="2"/>
      <c r="AA415" s="2"/>
      <c r="AC415" s="2"/>
      <c r="AE415" s="2"/>
    </row>
    <row r="416" spans="1:31" x14ac:dyDescent="0.25">
      <c r="A416" s="2"/>
      <c r="C416" s="2"/>
      <c r="E416" s="2"/>
      <c r="G416" s="2"/>
      <c r="I416" s="2"/>
      <c r="K416" s="2"/>
      <c r="M416" s="2"/>
      <c r="O416" s="2"/>
      <c r="Q416" s="2"/>
      <c r="S416" s="2"/>
      <c r="U416" s="2"/>
      <c r="W416" s="2"/>
      <c r="Y416" s="2"/>
      <c r="AA416" s="2"/>
      <c r="AC416" s="2"/>
      <c r="AE416" s="2"/>
    </row>
    <row r="417" spans="1:31" x14ac:dyDescent="0.25">
      <c r="A417" s="2"/>
      <c r="C417" s="2"/>
      <c r="E417" s="2"/>
      <c r="G417" s="2"/>
      <c r="I417" s="2"/>
      <c r="K417" s="2"/>
      <c r="M417" s="2"/>
      <c r="O417" s="2"/>
      <c r="Q417" s="2"/>
      <c r="S417" s="2"/>
      <c r="U417" s="2"/>
      <c r="W417" s="2"/>
      <c r="Y417" s="2"/>
      <c r="AA417" s="2"/>
      <c r="AC417" s="2"/>
      <c r="AE417" s="2"/>
    </row>
    <row r="418" spans="1:31" x14ac:dyDescent="0.25">
      <c r="A418" s="2"/>
      <c r="C418" s="2"/>
      <c r="E418" s="2"/>
      <c r="G418" s="2"/>
      <c r="I418" s="2"/>
      <c r="K418" s="2"/>
      <c r="M418" s="2"/>
      <c r="O418" s="2"/>
      <c r="Q418" s="2"/>
      <c r="S418" s="2"/>
      <c r="U418" s="2"/>
      <c r="W418" s="2"/>
      <c r="Y418" s="2"/>
      <c r="AA418" s="2"/>
      <c r="AC418" s="2"/>
      <c r="AE418" s="2"/>
    </row>
    <row r="419" spans="1:31" x14ac:dyDescent="0.25">
      <c r="A419" s="2"/>
      <c r="C419" s="2"/>
      <c r="E419" s="2"/>
      <c r="G419" s="2"/>
      <c r="I419" s="2"/>
      <c r="K419" s="2"/>
      <c r="M419" s="2"/>
      <c r="O419" s="2"/>
      <c r="Q419" s="2"/>
      <c r="S419" s="2"/>
      <c r="U419" s="2"/>
      <c r="W419" s="2"/>
      <c r="Y419" s="2"/>
      <c r="AA419" s="2"/>
      <c r="AC419" s="2"/>
      <c r="AE419" s="2"/>
    </row>
    <row r="420" spans="1:31" x14ac:dyDescent="0.25">
      <c r="A420" s="2"/>
      <c r="C420" s="2"/>
      <c r="E420" s="2"/>
      <c r="G420" s="2"/>
      <c r="I420" s="2"/>
      <c r="K420" s="2"/>
      <c r="M420" s="2"/>
      <c r="O420" s="2"/>
      <c r="Q420" s="2"/>
      <c r="S420" s="2"/>
      <c r="U420" s="2"/>
      <c r="W420" s="2"/>
      <c r="Y420" s="2"/>
      <c r="AA420" s="2"/>
      <c r="AC420" s="2"/>
      <c r="AE420" s="2"/>
    </row>
    <row r="421" spans="1:31" x14ac:dyDescent="0.25">
      <c r="A421" s="2"/>
      <c r="C421" s="2"/>
      <c r="E421" s="2"/>
      <c r="G421" s="2"/>
      <c r="I421" s="2"/>
      <c r="K421" s="2"/>
      <c r="M421" s="2"/>
      <c r="O421" s="2"/>
      <c r="Q421" s="2"/>
      <c r="S421" s="2"/>
      <c r="U421" s="2"/>
      <c r="W421" s="2"/>
      <c r="Y421" s="2"/>
      <c r="AA421" s="2"/>
      <c r="AC421" s="2"/>
      <c r="AE421" s="2"/>
    </row>
    <row r="422" spans="1:31" x14ac:dyDescent="0.25">
      <c r="A422" s="2"/>
      <c r="C422" s="2"/>
      <c r="E422" s="2"/>
      <c r="G422" s="2"/>
      <c r="I422" s="2"/>
      <c r="K422" s="2"/>
      <c r="M422" s="2"/>
      <c r="O422" s="2"/>
      <c r="Q422" s="2"/>
      <c r="S422" s="2"/>
      <c r="U422" s="2"/>
      <c r="W422" s="2"/>
      <c r="Y422" s="2"/>
      <c r="AA422" s="2"/>
      <c r="AC422" s="2"/>
      <c r="AE422" s="2"/>
    </row>
    <row r="423" spans="1:31" x14ac:dyDescent="0.25">
      <c r="A423" s="2"/>
      <c r="C423" s="2"/>
      <c r="E423" s="2"/>
      <c r="G423" s="2"/>
      <c r="I423" s="2"/>
      <c r="K423" s="2"/>
      <c r="M423" s="2"/>
      <c r="O423" s="2"/>
      <c r="Q423" s="2"/>
      <c r="S423" s="2"/>
      <c r="U423" s="2"/>
      <c r="W423" s="2"/>
      <c r="Y423" s="2"/>
      <c r="AA423" s="2"/>
      <c r="AC423" s="2"/>
      <c r="AE423" s="2"/>
    </row>
    <row r="424" spans="1:31" x14ac:dyDescent="0.25">
      <c r="A424" s="2"/>
      <c r="C424" s="2"/>
      <c r="E424" s="2"/>
      <c r="G424" s="2"/>
      <c r="I424" s="2"/>
      <c r="K424" s="2"/>
      <c r="M424" s="2"/>
      <c r="O424" s="2"/>
      <c r="Q424" s="2"/>
      <c r="S424" s="2"/>
      <c r="U424" s="2"/>
      <c r="W424" s="2"/>
      <c r="Y424" s="2"/>
      <c r="AA424" s="2"/>
      <c r="AC424" s="2"/>
      <c r="AE424" s="2"/>
    </row>
    <row r="425" spans="1:31" x14ac:dyDescent="0.25">
      <c r="A425" s="2"/>
      <c r="C425" s="2"/>
      <c r="E425" s="2"/>
      <c r="G425" s="2"/>
      <c r="I425" s="2"/>
      <c r="K425" s="2"/>
      <c r="M425" s="2"/>
      <c r="O425" s="2"/>
      <c r="Q425" s="2"/>
      <c r="S425" s="2"/>
      <c r="U425" s="2"/>
      <c r="W425" s="2"/>
      <c r="Y425" s="2"/>
      <c r="AA425" s="2"/>
      <c r="AC425" s="2"/>
      <c r="AE425" s="2"/>
    </row>
    <row r="426" spans="1:31" x14ac:dyDescent="0.25">
      <c r="A426" s="2"/>
      <c r="C426" s="2"/>
      <c r="E426" s="2"/>
      <c r="G426" s="2"/>
      <c r="I426" s="2"/>
      <c r="K426" s="2"/>
      <c r="M426" s="2"/>
      <c r="O426" s="2"/>
      <c r="Q426" s="2"/>
      <c r="S426" s="2"/>
      <c r="U426" s="2"/>
      <c r="W426" s="2"/>
      <c r="Y426" s="2"/>
      <c r="AA426" s="2"/>
      <c r="AC426" s="2"/>
      <c r="AE426" s="2"/>
    </row>
    <row r="427" spans="1:31" x14ac:dyDescent="0.25">
      <c r="A427" s="2"/>
      <c r="C427" s="2"/>
      <c r="E427" s="2"/>
      <c r="G427" s="2"/>
      <c r="I427" s="2"/>
      <c r="K427" s="2"/>
      <c r="M427" s="2"/>
      <c r="O427" s="2"/>
      <c r="Q427" s="2"/>
      <c r="S427" s="2"/>
      <c r="U427" s="2"/>
      <c r="W427" s="2"/>
      <c r="Y427" s="2"/>
      <c r="AA427" s="2"/>
      <c r="AC427" s="2"/>
      <c r="AE427" s="2"/>
    </row>
    <row r="428" spans="1:31" x14ac:dyDescent="0.25">
      <c r="A428" s="2"/>
      <c r="C428" s="2"/>
      <c r="E428" s="2"/>
      <c r="G428" s="2"/>
      <c r="I428" s="2"/>
      <c r="K428" s="2"/>
      <c r="M428" s="2"/>
      <c r="O428" s="2"/>
      <c r="Q428" s="2"/>
      <c r="S428" s="2"/>
      <c r="U428" s="2"/>
      <c r="W428" s="2"/>
      <c r="Y428" s="2"/>
      <c r="AA428" s="2"/>
      <c r="AC428" s="2"/>
      <c r="AE428" s="2"/>
    </row>
    <row r="429" spans="1:31" x14ac:dyDescent="0.25">
      <c r="A429" s="2"/>
      <c r="C429" s="2"/>
      <c r="E429" s="2"/>
      <c r="G429" s="2"/>
      <c r="I429" s="2"/>
      <c r="K429" s="2"/>
      <c r="M429" s="2"/>
      <c r="O429" s="2"/>
      <c r="Q429" s="2"/>
      <c r="S429" s="2"/>
      <c r="U429" s="2"/>
      <c r="W429" s="2"/>
      <c r="Y429" s="2"/>
      <c r="AA429" s="2"/>
      <c r="AC429" s="2"/>
      <c r="AE429" s="2"/>
    </row>
    <row r="430" spans="1:31" x14ac:dyDescent="0.25">
      <c r="A430" s="2"/>
      <c r="C430" s="2"/>
      <c r="E430" s="2"/>
      <c r="G430" s="2"/>
      <c r="I430" s="2"/>
      <c r="K430" s="2"/>
      <c r="M430" s="2"/>
      <c r="O430" s="2"/>
      <c r="Q430" s="2"/>
      <c r="S430" s="2"/>
      <c r="U430" s="2"/>
      <c r="W430" s="2"/>
      <c r="Y430" s="2"/>
      <c r="AA430" s="2"/>
      <c r="AC430" s="2"/>
      <c r="AE430" s="2"/>
    </row>
    <row r="431" spans="1:31" x14ac:dyDescent="0.25">
      <c r="A431" s="2"/>
      <c r="C431" s="2"/>
      <c r="E431" s="2"/>
      <c r="G431" s="2"/>
      <c r="I431" s="2"/>
      <c r="K431" s="2"/>
      <c r="M431" s="2"/>
      <c r="O431" s="2"/>
      <c r="Q431" s="2"/>
      <c r="S431" s="2"/>
      <c r="U431" s="2"/>
      <c r="W431" s="2"/>
      <c r="Y431" s="2"/>
      <c r="AA431" s="2"/>
      <c r="AC431" s="2"/>
      <c r="AE431" s="2"/>
    </row>
    <row r="432" spans="1:31" x14ac:dyDescent="0.25">
      <c r="A432" s="2"/>
      <c r="C432" s="2"/>
      <c r="E432" s="2"/>
      <c r="G432" s="2"/>
      <c r="I432" s="2"/>
      <c r="K432" s="2"/>
      <c r="M432" s="2"/>
      <c r="O432" s="2"/>
      <c r="Q432" s="2"/>
      <c r="S432" s="2"/>
      <c r="U432" s="2"/>
      <c r="W432" s="2"/>
      <c r="Y432" s="2"/>
      <c r="AA432" s="2"/>
      <c r="AC432" s="2"/>
      <c r="AE432" s="2"/>
    </row>
    <row r="433" spans="1:31" x14ac:dyDescent="0.25">
      <c r="A433" s="2"/>
      <c r="C433" s="2"/>
      <c r="E433" s="2"/>
      <c r="G433" s="2"/>
      <c r="I433" s="2"/>
      <c r="K433" s="2"/>
      <c r="M433" s="2"/>
      <c r="O433" s="2"/>
      <c r="Q433" s="2"/>
      <c r="S433" s="2"/>
      <c r="U433" s="2"/>
      <c r="W433" s="2"/>
      <c r="Y433" s="2"/>
      <c r="AA433" s="2"/>
      <c r="AC433" s="2"/>
      <c r="AE433" s="2"/>
    </row>
    <row r="434" spans="1:31" x14ac:dyDescent="0.25">
      <c r="A434" s="2"/>
      <c r="C434" s="2"/>
      <c r="E434" s="2"/>
      <c r="G434" s="2"/>
      <c r="I434" s="2"/>
      <c r="K434" s="2"/>
      <c r="M434" s="2"/>
      <c r="O434" s="2"/>
      <c r="Q434" s="2"/>
      <c r="S434" s="2"/>
      <c r="U434" s="2"/>
      <c r="W434" s="2"/>
      <c r="Y434" s="2"/>
      <c r="AA434" s="2"/>
      <c r="AC434" s="2"/>
      <c r="AE434" s="2"/>
    </row>
    <row r="435" spans="1:31" x14ac:dyDescent="0.25">
      <c r="A435" s="2"/>
      <c r="C435" s="2"/>
      <c r="E435" s="2"/>
      <c r="G435" s="2"/>
      <c r="I435" s="2"/>
      <c r="K435" s="2"/>
      <c r="M435" s="2"/>
      <c r="O435" s="2"/>
      <c r="Q435" s="2"/>
      <c r="S435" s="2"/>
      <c r="U435" s="2"/>
      <c r="W435" s="2"/>
      <c r="Y435" s="2"/>
      <c r="AA435" s="2"/>
      <c r="AC435" s="2"/>
      <c r="AE435" s="2"/>
    </row>
    <row r="436" spans="1:31" x14ac:dyDescent="0.25">
      <c r="A436" s="2"/>
      <c r="C436" s="2"/>
      <c r="E436" s="2"/>
      <c r="G436" s="2"/>
      <c r="I436" s="2"/>
      <c r="K436" s="2"/>
      <c r="M436" s="2"/>
      <c r="O436" s="2"/>
      <c r="Q436" s="2"/>
      <c r="S436" s="2"/>
      <c r="U436" s="2"/>
      <c r="W436" s="2"/>
      <c r="Y436" s="2"/>
      <c r="AA436" s="2"/>
      <c r="AC436" s="2"/>
      <c r="AE436" s="2"/>
    </row>
    <row r="437" spans="1:31" x14ac:dyDescent="0.25">
      <c r="A437" s="2"/>
      <c r="C437" s="2"/>
      <c r="E437" s="2"/>
      <c r="G437" s="2"/>
      <c r="I437" s="2"/>
      <c r="K437" s="2"/>
      <c r="M437" s="2"/>
      <c r="O437" s="2"/>
      <c r="Q437" s="2"/>
      <c r="S437" s="2"/>
      <c r="U437" s="2"/>
      <c r="W437" s="2"/>
      <c r="Y437" s="2"/>
      <c r="AA437" s="2"/>
      <c r="AC437" s="2"/>
      <c r="AE437" s="2"/>
    </row>
    <row r="438" spans="1:31" x14ac:dyDescent="0.25">
      <c r="A438" s="2"/>
      <c r="C438" s="2"/>
      <c r="E438" s="2"/>
      <c r="G438" s="2"/>
      <c r="I438" s="2"/>
      <c r="K438" s="2"/>
      <c r="M438" s="2"/>
      <c r="O438" s="2"/>
      <c r="Q438" s="2"/>
      <c r="S438" s="2"/>
      <c r="U438" s="2"/>
      <c r="W438" s="2"/>
      <c r="Y438" s="2"/>
      <c r="AA438" s="2"/>
      <c r="AC438" s="2"/>
      <c r="AE438" s="2"/>
    </row>
    <row r="439" spans="1:31" x14ac:dyDescent="0.25">
      <c r="A439" s="2"/>
      <c r="C439" s="2"/>
      <c r="E439" s="2"/>
      <c r="G439" s="2"/>
      <c r="I439" s="2"/>
      <c r="K439" s="2"/>
      <c r="M439" s="2"/>
      <c r="O439" s="2"/>
      <c r="Q439" s="2"/>
      <c r="S439" s="2"/>
      <c r="U439" s="2"/>
      <c r="W439" s="2"/>
      <c r="Y439" s="2"/>
      <c r="AA439" s="2"/>
      <c r="AC439" s="2"/>
      <c r="AE439" s="2"/>
    </row>
    <row r="440" spans="1:31" x14ac:dyDescent="0.25">
      <c r="A440" s="2"/>
      <c r="C440" s="2"/>
      <c r="E440" s="2"/>
      <c r="G440" s="2"/>
      <c r="I440" s="2"/>
      <c r="K440" s="2"/>
      <c r="M440" s="2"/>
      <c r="O440" s="2"/>
      <c r="Q440" s="2"/>
      <c r="S440" s="2"/>
      <c r="U440" s="2"/>
      <c r="W440" s="2"/>
      <c r="Y440" s="2"/>
      <c r="AA440" s="2"/>
      <c r="AC440" s="2"/>
      <c r="AE440" s="2"/>
    </row>
    <row r="441" spans="1:31" x14ac:dyDescent="0.25">
      <c r="A441" s="2"/>
      <c r="C441" s="2"/>
      <c r="E441" s="2"/>
      <c r="G441" s="2"/>
      <c r="I441" s="2"/>
      <c r="K441" s="2"/>
      <c r="M441" s="2"/>
      <c r="O441" s="2"/>
      <c r="Q441" s="2"/>
      <c r="S441" s="2"/>
      <c r="U441" s="2"/>
      <c r="W441" s="2"/>
      <c r="Y441" s="2"/>
      <c r="AA441" s="2"/>
      <c r="AC441" s="2"/>
      <c r="AE441" s="2"/>
    </row>
    <row r="442" spans="1:31" x14ac:dyDescent="0.25">
      <c r="A442" s="2"/>
      <c r="C442" s="2"/>
      <c r="E442" s="2"/>
      <c r="G442" s="2"/>
      <c r="I442" s="2"/>
      <c r="K442" s="2"/>
      <c r="M442" s="2"/>
      <c r="O442" s="2"/>
      <c r="Q442" s="2"/>
      <c r="S442" s="2"/>
      <c r="U442" s="2"/>
      <c r="W442" s="2"/>
      <c r="Y442" s="2"/>
      <c r="AA442" s="2"/>
      <c r="AC442" s="2"/>
      <c r="AE442" s="2"/>
    </row>
    <row r="443" spans="1:31" x14ac:dyDescent="0.25">
      <c r="A443" s="2"/>
      <c r="C443" s="2"/>
      <c r="E443" s="2"/>
      <c r="G443" s="2"/>
      <c r="I443" s="2"/>
      <c r="K443" s="2"/>
      <c r="M443" s="2"/>
      <c r="O443" s="2"/>
      <c r="Q443" s="2"/>
      <c r="S443" s="2"/>
      <c r="U443" s="2"/>
      <c r="W443" s="2"/>
      <c r="Y443" s="2"/>
      <c r="AA443" s="2"/>
      <c r="AC443" s="2"/>
      <c r="AE443" s="2"/>
    </row>
    <row r="444" spans="1:31" x14ac:dyDescent="0.25">
      <c r="A444" s="2"/>
      <c r="C444" s="2"/>
      <c r="E444" s="2"/>
      <c r="G444" s="2"/>
      <c r="I444" s="2"/>
      <c r="K444" s="2"/>
      <c r="M444" s="2"/>
      <c r="O444" s="2"/>
      <c r="Q444" s="2"/>
      <c r="S444" s="2"/>
      <c r="U444" s="2"/>
      <c r="W444" s="2"/>
      <c r="Y444" s="2"/>
      <c r="AA444" s="2"/>
      <c r="AC444" s="2"/>
      <c r="AE444" s="2"/>
    </row>
    <row r="445" spans="1:31" x14ac:dyDescent="0.25">
      <c r="A445" s="2"/>
      <c r="C445" s="2"/>
      <c r="E445" s="2"/>
      <c r="G445" s="2"/>
      <c r="I445" s="2"/>
      <c r="K445" s="2"/>
      <c r="M445" s="2"/>
      <c r="O445" s="2"/>
      <c r="Q445" s="2"/>
      <c r="S445" s="2"/>
      <c r="U445" s="2"/>
      <c r="W445" s="2"/>
      <c r="Y445" s="2"/>
      <c r="AA445" s="2"/>
      <c r="AC445" s="2"/>
      <c r="AE445" s="2"/>
    </row>
    <row r="446" spans="1:31" x14ac:dyDescent="0.25">
      <c r="A446" s="2"/>
      <c r="C446" s="2"/>
      <c r="E446" s="2"/>
      <c r="G446" s="2"/>
      <c r="I446" s="2"/>
      <c r="K446" s="2"/>
      <c r="M446" s="2"/>
      <c r="O446" s="2"/>
      <c r="Q446" s="2"/>
      <c r="S446" s="2"/>
      <c r="U446" s="2"/>
      <c r="W446" s="2"/>
      <c r="Y446" s="2"/>
      <c r="AA446" s="2"/>
      <c r="AC446" s="2"/>
      <c r="AE446" s="2"/>
    </row>
    <row r="447" spans="1:31" x14ac:dyDescent="0.25">
      <c r="A447" s="2"/>
      <c r="C447" s="2"/>
      <c r="E447" s="2"/>
      <c r="G447" s="2"/>
      <c r="I447" s="2"/>
      <c r="K447" s="2"/>
      <c r="M447" s="2"/>
      <c r="O447" s="2"/>
      <c r="Q447" s="2"/>
      <c r="S447" s="2"/>
      <c r="U447" s="2"/>
      <c r="W447" s="2"/>
      <c r="Y447" s="2"/>
      <c r="AA447" s="2"/>
      <c r="AC447" s="2"/>
      <c r="AE447" s="2"/>
    </row>
    <row r="448" spans="1:31" x14ac:dyDescent="0.25">
      <c r="A448" s="2"/>
      <c r="C448" s="2"/>
      <c r="E448" s="2"/>
      <c r="G448" s="2"/>
      <c r="I448" s="2"/>
      <c r="K448" s="2"/>
      <c r="M448" s="2"/>
      <c r="O448" s="2"/>
      <c r="Q448" s="2"/>
      <c r="S448" s="2"/>
      <c r="U448" s="2"/>
      <c r="W448" s="2"/>
      <c r="Y448" s="2"/>
      <c r="AA448" s="2"/>
      <c r="AC448" s="2"/>
      <c r="AE448" s="2"/>
    </row>
    <row r="449" spans="1:31" x14ac:dyDescent="0.25">
      <c r="A449" s="2"/>
      <c r="C449" s="2"/>
      <c r="E449" s="2"/>
      <c r="G449" s="2"/>
      <c r="I449" s="2"/>
      <c r="K449" s="2"/>
      <c r="M449" s="2"/>
      <c r="O449" s="2"/>
      <c r="Q449" s="2"/>
      <c r="S449" s="2"/>
      <c r="U449" s="2"/>
      <c r="W449" s="2"/>
      <c r="Y449" s="2"/>
      <c r="AA449" s="2"/>
      <c r="AC449" s="2"/>
      <c r="AE449" s="2"/>
    </row>
    <row r="450" spans="1:31" x14ac:dyDescent="0.25">
      <c r="A450" s="2"/>
      <c r="C450" s="2"/>
      <c r="E450" s="2"/>
      <c r="G450" s="2"/>
      <c r="I450" s="2"/>
      <c r="K450" s="2"/>
      <c r="M450" s="2"/>
      <c r="O450" s="2"/>
      <c r="Q450" s="2"/>
      <c r="S450" s="2"/>
      <c r="U450" s="2"/>
      <c r="W450" s="2"/>
      <c r="Y450" s="2"/>
      <c r="AA450" s="2"/>
      <c r="AC450" s="2"/>
      <c r="AE450" s="2"/>
    </row>
    <row r="451" spans="1:31" x14ac:dyDescent="0.25">
      <c r="A451" s="2"/>
      <c r="C451" s="2"/>
      <c r="E451" s="2"/>
      <c r="G451" s="2"/>
      <c r="I451" s="2"/>
      <c r="K451" s="2"/>
      <c r="M451" s="2"/>
      <c r="O451" s="2"/>
      <c r="Q451" s="2"/>
      <c r="S451" s="2"/>
      <c r="U451" s="2"/>
      <c r="W451" s="2"/>
      <c r="Y451" s="2"/>
      <c r="AA451" s="2"/>
      <c r="AC451" s="2"/>
      <c r="AE451" s="2"/>
    </row>
    <row r="452" spans="1:31" x14ac:dyDescent="0.25">
      <c r="A452" s="2"/>
      <c r="C452" s="2"/>
      <c r="E452" s="2"/>
      <c r="G452" s="2"/>
      <c r="I452" s="2"/>
      <c r="K452" s="2"/>
      <c r="M452" s="2"/>
      <c r="O452" s="2"/>
      <c r="Q452" s="2"/>
      <c r="S452" s="2"/>
      <c r="U452" s="2"/>
      <c r="W452" s="2"/>
      <c r="Y452" s="2"/>
      <c r="AA452" s="2"/>
      <c r="AC452" s="2"/>
      <c r="AE452" s="2"/>
    </row>
    <row r="453" spans="1:31" x14ac:dyDescent="0.25">
      <c r="A453" s="2"/>
      <c r="C453" s="2"/>
      <c r="E453" s="2"/>
      <c r="G453" s="2"/>
      <c r="I453" s="2"/>
      <c r="K453" s="2"/>
      <c r="M453" s="2"/>
      <c r="O453" s="2"/>
      <c r="Q453" s="2"/>
      <c r="S453" s="2"/>
      <c r="U453" s="2"/>
      <c r="W453" s="2"/>
      <c r="Y453" s="2"/>
      <c r="AA453" s="2"/>
      <c r="AC453" s="2"/>
      <c r="AE453" s="2"/>
    </row>
    <row r="454" spans="1:31" x14ac:dyDescent="0.25">
      <c r="A454" s="2"/>
      <c r="C454" s="2"/>
      <c r="E454" s="2"/>
      <c r="G454" s="2"/>
      <c r="I454" s="2"/>
      <c r="K454" s="2"/>
      <c r="M454" s="2"/>
      <c r="O454" s="2"/>
      <c r="Q454" s="2"/>
      <c r="S454" s="2"/>
      <c r="U454" s="2"/>
      <c r="W454" s="2"/>
      <c r="Y454" s="2"/>
      <c r="AA454" s="2"/>
      <c r="AC454" s="2"/>
      <c r="AE454" s="2"/>
    </row>
    <row r="455" spans="1:31" x14ac:dyDescent="0.25">
      <c r="A455" s="2"/>
      <c r="C455" s="2"/>
      <c r="E455" s="2"/>
      <c r="G455" s="2"/>
      <c r="I455" s="2"/>
      <c r="K455" s="2"/>
      <c r="M455" s="2"/>
      <c r="O455" s="2"/>
      <c r="Q455" s="2"/>
      <c r="S455" s="2"/>
      <c r="U455" s="2"/>
      <c r="W455" s="2"/>
      <c r="Y455" s="2"/>
      <c r="AA455" s="2"/>
      <c r="AC455" s="2"/>
      <c r="AE455" s="2"/>
    </row>
    <row r="456" spans="1:31" x14ac:dyDescent="0.25">
      <c r="A456" s="2"/>
      <c r="C456" s="2"/>
      <c r="E456" s="2"/>
      <c r="G456" s="2"/>
      <c r="I456" s="2"/>
      <c r="K456" s="2"/>
      <c r="M456" s="2"/>
      <c r="O456" s="2"/>
      <c r="Q456" s="2"/>
      <c r="S456" s="2"/>
      <c r="U456" s="2"/>
      <c r="W456" s="2"/>
      <c r="Y456" s="2"/>
      <c r="AA456" s="2"/>
      <c r="AC456" s="2"/>
      <c r="AE456" s="2"/>
    </row>
    <row r="457" spans="1:31" x14ac:dyDescent="0.25">
      <c r="A457" s="2"/>
      <c r="C457" s="2"/>
      <c r="E457" s="2"/>
      <c r="G457" s="2"/>
      <c r="I457" s="2"/>
      <c r="K457" s="2"/>
      <c r="M457" s="2"/>
      <c r="O457" s="2"/>
      <c r="Q457" s="2"/>
      <c r="S457" s="2"/>
      <c r="U457" s="2"/>
      <c r="W457" s="2"/>
      <c r="Y457" s="2"/>
      <c r="AA457" s="2"/>
      <c r="AC457" s="2"/>
      <c r="AE457" s="2"/>
    </row>
    <row r="458" spans="1:31" x14ac:dyDescent="0.25">
      <c r="A458" s="2"/>
      <c r="C458" s="2"/>
      <c r="E458" s="2"/>
      <c r="G458" s="2"/>
      <c r="I458" s="2"/>
      <c r="K458" s="2"/>
      <c r="M458" s="2"/>
      <c r="O458" s="2"/>
      <c r="Q458" s="2"/>
      <c r="S458" s="2"/>
      <c r="U458" s="2"/>
      <c r="W458" s="2"/>
      <c r="Y458" s="2"/>
      <c r="AA458" s="2"/>
      <c r="AC458" s="2"/>
      <c r="AE458" s="2"/>
    </row>
    <row r="459" spans="1:31" x14ac:dyDescent="0.25">
      <c r="A459" s="2"/>
      <c r="C459" s="2"/>
      <c r="E459" s="2"/>
      <c r="G459" s="2"/>
      <c r="I459" s="2"/>
      <c r="K459" s="2"/>
      <c r="M459" s="2"/>
      <c r="O459" s="2"/>
      <c r="Q459" s="2"/>
      <c r="S459" s="2"/>
      <c r="U459" s="2"/>
      <c r="W459" s="2"/>
      <c r="Y459" s="2"/>
      <c r="AA459" s="2"/>
      <c r="AC459" s="2"/>
      <c r="AE459" s="2"/>
    </row>
    <row r="460" spans="1:31" x14ac:dyDescent="0.25">
      <c r="A460" s="2"/>
      <c r="C460" s="2"/>
      <c r="E460" s="2"/>
      <c r="G460" s="2"/>
      <c r="I460" s="2"/>
      <c r="K460" s="2"/>
      <c r="M460" s="2"/>
      <c r="O460" s="2"/>
      <c r="Q460" s="2"/>
      <c r="S460" s="2"/>
      <c r="U460" s="2"/>
      <c r="W460" s="2"/>
      <c r="Y460" s="2"/>
      <c r="AA460" s="2"/>
      <c r="AC460" s="2"/>
      <c r="AE460" s="2"/>
    </row>
    <row r="461" spans="1:31" x14ac:dyDescent="0.25">
      <c r="A461" s="2"/>
      <c r="C461" s="2"/>
      <c r="E461" s="2"/>
      <c r="G461" s="2"/>
      <c r="I461" s="2"/>
      <c r="K461" s="2"/>
      <c r="M461" s="2"/>
      <c r="O461" s="2"/>
      <c r="Q461" s="2"/>
      <c r="S461" s="2"/>
      <c r="U461" s="2"/>
      <c r="W461" s="2"/>
      <c r="Y461" s="2"/>
      <c r="AA461" s="2"/>
      <c r="AC461" s="2"/>
      <c r="AE461" s="2"/>
    </row>
    <row r="462" spans="1:31" x14ac:dyDescent="0.25">
      <c r="A462" s="2"/>
      <c r="C462" s="2"/>
      <c r="E462" s="2"/>
      <c r="G462" s="2"/>
      <c r="I462" s="2"/>
      <c r="K462" s="2"/>
      <c r="M462" s="2"/>
      <c r="O462" s="2"/>
      <c r="Q462" s="2"/>
      <c r="S462" s="2"/>
      <c r="U462" s="2"/>
      <c r="W462" s="2"/>
      <c r="Y462" s="2"/>
      <c r="AA462" s="2"/>
      <c r="AC462" s="2"/>
      <c r="AE462" s="2"/>
    </row>
    <row r="463" spans="1:31" x14ac:dyDescent="0.25">
      <c r="A463" s="2"/>
      <c r="C463" s="2"/>
      <c r="E463" s="2"/>
      <c r="G463" s="2"/>
      <c r="I463" s="2"/>
      <c r="K463" s="2"/>
      <c r="M463" s="2"/>
      <c r="O463" s="2"/>
      <c r="Q463" s="2"/>
      <c r="S463" s="2"/>
      <c r="U463" s="2"/>
      <c r="W463" s="2"/>
      <c r="Y463" s="2"/>
      <c r="AA463" s="2"/>
      <c r="AC463" s="2"/>
      <c r="AE463" s="2"/>
    </row>
    <row r="464" spans="1:31" x14ac:dyDescent="0.25">
      <c r="A464" s="2"/>
      <c r="C464" s="2"/>
      <c r="E464" s="2"/>
      <c r="G464" s="2"/>
      <c r="I464" s="2"/>
      <c r="K464" s="2"/>
      <c r="M464" s="2"/>
      <c r="O464" s="2"/>
      <c r="Q464" s="2"/>
      <c r="S464" s="2"/>
      <c r="U464" s="2"/>
      <c r="W464" s="2"/>
      <c r="Y464" s="2"/>
      <c r="AA464" s="2"/>
      <c r="AC464" s="2"/>
      <c r="AE464" s="2"/>
    </row>
    <row r="465" spans="1:31" x14ac:dyDescent="0.25">
      <c r="A465" s="2"/>
      <c r="C465" s="2"/>
      <c r="E465" s="2"/>
      <c r="G465" s="2"/>
      <c r="I465" s="2"/>
      <c r="K465" s="2"/>
      <c r="M465" s="2"/>
      <c r="O465" s="2"/>
      <c r="Q465" s="2"/>
      <c r="S465" s="2"/>
      <c r="U465" s="2"/>
      <c r="W465" s="2"/>
      <c r="Y465" s="2"/>
      <c r="AA465" s="2"/>
      <c r="AC465" s="2"/>
      <c r="AE465" s="2"/>
    </row>
    <row r="466" spans="1:31" x14ac:dyDescent="0.25">
      <c r="A466" s="2"/>
      <c r="C466" s="2"/>
      <c r="E466" s="2"/>
      <c r="G466" s="2"/>
      <c r="I466" s="2"/>
      <c r="K466" s="2"/>
      <c r="M466" s="2"/>
      <c r="O466" s="2"/>
      <c r="Q466" s="2"/>
      <c r="S466" s="2"/>
      <c r="U466" s="2"/>
      <c r="W466" s="2"/>
      <c r="Y466" s="2"/>
      <c r="AA466" s="2"/>
      <c r="AC466" s="2"/>
      <c r="AE466" s="2"/>
    </row>
    <row r="467" spans="1:31" x14ac:dyDescent="0.25">
      <c r="A467" s="2"/>
      <c r="C467" s="2"/>
      <c r="E467" s="2"/>
      <c r="G467" s="2"/>
      <c r="I467" s="2"/>
      <c r="K467" s="2"/>
      <c r="M467" s="2"/>
      <c r="O467" s="2"/>
      <c r="Q467" s="2"/>
      <c r="S467" s="2"/>
      <c r="U467" s="2"/>
      <c r="W467" s="2"/>
      <c r="Y467" s="2"/>
      <c r="AA467" s="2"/>
      <c r="AC467" s="2"/>
      <c r="AE467" s="2"/>
    </row>
    <row r="468" spans="1:31" x14ac:dyDescent="0.25">
      <c r="A468" s="2"/>
      <c r="C468" s="2"/>
      <c r="E468" s="2"/>
      <c r="G468" s="2"/>
      <c r="I468" s="2"/>
      <c r="K468" s="2"/>
      <c r="M468" s="2"/>
      <c r="O468" s="2"/>
      <c r="Q468" s="2"/>
      <c r="S468" s="2"/>
      <c r="U468" s="2"/>
      <c r="W468" s="2"/>
      <c r="Y468" s="2"/>
      <c r="AA468" s="2"/>
      <c r="AC468" s="2"/>
      <c r="AE468" s="2"/>
    </row>
    <row r="469" spans="1:31" x14ac:dyDescent="0.25">
      <c r="A469" s="2"/>
      <c r="C469" s="2"/>
      <c r="E469" s="2"/>
      <c r="G469" s="2"/>
      <c r="I469" s="2"/>
      <c r="K469" s="2"/>
      <c r="M469" s="2"/>
      <c r="O469" s="2"/>
      <c r="Q469" s="2"/>
      <c r="S469" s="2"/>
      <c r="U469" s="2"/>
      <c r="W469" s="2"/>
      <c r="Y469" s="2"/>
      <c r="AA469" s="2"/>
      <c r="AC469" s="2"/>
      <c r="AE469" s="2"/>
    </row>
    <row r="470" spans="1:31" x14ac:dyDescent="0.25">
      <c r="A470" s="2"/>
      <c r="C470" s="2"/>
      <c r="E470" s="2"/>
      <c r="G470" s="2"/>
      <c r="I470" s="2"/>
      <c r="K470" s="2"/>
      <c r="M470" s="2"/>
      <c r="O470" s="2"/>
      <c r="Q470" s="2"/>
      <c r="S470" s="2"/>
      <c r="U470" s="2"/>
      <c r="W470" s="2"/>
      <c r="Y470" s="2"/>
      <c r="AA470" s="2"/>
      <c r="AC470" s="2"/>
      <c r="AE470" s="2"/>
    </row>
    <row r="471" spans="1:31" x14ac:dyDescent="0.25">
      <c r="A471" s="2"/>
      <c r="C471" s="2"/>
      <c r="E471" s="2"/>
      <c r="G471" s="2"/>
      <c r="I471" s="2"/>
      <c r="K471" s="2"/>
      <c r="M471" s="2"/>
      <c r="O471" s="2"/>
      <c r="Q471" s="2"/>
      <c r="S471" s="2"/>
      <c r="U471" s="2"/>
      <c r="W471" s="2"/>
      <c r="Y471" s="2"/>
      <c r="AA471" s="2"/>
      <c r="AC471" s="2"/>
      <c r="AE471" s="2"/>
    </row>
    <row r="472" spans="1:31" x14ac:dyDescent="0.25">
      <c r="A472" s="2"/>
      <c r="C472" s="2"/>
      <c r="E472" s="2"/>
      <c r="G472" s="2"/>
      <c r="I472" s="2"/>
      <c r="K472" s="2"/>
      <c r="M472" s="2"/>
      <c r="O472" s="2"/>
      <c r="Q472" s="2"/>
      <c r="S472" s="2"/>
      <c r="U472" s="2"/>
      <c r="W472" s="2"/>
      <c r="Y472" s="2"/>
      <c r="AA472" s="2"/>
      <c r="AC472" s="2"/>
      <c r="AE472" s="2"/>
    </row>
    <row r="473" spans="1:31" x14ac:dyDescent="0.25">
      <c r="A473" s="2"/>
      <c r="C473" s="2"/>
      <c r="E473" s="2"/>
      <c r="G473" s="2"/>
      <c r="I473" s="2"/>
      <c r="K473" s="2"/>
      <c r="M473" s="2"/>
      <c r="O473" s="2"/>
      <c r="Q473" s="2"/>
      <c r="S473" s="2"/>
      <c r="U473" s="2"/>
      <c r="W473" s="2"/>
      <c r="Y473" s="2"/>
      <c r="AA473" s="2"/>
      <c r="AC473" s="2"/>
      <c r="AE473" s="2"/>
    </row>
    <row r="474" spans="1:31" x14ac:dyDescent="0.25">
      <c r="A474" s="2"/>
      <c r="C474" s="2"/>
      <c r="E474" s="2"/>
      <c r="G474" s="2"/>
      <c r="I474" s="2"/>
      <c r="K474" s="2"/>
      <c r="M474" s="2"/>
      <c r="O474" s="2"/>
      <c r="Q474" s="2"/>
      <c r="S474" s="2"/>
      <c r="U474" s="2"/>
      <c r="W474" s="2"/>
      <c r="Y474" s="2"/>
      <c r="AA474" s="2"/>
      <c r="AC474" s="2"/>
      <c r="AE474" s="2"/>
    </row>
    <row r="475" spans="1:31" x14ac:dyDescent="0.25">
      <c r="A475" s="2"/>
      <c r="C475" s="2"/>
      <c r="E475" s="2"/>
      <c r="G475" s="2"/>
      <c r="I475" s="2"/>
      <c r="K475" s="2"/>
      <c r="M475" s="2"/>
      <c r="O475" s="2"/>
      <c r="Q475" s="2"/>
      <c r="S475" s="2"/>
      <c r="U475" s="2"/>
      <c r="W475" s="2"/>
      <c r="Y475" s="2"/>
      <c r="AA475" s="2"/>
      <c r="AC475" s="2"/>
      <c r="AE475" s="2"/>
    </row>
    <row r="476" spans="1:31" x14ac:dyDescent="0.25">
      <c r="A476" s="2"/>
      <c r="C476" s="2"/>
      <c r="E476" s="2"/>
      <c r="G476" s="2"/>
      <c r="I476" s="2"/>
      <c r="K476" s="2"/>
      <c r="M476" s="2"/>
      <c r="O476" s="2"/>
      <c r="Q476" s="2"/>
      <c r="S476" s="2"/>
      <c r="U476" s="2"/>
      <c r="W476" s="2"/>
      <c r="Y476" s="2"/>
      <c r="AA476" s="2"/>
      <c r="AC476" s="2"/>
      <c r="AE476" s="2"/>
    </row>
    <row r="477" spans="1:31" x14ac:dyDescent="0.25">
      <c r="A477" s="2"/>
      <c r="C477" s="2"/>
      <c r="E477" s="2"/>
      <c r="G477" s="2"/>
      <c r="I477" s="2"/>
      <c r="K477" s="2"/>
      <c r="M477" s="2"/>
      <c r="O477" s="2"/>
      <c r="Q477" s="2"/>
      <c r="S477" s="2"/>
      <c r="U477" s="2"/>
      <c r="W477" s="2"/>
      <c r="Y477" s="2"/>
      <c r="AA477" s="2"/>
      <c r="AC477" s="2"/>
      <c r="AE477" s="2"/>
    </row>
    <row r="478" spans="1:31" x14ac:dyDescent="0.25">
      <c r="A478" s="2"/>
      <c r="C478" s="2"/>
      <c r="E478" s="2"/>
      <c r="G478" s="2"/>
      <c r="I478" s="2"/>
      <c r="K478" s="2"/>
      <c r="M478" s="2"/>
      <c r="O478" s="2"/>
      <c r="Q478" s="2"/>
      <c r="S478" s="2"/>
      <c r="U478" s="2"/>
      <c r="W478" s="2"/>
      <c r="Y478" s="2"/>
      <c r="AA478" s="2"/>
      <c r="AC478" s="2"/>
      <c r="AE478" s="2"/>
    </row>
    <row r="479" spans="1:31" x14ac:dyDescent="0.25">
      <c r="A479" s="2"/>
      <c r="C479" s="2"/>
      <c r="E479" s="2"/>
      <c r="G479" s="2"/>
      <c r="I479" s="2"/>
      <c r="K479" s="2"/>
      <c r="M479" s="2"/>
      <c r="O479" s="2"/>
      <c r="Q479" s="2"/>
      <c r="S479" s="2"/>
      <c r="U479" s="2"/>
      <c r="W479" s="2"/>
      <c r="Y479" s="2"/>
      <c r="AA479" s="2"/>
      <c r="AC479" s="2"/>
      <c r="AE479" s="2"/>
    </row>
    <row r="480" spans="1:31" x14ac:dyDescent="0.25">
      <c r="A480" s="2"/>
      <c r="C480" s="2"/>
      <c r="E480" s="2"/>
      <c r="G480" s="2"/>
      <c r="I480" s="2"/>
      <c r="K480" s="2"/>
      <c r="M480" s="2"/>
      <c r="O480" s="2"/>
      <c r="Q480" s="2"/>
      <c r="S480" s="2"/>
      <c r="U480" s="2"/>
      <c r="W480" s="2"/>
      <c r="Y480" s="2"/>
      <c r="AA480" s="2"/>
      <c r="AC480" s="2"/>
      <c r="AE480" s="2"/>
    </row>
    <row r="481" spans="1:31" x14ac:dyDescent="0.25">
      <c r="A481" s="2"/>
      <c r="C481" s="2"/>
      <c r="E481" s="2"/>
      <c r="G481" s="2"/>
      <c r="I481" s="2"/>
      <c r="K481" s="2"/>
      <c r="M481" s="2"/>
      <c r="O481" s="2"/>
      <c r="Q481" s="2"/>
      <c r="S481" s="2"/>
      <c r="U481" s="2"/>
      <c r="W481" s="2"/>
      <c r="Y481" s="2"/>
      <c r="AA481" s="2"/>
      <c r="AC481" s="2"/>
      <c r="AE481" s="2"/>
    </row>
    <row r="482" spans="1:31" x14ac:dyDescent="0.25">
      <c r="A482" s="2"/>
      <c r="C482" s="2"/>
      <c r="E482" s="2"/>
      <c r="G482" s="2"/>
      <c r="I482" s="2"/>
      <c r="K482" s="2"/>
      <c r="M482" s="2"/>
      <c r="O482" s="2"/>
      <c r="Q482" s="2"/>
      <c r="S482" s="2"/>
      <c r="U482" s="2"/>
      <c r="W482" s="2"/>
      <c r="Y482" s="2"/>
      <c r="AA482" s="2"/>
      <c r="AC482" s="2"/>
      <c r="AE482" s="2"/>
    </row>
    <row r="483" spans="1:31" x14ac:dyDescent="0.25">
      <c r="A483" s="2"/>
      <c r="C483" s="2"/>
      <c r="E483" s="2"/>
      <c r="G483" s="2"/>
      <c r="I483" s="2"/>
      <c r="K483" s="2"/>
      <c r="M483" s="2"/>
      <c r="O483" s="2"/>
      <c r="Q483" s="2"/>
      <c r="S483" s="2"/>
      <c r="U483" s="2"/>
      <c r="W483" s="2"/>
      <c r="Y483" s="2"/>
      <c r="AA483" s="2"/>
      <c r="AC483" s="2"/>
      <c r="AE483" s="2"/>
    </row>
    <row r="484" spans="1:31" x14ac:dyDescent="0.25">
      <c r="A484" s="2"/>
      <c r="C484" s="2"/>
      <c r="E484" s="2"/>
      <c r="G484" s="2"/>
      <c r="I484" s="2"/>
      <c r="K484" s="2"/>
      <c r="M484" s="2"/>
      <c r="O484" s="2"/>
      <c r="Q484" s="2"/>
      <c r="S484" s="2"/>
      <c r="U484" s="2"/>
      <c r="W484" s="2"/>
      <c r="Y484" s="2"/>
      <c r="AA484" s="2"/>
      <c r="AC484" s="2"/>
      <c r="AE484" s="2"/>
    </row>
    <row r="485" spans="1:31" x14ac:dyDescent="0.25">
      <c r="A485" s="2"/>
      <c r="C485" s="2"/>
      <c r="E485" s="2"/>
      <c r="G485" s="2"/>
      <c r="I485" s="2"/>
      <c r="K485" s="2"/>
      <c r="M485" s="2"/>
      <c r="O485" s="2"/>
      <c r="Q485" s="2"/>
      <c r="S485" s="2"/>
      <c r="U485" s="2"/>
      <c r="W485" s="2"/>
      <c r="Y485" s="2"/>
      <c r="AA485" s="2"/>
      <c r="AC485" s="2"/>
      <c r="AE485" s="2"/>
    </row>
    <row r="486" spans="1:31" x14ac:dyDescent="0.25">
      <c r="A486" s="2"/>
      <c r="C486" s="2"/>
      <c r="E486" s="2"/>
      <c r="G486" s="2"/>
      <c r="I486" s="2"/>
      <c r="K486" s="2"/>
      <c r="M486" s="2"/>
      <c r="O486" s="2"/>
      <c r="Q486" s="2"/>
      <c r="S486" s="2"/>
      <c r="U486" s="2"/>
      <c r="W486" s="2"/>
      <c r="Y486" s="2"/>
      <c r="AA486" s="2"/>
      <c r="AC486" s="2"/>
      <c r="AE486" s="2"/>
    </row>
    <row r="487" spans="1:31" x14ac:dyDescent="0.25">
      <c r="A487" s="2"/>
      <c r="C487" s="2"/>
      <c r="E487" s="2"/>
      <c r="G487" s="2"/>
      <c r="I487" s="2"/>
      <c r="K487" s="2"/>
      <c r="M487" s="2"/>
      <c r="O487" s="2"/>
      <c r="Q487" s="2"/>
      <c r="S487" s="2"/>
      <c r="U487" s="2"/>
      <c r="W487" s="2"/>
      <c r="Y487" s="2"/>
      <c r="AA487" s="2"/>
      <c r="AC487" s="2"/>
      <c r="AE487" s="2"/>
    </row>
    <row r="488" spans="1:31" x14ac:dyDescent="0.25">
      <c r="A488" s="2"/>
      <c r="C488" s="2"/>
      <c r="E488" s="2"/>
      <c r="G488" s="2"/>
      <c r="I488" s="2"/>
      <c r="K488" s="2"/>
      <c r="M488" s="2"/>
      <c r="O488" s="2"/>
      <c r="Q488" s="2"/>
      <c r="S488" s="2"/>
      <c r="U488" s="2"/>
      <c r="W488" s="2"/>
      <c r="Y488" s="2"/>
      <c r="AA488" s="2"/>
      <c r="AC488" s="2"/>
      <c r="AE488" s="2"/>
    </row>
    <row r="489" spans="1:31" x14ac:dyDescent="0.25">
      <c r="A489" s="2"/>
      <c r="C489" s="2"/>
      <c r="E489" s="2"/>
      <c r="G489" s="2"/>
      <c r="I489" s="2"/>
      <c r="K489" s="2"/>
      <c r="M489" s="2"/>
      <c r="O489" s="2"/>
      <c r="Q489" s="2"/>
      <c r="S489" s="2"/>
      <c r="U489" s="2"/>
      <c r="W489" s="2"/>
      <c r="Y489" s="2"/>
      <c r="AA489" s="2"/>
      <c r="AC489" s="2"/>
      <c r="AE489" s="2"/>
    </row>
    <row r="490" spans="1:31" x14ac:dyDescent="0.25">
      <c r="A490" s="2"/>
      <c r="C490" s="2"/>
      <c r="E490" s="2"/>
      <c r="G490" s="2"/>
      <c r="I490" s="2"/>
      <c r="K490" s="2"/>
      <c r="M490" s="2"/>
      <c r="O490" s="2"/>
      <c r="Q490" s="2"/>
      <c r="S490" s="2"/>
      <c r="U490" s="2"/>
      <c r="W490" s="2"/>
      <c r="Y490" s="2"/>
      <c r="AA490" s="2"/>
      <c r="AC490" s="2"/>
      <c r="AE490" s="2"/>
    </row>
    <row r="491" spans="1:31" x14ac:dyDescent="0.25">
      <c r="A491" s="2"/>
      <c r="C491" s="2"/>
      <c r="E491" s="2"/>
      <c r="G491" s="2"/>
      <c r="I491" s="2"/>
      <c r="K491" s="2"/>
      <c r="M491" s="2"/>
      <c r="O491" s="2"/>
      <c r="Q491" s="2"/>
      <c r="S491" s="2"/>
      <c r="U491" s="2"/>
      <c r="W491" s="2"/>
      <c r="Y491" s="2"/>
      <c r="AA491" s="2"/>
      <c r="AC491" s="2"/>
      <c r="AE491" s="2"/>
    </row>
    <row r="492" spans="1:31" x14ac:dyDescent="0.25">
      <c r="A492" s="2"/>
      <c r="C492" s="2"/>
      <c r="E492" s="2"/>
      <c r="G492" s="2"/>
      <c r="I492" s="2"/>
      <c r="K492" s="2"/>
      <c r="M492" s="2"/>
      <c r="O492" s="2"/>
      <c r="Q492" s="2"/>
      <c r="S492" s="2"/>
      <c r="U492" s="2"/>
      <c r="W492" s="2"/>
      <c r="Y492" s="2"/>
      <c r="AA492" s="2"/>
      <c r="AC492" s="2"/>
      <c r="AE492" s="2"/>
    </row>
    <row r="493" spans="1:31" x14ac:dyDescent="0.25">
      <c r="A493" s="2"/>
      <c r="C493" s="2"/>
      <c r="E493" s="2"/>
      <c r="G493" s="2"/>
      <c r="I493" s="2"/>
      <c r="K493" s="2"/>
      <c r="M493" s="2"/>
      <c r="O493" s="2"/>
      <c r="Q493" s="2"/>
      <c r="S493" s="2"/>
      <c r="U493" s="2"/>
      <c r="W493" s="2"/>
      <c r="Y493" s="2"/>
      <c r="AA493" s="2"/>
      <c r="AC493" s="2"/>
      <c r="AE493" s="2"/>
    </row>
    <row r="494" spans="1:31" x14ac:dyDescent="0.25">
      <c r="A494" s="2"/>
      <c r="C494" s="2"/>
      <c r="E494" s="2"/>
      <c r="G494" s="2"/>
      <c r="I494" s="2"/>
      <c r="K494" s="2"/>
      <c r="M494" s="2"/>
      <c r="O494" s="2"/>
      <c r="Q494" s="2"/>
      <c r="S494" s="2"/>
      <c r="U494" s="2"/>
      <c r="W494" s="2"/>
      <c r="Y494" s="2"/>
      <c r="AA494" s="2"/>
      <c r="AC494" s="2"/>
      <c r="AE494" s="2"/>
    </row>
    <row r="495" spans="1:31" x14ac:dyDescent="0.25">
      <c r="A495" s="2"/>
      <c r="C495" s="2"/>
      <c r="E495" s="2"/>
      <c r="G495" s="2"/>
      <c r="I495" s="2"/>
      <c r="K495" s="2"/>
      <c r="M495" s="2"/>
      <c r="O495" s="2"/>
      <c r="Q495" s="2"/>
      <c r="S495" s="2"/>
      <c r="U495" s="2"/>
      <c r="W495" s="2"/>
      <c r="Y495" s="2"/>
      <c r="AA495" s="2"/>
      <c r="AC495" s="2"/>
      <c r="AE495" s="2"/>
    </row>
    <row r="496" spans="1:31" x14ac:dyDescent="0.25">
      <c r="A496" s="2"/>
      <c r="C496" s="2"/>
      <c r="E496" s="2"/>
      <c r="G496" s="2"/>
      <c r="I496" s="2"/>
      <c r="K496" s="2"/>
      <c r="M496" s="2"/>
      <c r="O496" s="2"/>
      <c r="Q496" s="2"/>
      <c r="S496" s="2"/>
      <c r="U496" s="2"/>
      <c r="W496" s="2"/>
      <c r="Y496" s="2"/>
      <c r="AA496" s="2"/>
      <c r="AC496" s="2"/>
      <c r="AE496" s="2"/>
    </row>
    <row r="497" spans="1:32" x14ac:dyDescent="0.25">
      <c r="A497" s="2"/>
      <c r="C497" s="2"/>
      <c r="E497" s="2"/>
      <c r="G497" s="2"/>
      <c r="I497" s="2"/>
      <c r="K497" s="2"/>
      <c r="M497" s="2"/>
      <c r="O497" s="2"/>
      <c r="Q497" s="2"/>
      <c r="S497" s="2"/>
      <c r="U497" s="2"/>
      <c r="W497" s="2"/>
      <c r="Y497" s="2"/>
      <c r="AA497" s="2"/>
      <c r="AC497" s="2"/>
      <c r="AE497" s="2"/>
    </row>
    <row r="498" spans="1:32" x14ac:dyDescent="0.25">
      <c r="A498" s="2"/>
      <c r="C498" s="2"/>
      <c r="E498" s="2"/>
      <c r="G498" s="2"/>
      <c r="I498" s="2"/>
      <c r="K498" s="2"/>
      <c r="M498" s="2"/>
      <c r="O498" s="2"/>
      <c r="Q498" s="2"/>
      <c r="S498" s="2"/>
      <c r="U498" s="2"/>
      <c r="W498" s="2"/>
      <c r="Y498" s="2"/>
      <c r="AA498" s="2"/>
      <c r="AC498" s="2"/>
      <c r="AE498" s="2"/>
    </row>
    <row r="499" spans="1:32" x14ac:dyDescent="0.25">
      <c r="A499" s="2"/>
      <c r="C499" s="2"/>
      <c r="E499" s="2"/>
      <c r="G499" s="2"/>
      <c r="I499" s="2"/>
      <c r="K499" s="2"/>
      <c r="M499" s="2"/>
      <c r="O499" s="2"/>
      <c r="Q499" s="2"/>
      <c r="S499" s="2"/>
      <c r="U499" s="2"/>
      <c r="W499" s="2"/>
      <c r="Y499" s="2"/>
      <c r="AA499" s="2"/>
      <c r="AC499" s="2"/>
      <c r="AE499" s="2"/>
    </row>
    <row r="500" spans="1:32" x14ac:dyDescent="0.25">
      <c r="A500" s="2"/>
      <c r="C500" s="2"/>
      <c r="E500" s="2"/>
      <c r="G500" s="2"/>
      <c r="I500" s="2"/>
      <c r="K500" s="2"/>
      <c r="M500" s="2"/>
      <c r="O500" s="2"/>
      <c r="Q500" s="2"/>
      <c r="S500" s="2"/>
      <c r="U500" s="2"/>
      <c r="W500" s="2"/>
      <c r="Y500" s="2"/>
      <c r="AA500" s="2"/>
      <c r="AC500" s="2"/>
      <c r="AE500" s="2"/>
    </row>
    <row r="501" spans="1:32" x14ac:dyDescent="0.25">
      <c r="A501" s="61"/>
      <c r="B501" s="62"/>
      <c r="C501" s="61"/>
      <c r="D501" s="62"/>
      <c r="E501" s="61"/>
      <c r="F501" s="62"/>
      <c r="G501" s="61"/>
      <c r="H501" s="62"/>
      <c r="I501" s="61"/>
      <c r="J501" s="62"/>
      <c r="K501" s="61"/>
      <c r="L501" s="62"/>
      <c r="M501" s="61"/>
      <c r="N501" s="62"/>
      <c r="O501" s="61"/>
      <c r="P501" s="62"/>
      <c r="Q501" s="61"/>
      <c r="R501" s="62"/>
      <c r="S501" s="61"/>
      <c r="T501" s="62"/>
      <c r="U501" s="61"/>
      <c r="V501" s="62"/>
      <c r="W501" s="61"/>
      <c r="X501" s="62"/>
      <c r="Y501" s="61"/>
      <c r="Z501" s="62"/>
      <c r="AA501" s="61"/>
      <c r="AB501" s="62"/>
      <c r="AC501" s="61"/>
      <c r="AD501" s="62"/>
      <c r="AE501" s="61"/>
      <c r="AF501" s="62"/>
    </row>
    <row r="502" spans="1:32" x14ac:dyDescent="0.25">
      <c r="A502" s="61"/>
      <c r="B502" s="62"/>
      <c r="C502" s="61"/>
      <c r="D502" s="62"/>
      <c r="E502" s="61"/>
      <c r="F502" s="62"/>
      <c r="G502" s="61"/>
      <c r="H502" s="62"/>
      <c r="I502" s="61"/>
      <c r="J502" s="62"/>
      <c r="K502" s="61"/>
      <c r="L502" s="62"/>
      <c r="M502" s="61"/>
      <c r="N502" s="62"/>
      <c r="O502" s="61"/>
      <c r="P502" s="62"/>
      <c r="Q502" s="61"/>
      <c r="R502" s="62"/>
      <c r="S502" s="61"/>
      <c r="T502" s="62"/>
      <c r="U502" s="61"/>
      <c r="V502" s="62"/>
      <c r="W502" s="61"/>
      <c r="X502" s="62"/>
      <c r="Y502" s="61"/>
      <c r="Z502" s="62"/>
      <c r="AA502" s="61"/>
      <c r="AB502" s="62"/>
      <c r="AC502" s="61"/>
      <c r="AD502" s="62"/>
      <c r="AE502" s="61"/>
      <c r="AF502" s="62"/>
    </row>
    <row r="503" spans="1:32" x14ac:dyDescent="0.25">
      <c r="A503" s="61"/>
      <c r="B503" s="62"/>
      <c r="C503" s="61"/>
      <c r="D503" s="62"/>
      <c r="E503" s="61"/>
      <c r="F503" s="62"/>
      <c r="G503" s="61"/>
      <c r="H503" s="62"/>
      <c r="I503" s="61"/>
      <c r="J503" s="62"/>
      <c r="K503" s="61"/>
      <c r="L503" s="62"/>
      <c r="M503" s="61"/>
      <c r="N503" s="62"/>
      <c r="O503" s="61"/>
      <c r="P503" s="62"/>
      <c r="Q503" s="61"/>
      <c r="R503" s="62"/>
      <c r="S503" s="61"/>
      <c r="T503" s="62"/>
      <c r="U503" s="61"/>
      <c r="V503" s="62"/>
      <c r="W503" s="61"/>
      <c r="X503" s="62"/>
      <c r="Y503" s="61"/>
      <c r="Z503" s="62"/>
      <c r="AA503" s="61"/>
      <c r="AB503" s="62"/>
      <c r="AC503" s="61"/>
      <c r="AD503" s="62"/>
      <c r="AE503" s="61"/>
      <c r="AF503" s="62"/>
    </row>
    <row r="504" spans="1:32" x14ac:dyDescent="0.25">
      <c r="A504" s="60"/>
      <c r="B504" s="60"/>
      <c r="C504" s="60"/>
      <c r="D504" s="60"/>
      <c r="E504" s="60"/>
      <c r="F504" s="60"/>
      <c r="G504" s="60"/>
      <c r="H504" s="60"/>
      <c r="I504" s="60"/>
      <c r="J504" s="60"/>
      <c r="K504" s="60"/>
      <c r="L504" s="60"/>
      <c r="M504" s="60"/>
      <c r="N504" s="60"/>
      <c r="O504" s="60"/>
      <c r="P504" s="60"/>
      <c r="Q504" s="60"/>
      <c r="R504" s="60"/>
      <c r="S504" s="60"/>
      <c r="T504" s="60"/>
      <c r="U504" s="60"/>
      <c r="V504" s="60"/>
      <c r="W504" s="60"/>
      <c r="X504" s="60"/>
      <c r="Y504" s="60"/>
      <c r="Z504" s="60"/>
      <c r="AA504" s="60"/>
      <c r="AB504" s="60"/>
      <c r="AC504" s="60"/>
      <c r="AD504" s="60"/>
      <c r="AE504" s="60"/>
      <c r="AF504" s="60"/>
    </row>
  </sheetData>
  <mergeCells count="10">
    <mergeCell ref="A10:AF10"/>
    <mergeCell ref="A1:AF1"/>
    <mergeCell ref="A2:AF2"/>
    <mergeCell ref="A3:AF3"/>
    <mergeCell ref="A9:B9"/>
    <mergeCell ref="A4:C4"/>
    <mergeCell ref="A5:B5"/>
    <mergeCell ref="A6:B6"/>
    <mergeCell ref="A7:B7"/>
    <mergeCell ref="A8:B8"/>
  </mergeCell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Get_Dfs">
                <anchor moveWithCells="1" sizeWithCells="1">
                  <from>
                    <xdr:col>3</xdr:col>
                    <xdr:colOff>47625</xdr:colOff>
                    <xdr:row>2</xdr:row>
                    <xdr:rowOff>257175</xdr:rowOff>
                  </from>
                  <to>
                    <xdr:col>4</xdr:col>
                    <xdr:colOff>523875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2F90F-6A21-4D14-9F35-DAA1DC340DBB}">
  <sheetPr codeName="Sheet1"/>
  <dimension ref="A1:CQ192"/>
  <sheetViews>
    <sheetView topLeftCell="CJ1" workbookViewId="0">
      <selection activeCell="F27" sqref="F26:F27"/>
    </sheetView>
  </sheetViews>
  <sheetFormatPr defaultRowHeight="15" x14ac:dyDescent="0.25"/>
  <cols>
    <col min="1" max="3" width="17.85546875" style="20" customWidth="1"/>
    <col min="4" max="4" width="21.28515625" style="20" customWidth="1"/>
    <col min="5" max="6" width="17.85546875" style="20" customWidth="1"/>
    <col min="7" max="7" width="20.140625" bestFit="1" customWidth="1"/>
    <col min="8" max="8" width="20.140625" style="3" customWidth="1"/>
    <col min="9" max="9" width="17.85546875" style="20" customWidth="1"/>
    <col min="10" max="10" width="20.140625" bestFit="1" customWidth="1"/>
    <col min="11" max="13" width="20.140625" style="3" customWidth="1"/>
    <col min="14" max="14" width="17.85546875" style="20" customWidth="1"/>
    <col min="16" max="16" width="20.140625" style="3" customWidth="1"/>
    <col min="17" max="17" width="17.85546875" style="20" customWidth="1"/>
    <col min="19" max="19" width="20.140625" style="3" customWidth="1"/>
    <col min="20" max="20" width="17.85546875" style="20" customWidth="1"/>
    <col min="22" max="22" width="20.140625" style="3" customWidth="1"/>
    <col min="23" max="23" width="17.85546875" style="20" customWidth="1"/>
    <col min="25" max="25" width="20.140625" style="3" customWidth="1"/>
    <col min="26" max="26" width="17.85546875" style="20" customWidth="1"/>
    <col min="27" max="27" width="10" bestFit="1" customWidth="1"/>
    <col min="28" max="28" width="20.140625" style="3" customWidth="1"/>
    <col min="29" max="29" width="17.85546875" style="20" customWidth="1"/>
    <col min="31" max="31" width="20.140625" style="3" customWidth="1"/>
    <col min="32" max="32" width="17.85546875" style="20" customWidth="1"/>
    <col min="34" max="34" width="20.140625" style="3" customWidth="1"/>
    <col min="35" max="35" width="17.85546875" style="20" customWidth="1"/>
    <col min="37" max="37" width="20.140625" style="3" customWidth="1"/>
    <col min="38" max="38" width="17.85546875" style="20" customWidth="1"/>
    <col min="40" max="40" width="20.140625" style="3" customWidth="1"/>
    <col min="41" max="41" width="17.85546875" style="20" customWidth="1"/>
    <col min="43" max="43" width="20.140625" style="3" customWidth="1"/>
    <col min="44" max="44" width="17.85546875" style="20" customWidth="1"/>
    <col min="46" max="46" width="20.140625" style="3" customWidth="1"/>
    <col min="47" max="47" width="17.85546875" style="20" customWidth="1"/>
    <col min="49" max="49" width="20.140625" style="3" customWidth="1"/>
    <col min="50" max="50" width="17.85546875" style="20" customWidth="1"/>
    <col min="52" max="52" width="20.140625" style="3" customWidth="1"/>
    <col min="53" max="53" width="17.85546875" style="20" customWidth="1"/>
    <col min="55" max="55" width="20.140625" style="3" customWidth="1"/>
    <col min="56" max="56" width="17.85546875" style="20" customWidth="1"/>
    <col min="58" max="58" width="20.140625" style="3" customWidth="1"/>
    <col min="59" max="59" width="17.85546875" style="20" customWidth="1"/>
    <col min="61" max="61" width="20.140625" style="3" customWidth="1"/>
    <col min="62" max="62" width="17.85546875" style="20" customWidth="1"/>
    <col min="64" max="64" width="20.140625" style="3" customWidth="1"/>
    <col min="65" max="65" width="17.85546875" style="20" customWidth="1"/>
    <col min="67" max="67" width="20.140625" style="3" customWidth="1"/>
    <col min="68" max="68" width="17.85546875" style="20" customWidth="1"/>
    <col min="70" max="70" width="20.140625" style="3" customWidth="1"/>
    <col min="71" max="71" width="17.85546875" style="20" customWidth="1"/>
    <col min="73" max="73" width="20.140625" style="3" customWidth="1"/>
    <col min="74" max="74" width="17.85546875" style="20" customWidth="1"/>
    <col min="76" max="76" width="20.140625" style="3" customWidth="1"/>
    <col min="77" max="77" width="17.85546875" style="20" customWidth="1"/>
    <col min="79" max="79" width="20.140625" style="3" customWidth="1"/>
    <col min="80" max="80" width="17.85546875" style="20" customWidth="1"/>
    <col min="82" max="82" width="20.140625" style="3" customWidth="1"/>
    <col min="83" max="83" width="17.85546875" style="20" customWidth="1"/>
    <col min="85" max="85" width="20.140625" style="3" customWidth="1"/>
    <col min="86" max="86" width="17.85546875" style="20" customWidth="1"/>
    <col min="88" max="88" width="20.140625" style="3" customWidth="1"/>
    <col min="89" max="89" width="17.85546875" style="20" customWidth="1"/>
    <col min="91" max="92" width="12.7109375" customWidth="1"/>
    <col min="94" max="95" width="12.7109375" customWidth="1"/>
  </cols>
  <sheetData>
    <row r="1" spans="1:95" x14ac:dyDescent="0.25">
      <c r="A1" s="3" t="s">
        <v>25</v>
      </c>
      <c r="B1" s="20" t="s">
        <v>483</v>
      </c>
      <c r="D1" s="3" t="s">
        <v>25</v>
      </c>
      <c r="E1" s="20" t="s">
        <v>483</v>
      </c>
      <c r="G1" s="3" t="s">
        <v>25</v>
      </c>
      <c r="H1" s="20" t="s">
        <v>483</v>
      </c>
      <c r="J1" s="3" t="s">
        <v>25</v>
      </c>
      <c r="K1" s="20" t="s">
        <v>483</v>
      </c>
      <c r="L1" s="20"/>
      <c r="M1" s="3" t="s">
        <v>25</v>
      </c>
      <c r="N1" s="20" t="s">
        <v>483</v>
      </c>
      <c r="P1" s="3" t="s">
        <v>25</v>
      </c>
      <c r="Q1" s="20" t="s">
        <v>483</v>
      </c>
      <c r="S1" s="3" t="s">
        <v>25</v>
      </c>
      <c r="T1" s="20" t="s">
        <v>483</v>
      </c>
      <c r="V1" s="3" t="s">
        <v>25</v>
      </c>
      <c r="W1" s="20" t="s">
        <v>483</v>
      </c>
      <c r="Y1" s="3" t="s">
        <v>25</v>
      </c>
      <c r="Z1" s="20" t="s">
        <v>483</v>
      </c>
      <c r="AB1" s="3" t="s">
        <v>25</v>
      </c>
      <c r="AC1" s="20" t="s">
        <v>483</v>
      </c>
      <c r="AE1" s="3" t="s">
        <v>25</v>
      </c>
      <c r="AF1" s="20" t="s">
        <v>483</v>
      </c>
      <c r="AH1" s="3" t="s">
        <v>25</v>
      </c>
      <c r="AI1" s="20" t="s">
        <v>483</v>
      </c>
      <c r="AK1" s="3" t="s">
        <v>25</v>
      </c>
      <c r="AL1" s="20" t="s">
        <v>483</v>
      </c>
      <c r="AN1" s="3" t="s">
        <v>25</v>
      </c>
      <c r="AO1" s="20" t="s">
        <v>483</v>
      </c>
      <c r="AQ1" s="3" t="s">
        <v>25</v>
      </c>
      <c r="AR1" s="20" t="s">
        <v>483</v>
      </c>
      <c r="AT1" s="3" t="s">
        <v>25</v>
      </c>
      <c r="AU1" s="20" t="s">
        <v>483</v>
      </c>
      <c r="AW1" s="3" t="s">
        <v>25</v>
      </c>
      <c r="AX1" s="20" t="s">
        <v>483</v>
      </c>
      <c r="AZ1" s="3" t="s">
        <v>25</v>
      </c>
      <c r="BA1" s="20" t="s">
        <v>483</v>
      </c>
      <c r="BC1" s="3" t="s">
        <v>25</v>
      </c>
      <c r="BD1" s="20" t="s">
        <v>483</v>
      </c>
      <c r="BF1" s="3" t="s">
        <v>25</v>
      </c>
      <c r="BG1" s="20" t="s">
        <v>483</v>
      </c>
      <c r="BI1" s="3" t="s">
        <v>25</v>
      </c>
      <c r="BJ1" s="20" t="s">
        <v>483</v>
      </c>
      <c r="BL1" s="3" t="s">
        <v>25</v>
      </c>
      <c r="BM1" s="20" t="s">
        <v>483</v>
      </c>
      <c r="BO1" s="3" t="s">
        <v>25</v>
      </c>
      <c r="BP1" s="20" t="s">
        <v>483</v>
      </c>
      <c r="BR1" s="3" t="s">
        <v>25</v>
      </c>
      <c r="BS1" s="20" t="s">
        <v>483</v>
      </c>
      <c r="BU1" s="3" t="s">
        <v>25</v>
      </c>
      <c r="BV1" s="20" t="s">
        <v>483</v>
      </c>
      <c r="BX1" s="3" t="s">
        <v>25</v>
      </c>
      <c r="BY1" s="20" t="s">
        <v>483</v>
      </c>
      <c r="CA1" s="3" t="s">
        <v>25</v>
      </c>
      <c r="CB1" s="20" t="s">
        <v>483</v>
      </c>
      <c r="CD1" s="3" t="s">
        <v>25</v>
      </c>
      <c r="CE1" s="20" t="s">
        <v>483</v>
      </c>
      <c r="CG1" s="3" t="s">
        <v>25</v>
      </c>
      <c r="CH1" s="20" t="s">
        <v>483</v>
      </c>
      <c r="CJ1" s="3" t="s">
        <v>25</v>
      </c>
      <c r="CK1" s="20" t="s">
        <v>483</v>
      </c>
      <c r="CM1" s="3" t="s">
        <v>25</v>
      </c>
      <c r="CN1" s="20" t="s">
        <v>832</v>
      </c>
      <c r="CP1" s="3" t="s">
        <v>25</v>
      </c>
      <c r="CQ1" s="20" t="s">
        <v>832</v>
      </c>
    </row>
    <row r="2" spans="1:95" x14ac:dyDescent="0.25">
      <c r="A2" s="3" t="s">
        <v>484</v>
      </c>
      <c r="B2" s="37" t="s">
        <v>578</v>
      </c>
      <c r="C2" s="37"/>
      <c r="D2" s="3" t="s">
        <v>484</v>
      </c>
      <c r="E2" s="37" t="s">
        <v>593</v>
      </c>
      <c r="F2" s="37"/>
      <c r="G2" s="3" t="s">
        <v>484</v>
      </c>
      <c r="H2" s="21" t="s">
        <v>562</v>
      </c>
      <c r="I2" s="37"/>
      <c r="J2" s="3" t="s">
        <v>484</v>
      </c>
      <c r="K2" s="21" t="s">
        <v>563</v>
      </c>
      <c r="L2" s="21"/>
      <c r="M2" s="3" t="s">
        <v>484</v>
      </c>
      <c r="N2" s="21" t="s">
        <v>571</v>
      </c>
      <c r="P2" s="3" t="s">
        <v>484</v>
      </c>
      <c r="Q2" s="21" t="s">
        <v>573</v>
      </c>
      <c r="S2" s="3" t="s">
        <v>484</v>
      </c>
      <c r="T2" s="21" t="s">
        <v>575</v>
      </c>
      <c r="V2" s="3" t="s">
        <v>484</v>
      </c>
      <c r="W2" s="21" t="s">
        <v>576</v>
      </c>
      <c r="Y2" s="3" t="s">
        <v>484</v>
      </c>
      <c r="Z2" s="21" t="s">
        <v>747</v>
      </c>
      <c r="AB2" s="3" t="s">
        <v>484</v>
      </c>
      <c r="AC2" s="21" t="s">
        <v>748</v>
      </c>
      <c r="AE2" s="3" t="s">
        <v>484</v>
      </c>
      <c r="AF2" s="21" t="s">
        <v>749</v>
      </c>
      <c r="AH2" s="3" t="s">
        <v>484</v>
      </c>
      <c r="AI2" s="21" t="s">
        <v>750</v>
      </c>
      <c r="AK2" s="3" t="s">
        <v>484</v>
      </c>
      <c r="AL2" s="21" t="s">
        <v>752</v>
      </c>
      <c r="AN2" s="3" t="s">
        <v>484</v>
      </c>
      <c r="AO2" s="21" t="s">
        <v>753</v>
      </c>
      <c r="AQ2" s="3" t="s">
        <v>484</v>
      </c>
      <c r="AR2" s="21" t="s">
        <v>754</v>
      </c>
      <c r="AT2" s="3" t="s">
        <v>484</v>
      </c>
      <c r="AU2" s="21" t="s">
        <v>755</v>
      </c>
      <c r="AW2" s="3" t="s">
        <v>484</v>
      </c>
      <c r="AX2" s="21" t="s">
        <v>756</v>
      </c>
      <c r="AZ2" s="3" t="s">
        <v>484</v>
      </c>
      <c r="BA2" s="21" t="s">
        <v>757</v>
      </c>
      <c r="BC2" s="3" t="s">
        <v>484</v>
      </c>
      <c r="BD2" s="21" t="s">
        <v>758</v>
      </c>
      <c r="BF2" s="3" t="s">
        <v>484</v>
      </c>
      <c r="BG2" s="21" t="s">
        <v>759</v>
      </c>
      <c r="BI2" s="3" t="s">
        <v>484</v>
      </c>
      <c r="BJ2" s="21" t="s">
        <v>760</v>
      </c>
      <c r="BL2" s="3" t="s">
        <v>484</v>
      </c>
      <c r="BM2" s="21" t="s">
        <v>761</v>
      </c>
      <c r="BO2" s="3" t="s">
        <v>484</v>
      </c>
      <c r="BP2" s="21" t="s">
        <v>762</v>
      </c>
      <c r="BR2" s="3" t="s">
        <v>484</v>
      </c>
      <c r="BS2" s="21" t="s">
        <v>763</v>
      </c>
      <c r="BU2" s="3" t="s">
        <v>484</v>
      </c>
      <c r="BV2" s="21" t="s">
        <v>764</v>
      </c>
      <c r="BX2" s="3" t="s">
        <v>484</v>
      </c>
      <c r="BY2" s="21" t="s">
        <v>765</v>
      </c>
      <c r="CA2" s="3" t="s">
        <v>484</v>
      </c>
      <c r="CB2" s="21" t="s">
        <v>766</v>
      </c>
      <c r="CD2" s="3" t="s">
        <v>484</v>
      </c>
      <c r="CE2" s="21" t="s">
        <v>767</v>
      </c>
      <c r="CG2" s="3" t="s">
        <v>484</v>
      </c>
      <c r="CH2" s="21" t="s">
        <v>768</v>
      </c>
      <c r="CJ2" s="3" t="s">
        <v>484</v>
      </c>
      <c r="CK2" s="21" t="s">
        <v>769</v>
      </c>
      <c r="CM2" s="3" t="s">
        <v>484</v>
      </c>
      <c r="CN2" s="37" t="s">
        <v>833</v>
      </c>
      <c r="CP2" s="3" t="s">
        <v>484</v>
      </c>
      <c r="CQ2" s="37" t="s">
        <v>834</v>
      </c>
    </row>
    <row r="3" spans="1:95" x14ac:dyDescent="0.25">
      <c r="A3" s="3" t="s">
        <v>485</v>
      </c>
      <c r="B3" s="20" t="s">
        <v>12</v>
      </c>
      <c r="D3" s="3" t="s">
        <v>485</v>
      </c>
      <c r="E3" s="20" t="s">
        <v>13</v>
      </c>
      <c r="G3" s="3" t="s">
        <v>485</v>
      </c>
      <c r="H3" s="20" t="s">
        <v>12</v>
      </c>
      <c r="J3" s="3" t="s">
        <v>485</v>
      </c>
      <c r="K3" s="20" t="s">
        <v>510</v>
      </c>
      <c r="L3" s="20"/>
      <c r="M3" s="3" t="s">
        <v>485</v>
      </c>
      <c r="N3" s="20" t="s">
        <v>12</v>
      </c>
      <c r="P3" s="3" t="s">
        <v>485</v>
      </c>
      <c r="Q3" s="20" t="s">
        <v>12</v>
      </c>
      <c r="S3" s="3" t="s">
        <v>485</v>
      </c>
      <c r="T3" s="20" t="s">
        <v>13</v>
      </c>
      <c r="V3" s="3" t="s">
        <v>485</v>
      </c>
      <c r="W3" s="20" t="s">
        <v>13</v>
      </c>
      <c r="Y3" s="3" t="s">
        <v>485</v>
      </c>
      <c r="Z3" s="20" t="s">
        <v>13</v>
      </c>
      <c r="AB3" s="3" t="s">
        <v>485</v>
      </c>
      <c r="AC3" s="20" t="s">
        <v>13</v>
      </c>
      <c r="AE3" s="3" t="s">
        <v>485</v>
      </c>
      <c r="AF3" s="20" t="s">
        <v>13</v>
      </c>
      <c r="AH3" s="3" t="s">
        <v>485</v>
      </c>
      <c r="AI3" s="20" t="s">
        <v>13</v>
      </c>
      <c r="AK3" s="3" t="s">
        <v>485</v>
      </c>
      <c r="AL3" s="20" t="s">
        <v>13</v>
      </c>
      <c r="AN3" s="3" t="s">
        <v>485</v>
      </c>
      <c r="AO3" s="20" t="s">
        <v>13</v>
      </c>
      <c r="AQ3" s="3" t="s">
        <v>485</v>
      </c>
      <c r="AR3" s="20" t="s">
        <v>13</v>
      </c>
      <c r="AT3" s="3" t="s">
        <v>485</v>
      </c>
      <c r="AU3" s="20" t="s">
        <v>13</v>
      </c>
      <c r="AW3" s="3" t="s">
        <v>485</v>
      </c>
      <c r="AX3" s="20" t="s">
        <v>13</v>
      </c>
      <c r="AZ3" s="3" t="s">
        <v>485</v>
      </c>
      <c r="BA3" s="20" t="s">
        <v>13</v>
      </c>
      <c r="BC3" s="3" t="s">
        <v>485</v>
      </c>
      <c r="BD3" s="20" t="s">
        <v>13</v>
      </c>
      <c r="BF3" s="3" t="s">
        <v>485</v>
      </c>
      <c r="BG3" s="20" t="s">
        <v>13</v>
      </c>
      <c r="BI3" s="3" t="s">
        <v>485</v>
      </c>
      <c r="BJ3" s="20" t="s">
        <v>13</v>
      </c>
      <c r="BL3" s="3" t="s">
        <v>485</v>
      </c>
      <c r="BM3" s="20" t="s">
        <v>13</v>
      </c>
      <c r="BO3" s="3" t="s">
        <v>485</v>
      </c>
      <c r="BP3" s="20" t="s">
        <v>13</v>
      </c>
      <c r="BR3" s="3" t="s">
        <v>485</v>
      </c>
      <c r="BS3" s="20" t="s">
        <v>13</v>
      </c>
      <c r="BU3" s="3" t="s">
        <v>485</v>
      </c>
      <c r="BV3" s="20" t="s">
        <v>13</v>
      </c>
      <c r="BX3" s="3" t="s">
        <v>485</v>
      </c>
      <c r="BY3" s="20" t="s">
        <v>13</v>
      </c>
      <c r="CA3" s="3" t="s">
        <v>485</v>
      </c>
      <c r="CB3" s="20" t="s">
        <v>13</v>
      </c>
      <c r="CD3" s="3" t="s">
        <v>485</v>
      </c>
      <c r="CE3" s="20" t="s">
        <v>13</v>
      </c>
      <c r="CG3" s="3" t="s">
        <v>485</v>
      </c>
      <c r="CH3" s="20" t="s">
        <v>13</v>
      </c>
      <c r="CJ3" s="3" t="s">
        <v>485</v>
      </c>
      <c r="CK3" s="20" t="s">
        <v>13</v>
      </c>
      <c r="CM3" s="3" t="s">
        <v>229</v>
      </c>
      <c r="CN3" s="20" t="s">
        <v>13</v>
      </c>
      <c r="CP3" s="3" t="s">
        <v>229</v>
      </c>
      <c r="CQ3" s="20" t="s">
        <v>13</v>
      </c>
    </row>
    <row r="4" spans="1:95" x14ac:dyDescent="0.25">
      <c r="A4" s="3" t="s">
        <v>486</v>
      </c>
      <c r="B4" s="20" t="s">
        <v>12</v>
      </c>
      <c r="D4" s="3" t="s">
        <v>486</v>
      </c>
      <c r="E4" s="20" t="s">
        <v>13</v>
      </c>
      <c r="G4" s="3" t="s">
        <v>486</v>
      </c>
      <c r="H4" s="20" t="s">
        <v>12</v>
      </c>
      <c r="J4" s="3" t="s">
        <v>486</v>
      </c>
      <c r="K4" s="20" t="s">
        <v>510</v>
      </c>
      <c r="L4" s="20"/>
      <c r="M4" s="3" t="s">
        <v>486</v>
      </c>
      <c r="N4" s="20" t="s">
        <v>12</v>
      </c>
      <c r="P4" s="3" t="s">
        <v>486</v>
      </c>
      <c r="Q4" s="20" t="s">
        <v>12</v>
      </c>
      <c r="S4" s="3" t="s">
        <v>486</v>
      </c>
      <c r="T4" s="20" t="s">
        <v>13</v>
      </c>
      <c r="V4" s="3" t="s">
        <v>486</v>
      </c>
      <c r="W4" s="20" t="s">
        <v>13</v>
      </c>
      <c r="Y4" s="3" t="s">
        <v>486</v>
      </c>
      <c r="Z4" s="20" t="s">
        <v>13</v>
      </c>
      <c r="AB4" s="3" t="s">
        <v>486</v>
      </c>
      <c r="AC4" s="20" t="s">
        <v>13</v>
      </c>
      <c r="AE4" s="3" t="s">
        <v>486</v>
      </c>
      <c r="AF4" s="20" t="s">
        <v>13</v>
      </c>
      <c r="AH4" s="3" t="s">
        <v>486</v>
      </c>
      <c r="AI4" s="20" t="s">
        <v>13</v>
      </c>
      <c r="AK4" s="3" t="s">
        <v>486</v>
      </c>
      <c r="AL4" s="20" t="s">
        <v>13</v>
      </c>
      <c r="AN4" s="3" t="s">
        <v>486</v>
      </c>
      <c r="AO4" s="20" t="s">
        <v>13</v>
      </c>
      <c r="AQ4" s="3" t="s">
        <v>486</v>
      </c>
      <c r="AR4" s="20" t="s">
        <v>13</v>
      </c>
      <c r="AT4" s="3" t="s">
        <v>486</v>
      </c>
      <c r="AU4" s="20" t="s">
        <v>13</v>
      </c>
      <c r="AW4" s="3" t="s">
        <v>486</v>
      </c>
      <c r="AX4" s="20" t="s">
        <v>13</v>
      </c>
      <c r="AZ4" s="3" t="s">
        <v>486</v>
      </c>
      <c r="BA4" s="20" t="s">
        <v>13</v>
      </c>
      <c r="BC4" s="3" t="s">
        <v>486</v>
      </c>
      <c r="BD4" s="20" t="s">
        <v>13</v>
      </c>
      <c r="BF4" s="3" t="s">
        <v>486</v>
      </c>
      <c r="BG4" s="20" t="s">
        <v>13</v>
      </c>
      <c r="BI4" s="3" t="s">
        <v>486</v>
      </c>
      <c r="BJ4" s="20" t="s">
        <v>13</v>
      </c>
      <c r="BL4" s="3" t="s">
        <v>486</v>
      </c>
      <c r="BM4" s="20" t="s">
        <v>13</v>
      </c>
      <c r="BO4" s="3" t="s">
        <v>486</v>
      </c>
      <c r="BP4" s="20" t="s">
        <v>13</v>
      </c>
      <c r="BR4" s="3" t="s">
        <v>486</v>
      </c>
      <c r="BS4" s="20" t="s">
        <v>13</v>
      </c>
      <c r="BU4" s="3" t="s">
        <v>486</v>
      </c>
      <c r="BV4" s="20" t="s">
        <v>13</v>
      </c>
      <c r="BX4" s="3" t="s">
        <v>486</v>
      </c>
      <c r="BY4" s="20" t="s">
        <v>13</v>
      </c>
      <c r="CA4" s="3" t="s">
        <v>486</v>
      </c>
      <c r="CB4" s="20" t="s">
        <v>13</v>
      </c>
      <c r="CD4" s="3" t="s">
        <v>486</v>
      </c>
      <c r="CE4" s="20" t="s">
        <v>13</v>
      </c>
      <c r="CG4" s="3" t="s">
        <v>486</v>
      </c>
      <c r="CH4" s="20" t="s">
        <v>13</v>
      </c>
      <c r="CJ4" s="3" t="s">
        <v>486</v>
      </c>
      <c r="CK4" s="20" t="s">
        <v>13</v>
      </c>
      <c r="CM4" s="3"/>
      <c r="CN4" s="20"/>
      <c r="CP4" s="3"/>
      <c r="CQ4" s="20"/>
    </row>
    <row r="5" spans="1:95" x14ac:dyDescent="0.25">
      <c r="A5" s="3" t="s">
        <v>487</v>
      </c>
      <c r="B5" s="20" t="s">
        <v>537</v>
      </c>
      <c r="D5" s="3" t="s">
        <v>487</v>
      </c>
      <c r="E5" s="20" t="s">
        <v>567</v>
      </c>
      <c r="G5" s="3" t="s">
        <v>487</v>
      </c>
      <c r="H5" s="20" t="s">
        <v>565</v>
      </c>
      <c r="J5" s="3" t="s">
        <v>487</v>
      </c>
      <c r="K5" s="20" t="s">
        <v>566</v>
      </c>
      <c r="L5" s="20"/>
      <c r="M5" s="3" t="s">
        <v>487</v>
      </c>
      <c r="N5" s="20" t="s">
        <v>572</v>
      </c>
      <c r="P5" s="3" t="s">
        <v>487</v>
      </c>
      <c r="Q5" s="20" t="s">
        <v>567</v>
      </c>
      <c r="S5" s="3" t="s">
        <v>487</v>
      </c>
      <c r="T5" s="20" t="s">
        <v>572</v>
      </c>
      <c r="V5" s="3" t="s">
        <v>487</v>
      </c>
      <c r="W5" s="20" t="s">
        <v>567</v>
      </c>
      <c r="Y5" s="3" t="s">
        <v>487</v>
      </c>
      <c r="Z5" s="20" t="s">
        <v>567</v>
      </c>
      <c r="AB5" s="3" t="s">
        <v>487</v>
      </c>
      <c r="AC5" s="20" t="s">
        <v>567</v>
      </c>
      <c r="AE5" s="3" t="s">
        <v>487</v>
      </c>
      <c r="AF5" s="20" t="s">
        <v>567</v>
      </c>
      <c r="AH5" s="3" t="s">
        <v>487</v>
      </c>
      <c r="AI5" s="20" t="s">
        <v>567</v>
      </c>
      <c r="AK5" s="3" t="s">
        <v>487</v>
      </c>
      <c r="AL5" s="20" t="s">
        <v>567</v>
      </c>
      <c r="AN5" s="3" t="s">
        <v>487</v>
      </c>
      <c r="AO5" s="20" t="s">
        <v>567</v>
      </c>
      <c r="AQ5" s="3" t="s">
        <v>487</v>
      </c>
      <c r="AR5" s="20" t="s">
        <v>567</v>
      </c>
      <c r="AT5" s="3" t="s">
        <v>487</v>
      </c>
      <c r="AU5" s="20" t="s">
        <v>567</v>
      </c>
      <c r="AW5" s="3" t="s">
        <v>487</v>
      </c>
      <c r="AX5" s="20" t="s">
        <v>567</v>
      </c>
      <c r="AZ5" s="3" t="s">
        <v>487</v>
      </c>
      <c r="BA5" s="20" t="s">
        <v>567</v>
      </c>
      <c r="BC5" s="3" t="s">
        <v>487</v>
      </c>
      <c r="BD5" s="20" t="s">
        <v>567</v>
      </c>
      <c r="BF5" s="3" t="s">
        <v>487</v>
      </c>
      <c r="BG5" s="20" t="s">
        <v>567</v>
      </c>
      <c r="BI5" s="3" t="s">
        <v>487</v>
      </c>
      <c r="BJ5" s="20" t="s">
        <v>567</v>
      </c>
      <c r="BL5" s="3" t="s">
        <v>487</v>
      </c>
      <c r="BM5" s="20" t="s">
        <v>537</v>
      </c>
      <c r="BO5" s="3" t="s">
        <v>487</v>
      </c>
      <c r="BP5" s="20" t="s">
        <v>537</v>
      </c>
      <c r="BR5" s="3" t="s">
        <v>487</v>
      </c>
      <c r="BS5" s="20" t="s">
        <v>537</v>
      </c>
      <c r="BU5" s="3" t="s">
        <v>487</v>
      </c>
      <c r="BV5" s="20" t="s">
        <v>537</v>
      </c>
      <c r="BX5" s="3" t="s">
        <v>487</v>
      </c>
      <c r="BY5" s="20" t="s">
        <v>537</v>
      </c>
      <c r="CA5" s="3" t="s">
        <v>487</v>
      </c>
      <c r="CB5" s="20" t="s">
        <v>537</v>
      </c>
      <c r="CD5" s="3" t="s">
        <v>487</v>
      </c>
      <c r="CE5" s="20" t="s">
        <v>567</v>
      </c>
      <c r="CG5" s="3" t="s">
        <v>487</v>
      </c>
      <c r="CH5" s="20" t="s">
        <v>567</v>
      </c>
      <c r="CJ5" s="3" t="s">
        <v>487</v>
      </c>
      <c r="CK5" s="20" t="s">
        <v>567</v>
      </c>
      <c r="CM5" s="3" t="s">
        <v>835</v>
      </c>
      <c r="CN5" s="20" t="s">
        <v>836</v>
      </c>
      <c r="CP5" s="3" t="s">
        <v>835</v>
      </c>
      <c r="CQ5" s="20" t="s">
        <v>836</v>
      </c>
    </row>
    <row r="6" spans="1:95" x14ac:dyDescent="0.25">
      <c r="A6" s="3" t="s">
        <v>488</v>
      </c>
      <c r="B6" s="20" t="s">
        <v>579</v>
      </c>
      <c r="D6" s="3" t="s">
        <v>488</v>
      </c>
      <c r="E6" s="20" t="s">
        <v>741</v>
      </c>
      <c r="G6" s="3" t="s">
        <v>488</v>
      </c>
      <c r="H6" s="20" t="s">
        <v>494</v>
      </c>
      <c r="J6" s="3" t="s">
        <v>488</v>
      </c>
      <c r="K6" s="20" t="s">
        <v>494</v>
      </c>
      <c r="L6" s="20"/>
      <c r="M6" s="3" t="s">
        <v>488</v>
      </c>
      <c r="N6" s="20" t="s">
        <v>494</v>
      </c>
      <c r="P6" s="3" t="s">
        <v>488</v>
      </c>
      <c r="Q6" s="20" t="s">
        <v>494</v>
      </c>
      <c r="S6" s="3" t="s">
        <v>488</v>
      </c>
      <c r="T6" s="20" t="s">
        <v>494</v>
      </c>
      <c r="V6" s="3" t="s">
        <v>488</v>
      </c>
      <c r="W6" s="20" t="s">
        <v>494</v>
      </c>
      <c r="Y6" s="3" t="s">
        <v>488</v>
      </c>
      <c r="Z6" s="20" t="s">
        <v>494</v>
      </c>
      <c r="AB6" s="3" t="s">
        <v>488</v>
      </c>
      <c r="AC6" s="20" t="s">
        <v>494</v>
      </c>
      <c r="AE6" s="3" t="s">
        <v>488</v>
      </c>
      <c r="AF6" s="20" t="s">
        <v>751</v>
      </c>
      <c r="AH6" s="3" t="s">
        <v>488</v>
      </c>
      <c r="AI6" s="20" t="s">
        <v>751</v>
      </c>
      <c r="AK6" s="3" t="s">
        <v>488</v>
      </c>
      <c r="AL6" s="20" t="s">
        <v>770</v>
      </c>
      <c r="AN6" s="3" t="s">
        <v>488</v>
      </c>
      <c r="AO6" s="20" t="s">
        <v>770</v>
      </c>
      <c r="AQ6" s="3" t="s">
        <v>488</v>
      </c>
      <c r="AR6" s="20" t="s">
        <v>770</v>
      </c>
      <c r="AT6" s="3" t="s">
        <v>488</v>
      </c>
      <c r="AU6" s="20" t="s">
        <v>770</v>
      </c>
      <c r="AW6" s="3" t="s">
        <v>488</v>
      </c>
      <c r="AX6" s="20" t="s">
        <v>771</v>
      </c>
      <c r="AZ6" s="3" t="s">
        <v>488</v>
      </c>
      <c r="BA6" s="20" t="s">
        <v>771</v>
      </c>
      <c r="BC6" s="3" t="s">
        <v>488</v>
      </c>
      <c r="BD6" s="20" t="s">
        <v>772</v>
      </c>
      <c r="BF6" s="3" t="s">
        <v>488</v>
      </c>
      <c r="BG6" s="20" t="s">
        <v>773</v>
      </c>
      <c r="BI6" s="3" t="s">
        <v>488</v>
      </c>
      <c r="BJ6" s="20" t="s">
        <v>773</v>
      </c>
      <c r="BL6" s="3" t="s">
        <v>488</v>
      </c>
      <c r="BM6" s="20" t="s">
        <v>774</v>
      </c>
      <c r="BO6" s="3" t="s">
        <v>488</v>
      </c>
      <c r="BP6" s="20" t="s">
        <v>774</v>
      </c>
      <c r="BR6" s="3" t="s">
        <v>488</v>
      </c>
      <c r="BS6" s="20" t="s">
        <v>775</v>
      </c>
      <c r="BU6" s="3" t="s">
        <v>488</v>
      </c>
      <c r="BV6" s="20" t="s">
        <v>774</v>
      </c>
      <c r="BX6" s="3" t="s">
        <v>488</v>
      </c>
      <c r="BY6" s="20" t="s">
        <v>775</v>
      </c>
      <c r="CA6" s="3" t="s">
        <v>488</v>
      </c>
      <c r="CB6" s="20" t="s">
        <v>776</v>
      </c>
      <c r="CD6" s="3" t="s">
        <v>488</v>
      </c>
      <c r="CE6" s="20" t="s">
        <v>777</v>
      </c>
      <c r="CG6" s="3" t="s">
        <v>488</v>
      </c>
      <c r="CH6" s="20" t="s">
        <v>778</v>
      </c>
      <c r="CJ6" s="3" t="s">
        <v>488</v>
      </c>
      <c r="CK6" s="20" t="s">
        <v>779</v>
      </c>
      <c r="CM6" s="3"/>
      <c r="CN6" s="20" t="s">
        <v>837</v>
      </c>
      <c r="CP6" s="3"/>
      <c r="CQ6" s="20" t="s">
        <v>837</v>
      </c>
    </row>
    <row r="7" spans="1:95" x14ac:dyDescent="0.25">
      <c r="A7" s="3" t="s">
        <v>489</v>
      </c>
      <c r="B7" s="20" t="s">
        <v>536</v>
      </c>
      <c r="D7" s="3" t="s">
        <v>489</v>
      </c>
      <c r="E7" s="20" t="s">
        <v>568</v>
      </c>
      <c r="G7" s="3" t="s">
        <v>489</v>
      </c>
      <c r="H7" s="20" t="s">
        <v>536</v>
      </c>
      <c r="J7" s="3" t="s">
        <v>489</v>
      </c>
      <c r="K7" s="20" t="s">
        <v>536</v>
      </c>
      <c r="L7" s="20"/>
      <c r="M7" s="3" t="s">
        <v>489</v>
      </c>
      <c r="N7" s="20" t="s">
        <v>568</v>
      </c>
      <c r="P7" s="3" t="s">
        <v>489</v>
      </c>
      <c r="Q7" s="20" t="s">
        <v>568</v>
      </c>
      <c r="S7" s="3" t="s">
        <v>489</v>
      </c>
      <c r="T7" s="20" t="s">
        <v>577</v>
      </c>
      <c r="V7" s="3" t="s">
        <v>489</v>
      </c>
      <c r="W7" s="20" t="s">
        <v>577</v>
      </c>
      <c r="Y7" s="3" t="s">
        <v>489</v>
      </c>
      <c r="Z7" s="20" t="s">
        <v>568</v>
      </c>
      <c r="AB7" s="3" t="s">
        <v>489</v>
      </c>
      <c r="AC7" s="20" t="s">
        <v>568</v>
      </c>
      <c r="AE7" s="3" t="s">
        <v>489</v>
      </c>
      <c r="AF7" s="20" t="s">
        <v>568</v>
      </c>
      <c r="AH7" s="3" t="s">
        <v>489</v>
      </c>
      <c r="AI7" s="20" t="s">
        <v>568</v>
      </c>
      <c r="AK7" s="3" t="s">
        <v>489</v>
      </c>
      <c r="AL7" s="20" t="s">
        <v>568</v>
      </c>
      <c r="AN7" s="3" t="s">
        <v>489</v>
      </c>
      <c r="AO7" s="20" t="s">
        <v>568</v>
      </c>
      <c r="AQ7" s="3" t="s">
        <v>489</v>
      </c>
      <c r="AR7" s="20" t="s">
        <v>568</v>
      </c>
      <c r="AT7" s="3" t="s">
        <v>489</v>
      </c>
      <c r="AU7" s="20" t="s">
        <v>568</v>
      </c>
      <c r="AW7" s="3" t="s">
        <v>489</v>
      </c>
      <c r="AX7" s="20" t="s">
        <v>568</v>
      </c>
      <c r="AZ7" s="3" t="s">
        <v>489</v>
      </c>
      <c r="BA7" s="20" t="s">
        <v>568</v>
      </c>
      <c r="BC7" s="3" t="s">
        <v>489</v>
      </c>
      <c r="BD7" s="20" t="s">
        <v>568</v>
      </c>
      <c r="BF7" s="3" t="s">
        <v>489</v>
      </c>
      <c r="BG7" s="20" t="s">
        <v>568</v>
      </c>
      <c r="BI7" s="3" t="s">
        <v>489</v>
      </c>
      <c r="BJ7" s="20" t="s">
        <v>568</v>
      </c>
      <c r="BL7" s="3" t="s">
        <v>489</v>
      </c>
      <c r="BM7" s="20" t="s">
        <v>536</v>
      </c>
      <c r="BO7" s="3" t="s">
        <v>489</v>
      </c>
      <c r="BP7" s="20" t="s">
        <v>536</v>
      </c>
      <c r="BR7" s="3" t="s">
        <v>489</v>
      </c>
      <c r="BS7" s="20" t="s">
        <v>536</v>
      </c>
      <c r="BU7" s="3" t="s">
        <v>489</v>
      </c>
      <c r="BV7" s="20" t="s">
        <v>536</v>
      </c>
      <c r="BX7" s="3" t="s">
        <v>489</v>
      </c>
      <c r="BY7" s="20" t="s">
        <v>536</v>
      </c>
      <c r="CA7" s="3" t="s">
        <v>489</v>
      </c>
      <c r="CB7" s="20" t="s">
        <v>536</v>
      </c>
      <c r="CD7" s="3" t="s">
        <v>489</v>
      </c>
      <c r="CE7" s="20" t="s">
        <v>568</v>
      </c>
      <c r="CG7" s="3" t="s">
        <v>489</v>
      </c>
      <c r="CH7" s="20" t="s">
        <v>568</v>
      </c>
      <c r="CJ7" s="3" t="s">
        <v>489</v>
      </c>
      <c r="CK7" s="20" t="s">
        <v>568</v>
      </c>
      <c r="CM7" s="3"/>
      <c r="CN7" s="20" t="s">
        <v>837</v>
      </c>
      <c r="CP7" s="3"/>
      <c r="CQ7" s="20" t="s">
        <v>837</v>
      </c>
    </row>
    <row r="8" spans="1:95" x14ac:dyDescent="0.25">
      <c r="A8" s="3" t="s">
        <v>490</v>
      </c>
      <c r="B8" s="20" t="s">
        <v>536</v>
      </c>
      <c r="D8" s="3" t="s">
        <v>490</v>
      </c>
      <c r="E8" s="20" t="s">
        <v>568</v>
      </c>
      <c r="G8" s="3" t="s">
        <v>490</v>
      </c>
      <c r="H8" s="20" t="s">
        <v>536</v>
      </c>
      <c r="J8" s="3" t="s">
        <v>490</v>
      </c>
      <c r="K8" s="20" t="s">
        <v>536</v>
      </c>
      <c r="L8" s="20"/>
      <c r="M8" s="3" t="s">
        <v>490</v>
      </c>
      <c r="N8" s="20" t="s">
        <v>568</v>
      </c>
      <c r="P8" s="3" t="s">
        <v>490</v>
      </c>
      <c r="Q8" s="20" t="s">
        <v>568</v>
      </c>
      <c r="S8" s="3" t="s">
        <v>490</v>
      </c>
      <c r="T8" s="20" t="s">
        <v>577</v>
      </c>
      <c r="V8" s="3" t="s">
        <v>490</v>
      </c>
      <c r="W8" s="20" t="s">
        <v>577</v>
      </c>
      <c r="Y8" s="3" t="s">
        <v>490</v>
      </c>
      <c r="Z8" s="20" t="s">
        <v>568</v>
      </c>
      <c r="AB8" s="3" t="s">
        <v>490</v>
      </c>
      <c r="AC8" s="20" t="s">
        <v>577</v>
      </c>
      <c r="AE8" s="3" t="s">
        <v>490</v>
      </c>
      <c r="AF8" s="20" t="s">
        <v>568</v>
      </c>
      <c r="AH8" s="3" t="s">
        <v>490</v>
      </c>
      <c r="AI8" s="20" t="s">
        <v>568</v>
      </c>
      <c r="AK8" s="3" t="s">
        <v>490</v>
      </c>
      <c r="AL8" s="20" t="s">
        <v>568</v>
      </c>
      <c r="AN8" s="3" t="s">
        <v>490</v>
      </c>
      <c r="AO8" s="20" t="s">
        <v>568</v>
      </c>
      <c r="AQ8" s="3" t="s">
        <v>490</v>
      </c>
      <c r="AR8" s="20" t="s">
        <v>568</v>
      </c>
      <c r="AT8" s="3" t="s">
        <v>490</v>
      </c>
      <c r="AU8" s="20" t="s">
        <v>568</v>
      </c>
      <c r="AW8" s="3" t="s">
        <v>490</v>
      </c>
      <c r="AX8" s="20" t="s">
        <v>568</v>
      </c>
      <c r="AZ8" s="3" t="s">
        <v>490</v>
      </c>
      <c r="BA8" s="20" t="s">
        <v>568</v>
      </c>
      <c r="BC8" s="3" t="s">
        <v>490</v>
      </c>
      <c r="BD8" s="20" t="s">
        <v>568</v>
      </c>
      <c r="BF8" s="3" t="s">
        <v>490</v>
      </c>
      <c r="BG8" s="20" t="s">
        <v>568</v>
      </c>
      <c r="BI8" s="3" t="s">
        <v>490</v>
      </c>
      <c r="BJ8" s="20" t="s">
        <v>568</v>
      </c>
      <c r="BL8" s="3" t="s">
        <v>490</v>
      </c>
      <c r="BM8" s="20" t="s">
        <v>536</v>
      </c>
      <c r="BO8" s="3" t="s">
        <v>490</v>
      </c>
      <c r="BP8" s="20" t="s">
        <v>536</v>
      </c>
      <c r="BR8" s="3" t="s">
        <v>490</v>
      </c>
      <c r="BS8" s="20" t="s">
        <v>536</v>
      </c>
      <c r="BU8" s="3" t="s">
        <v>490</v>
      </c>
      <c r="BV8" s="20" t="s">
        <v>536</v>
      </c>
      <c r="BX8" s="3" t="s">
        <v>490</v>
      </c>
      <c r="BY8" s="20" t="s">
        <v>536</v>
      </c>
      <c r="CA8" s="3" t="s">
        <v>490</v>
      </c>
      <c r="CB8" s="20" t="s">
        <v>536</v>
      </c>
      <c r="CD8" s="3" t="s">
        <v>490</v>
      </c>
      <c r="CE8" s="20" t="s">
        <v>568</v>
      </c>
      <c r="CG8" s="3" t="s">
        <v>490</v>
      </c>
      <c r="CH8" s="20" t="s">
        <v>568</v>
      </c>
      <c r="CJ8" s="3" t="s">
        <v>490</v>
      </c>
      <c r="CK8" s="20" t="s">
        <v>568</v>
      </c>
      <c r="CM8" s="3"/>
      <c r="CN8" s="20" t="s">
        <v>837</v>
      </c>
      <c r="CP8" s="3"/>
      <c r="CQ8" s="20" t="s">
        <v>837</v>
      </c>
    </row>
    <row r="9" spans="1:95" x14ac:dyDescent="0.25">
      <c r="A9" s="3" t="s">
        <v>491</v>
      </c>
      <c r="B9" s="20" t="s">
        <v>542</v>
      </c>
      <c r="D9" s="3" t="s">
        <v>491</v>
      </c>
      <c r="E9" s="20" t="s">
        <v>542</v>
      </c>
      <c r="G9" s="3" t="s">
        <v>491</v>
      </c>
      <c r="H9" s="20" t="s">
        <v>538</v>
      </c>
      <c r="J9" s="3" t="s">
        <v>491</v>
      </c>
      <c r="K9" s="20" t="s">
        <v>538</v>
      </c>
      <c r="L9" s="20"/>
      <c r="M9" s="3" t="s">
        <v>491</v>
      </c>
      <c r="N9" s="20" t="s">
        <v>542</v>
      </c>
      <c r="P9" s="3" t="s">
        <v>491</v>
      </c>
      <c r="Q9" s="20" t="s">
        <v>542</v>
      </c>
      <c r="S9" s="3" t="s">
        <v>491</v>
      </c>
      <c r="T9" s="20" t="s">
        <v>542</v>
      </c>
      <c r="V9" s="3" t="s">
        <v>491</v>
      </c>
      <c r="W9" s="20" t="s">
        <v>542</v>
      </c>
      <c r="Y9" s="3" t="s">
        <v>491</v>
      </c>
      <c r="Z9" s="20" t="s">
        <v>542</v>
      </c>
      <c r="AB9" s="3" t="s">
        <v>491</v>
      </c>
      <c r="AC9" s="20" t="s">
        <v>542</v>
      </c>
      <c r="AE9" s="3" t="s">
        <v>491</v>
      </c>
      <c r="AF9" s="20" t="s">
        <v>538</v>
      </c>
      <c r="AH9" s="3" t="s">
        <v>491</v>
      </c>
      <c r="AI9" s="20" t="s">
        <v>538</v>
      </c>
      <c r="AK9" s="3" t="s">
        <v>491</v>
      </c>
      <c r="AL9" s="20" t="s">
        <v>538</v>
      </c>
      <c r="AN9" s="3" t="s">
        <v>491</v>
      </c>
      <c r="AO9" s="20" t="s">
        <v>538</v>
      </c>
      <c r="AQ9" s="3" t="s">
        <v>491</v>
      </c>
      <c r="AR9" s="20" t="s">
        <v>538</v>
      </c>
      <c r="AT9" s="3" t="s">
        <v>491</v>
      </c>
      <c r="AU9" s="20" t="s">
        <v>538</v>
      </c>
      <c r="AW9" s="3" t="s">
        <v>491</v>
      </c>
      <c r="AX9" s="20" t="s">
        <v>538</v>
      </c>
      <c r="AZ9" s="3" t="s">
        <v>491</v>
      </c>
      <c r="BA9" s="20" t="s">
        <v>538</v>
      </c>
      <c r="BC9" s="3" t="s">
        <v>491</v>
      </c>
      <c r="BD9" s="20" t="s">
        <v>538</v>
      </c>
      <c r="BF9" s="3" t="s">
        <v>491</v>
      </c>
      <c r="BG9" s="20" t="s">
        <v>538</v>
      </c>
      <c r="BI9" s="3" t="s">
        <v>491</v>
      </c>
      <c r="BJ9" s="20" t="s">
        <v>538</v>
      </c>
      <c r="BL9" s="3" t="s">
        <v>491</v>
      </c>
      <c r="BM9" s="20" t="s">
        <v>538</v>
      </c>
      <c r="BO9" s="3" t="s">
        <v>491</v>
      </c>
      <c r="BP9" s="20" t="s">
        <v>538</v>
      </c>
      <c r="BR9" s="3" t="s">
        <v>491</v>
      </c>
      <c r="BS9" s="20" t="s">
        <v>538</v>
      </c>
      <c r="BU9" s="3" t="s">
        <v>491</v>
      </c>
      <c r="BV9" s="20" t="s">
        <v>538</v>
      </c>
      <c r="BX9" s="3" t="s">
        <v>491</v>
      </c>
      <c r="BY9" s="20" t="s">
        <v>538</v>
      </c>
      <c r="CA9" s="3" t="s">
        <v>491</v>
      </c>
      <c r="CB9" s="20" t="s">
        <v>538</v>
      </c>
      <c r="CD9" s="3" t="s">
        <v>491</v>
      </c>
      <c r="CE9" s="20" t="s">
        <v>538</v>
      </c>
      <c r="CG9" s="3" t="s">
        <v>491</v>
      </c>
      <c r="CH9" s="20" t="s">
        <v>538</v>
      </c>
      <c r="CJ9" s="3" t="s">
        <v>491</v>
      </c>
      <c r="CK9" s="20" t="s">
        <v>538</v>
      </c>
      <c r="CM9" s="3"/>
      <c r="CN9" s="20" t="s">
        <v>837</v>
      </c>
      <c r="CP9" s="3"/>
      <c r="CQ9" s="20" t="s">
        <v>837</v>
      </c>
    </row>
    <row r="10" spans="1:95" x14ac:dyDescent="0.25">
      <c r="A10" s="3"/>
      <c r="D10" s="3"/>
      <c r="G10" s="3"/>
      <c r="H10" s="20"/>
      <c r="J10" s="3"/>
      <c r="K10" s="20"/>
      <c r="L10" s="20"/>
    </row>
    <row r="11" spans="1:95" x14ac:dyDescent="0.25">
      <c r="A11" s="14" t="s">
        <v>492</v>
      </c>
      <c r="B11" s="14" t="s">
        <v>493</v>
      </c>
      <c r="C11" s="14"/>
      <c r="D11" s="14" t="s">
        <v>492</v>
      </c>
      <c r="E11" s="14" t="s">
        <v>493</v>
      </c>
      <c r="F11" s="14"/>
      <c r="G11" s="14" t="s">
        <v>492</v>
      </c>
      <c r="H11" s="14" t="s">
        <v>493</v>
      </c>
      <c r="I11" s="14"/>
      <c r="J11" s="14" t="s">
        <v>492</v>
      </c>
      <c r="K11" s="14" t="s">
        <v>493</v>
      </c>
      <c r="L11" s="14"/>
      <c r="M11" s="14" t="s">
        <v>492</v>
      </c>
      <c r="N11" s="14" t="s">
        <v>493</v>
      </c>
      <c r="P11" s="14" t="s">
        <v>492</v>
      </c>
      <c r="Q11" s="14" t="s">
        <v>493</v>
      </c>
      <c r="S11" s="14" t="s">
        <v>492</v>
      </c>
      <c r="T11" s="14" t="s">
        <v>493</v>
      </c>
      <c r="V11" s="14" t="s">
        <v>492</v>
      </c>
      <c r="W11" s="14" t="s">
        <v>493</v>
      </c>
      <c r="Y11" s="14" t="s">
        <v>492</v>
      </c>
      <c r="Z11" s="14" t="s">
        <v>493</v>
      </c>
      <c r="AB11" s="14" t="s">
        <v>492</v>
      </c>
      <c r="AC11" s="14" t="s">
        <v>493</v>
      </c>
      <c r="AE11" s="14" t="s">
        <v>492</v>
      </c>
      <c r="AF11" s="14" t="s">
        <v>493</v>
      </c>
      <c r="AH11" s="14" t="s">
        <v>492</v>
      </c>
      <c r="AI11" s="14" t="s">
        <v>493</v>
      </c>
      <c r="AK11" s="14" t="s">
        <v>492</v>
      </c>
      <c r="AL11" s="14" t="s">
        <v>493</v>
      </c>
      <c r="AN11" s="14" t="s">
        <v>492</v>
      </c>
      <c r="AO11" s="14" t="s">
        <v>493</v>
      </c>
      <c r="AQ11" s="14" t="s">
        <v>492</v>
      </c>
      <c r="AR11" s="14" t="s">
        <v>493</v>
      </c>
      <c r="AT11" s="14" t="s">
        <v>492</v>
      </c>
      <c r="AU11" s="14" t="s">
        <v>493</v>
      </c>
      <c r="AW11" s="14" t="s">
        <v>492</v>
      </c>
      <c r="AX11" s="14" t="s">
        <v>493</v>
      </c>
      <c r="AZ11" s="14" t="s">
        <v>492</v>
      </c>
      <c r="BA11" s="14" t="s">
        <v>493</v>
      </c>
      <c r="BC11" s="14" t="s">
        <v>492</v>
      </c>
      <c r="BD11" s="14" t="s">
        <v>493</v>
      </c>
      <c r="BF11" s="14" t="s">
        <v>492</v>
      </c>
      <c r="BG11" s="14" t="s">
        <v>493</v>
      </c>
      <c r="BI11" s="14" t="s">
        <v>492</v>
      </c>
      <c r="BJ11" s="14" t="s">
        <v>493</v>
      </c>
      <c r="BL11" s="14" t="s">
        <v>492</v>
      </c>
      <c r="BM11" s="14" t="s">
        <v>493</v>
      </c>
      <c r="BO11" s="14" t="s">
        <v>492</v>
      </c>
      <c r="BP11" s="14" t="s">
        <v>493</v>
      </c>
      <c r="BR11" s="14" t="s">
        <v>492</v>
      </c>
      <c r="BS11" s="14" t="s">
        <v>493</v>
      </c>
      <c r="BU11" s="14" t="s">
        <v>492</v>
      </c>
      <c r="BV11" s="14" t="s">
        <v>493</v>
      </c>
      <c r="BX11" s="14" t="s">
        <v>492</v>
      </c>
      <c r="BY11" s="14" t="s">
        <v>493</v>
      </c>
      <c r="CA11" s="14" t="s">
        <v>492</v>
      </c>
      <c r="CB11" s="14" t="s">
        <v>493</v>
      </c>
      <c r="CD11" s="14" t="s">
        <v>492</v>
      </c>
      <c r="CE11" s="14" t="s">
        <v>493</v>
      </c>
      <c r="CG11" s="14" t="s">
        <v>492</v>
      </c>
      <c r="CH11" s="14" t="s">
        <v>493</v>
      </c>
      <c r="CJ11" s="14" t="s">
        <v>492</v>
      </c>
      <c r="CK11" s="14" t="s">
        <v>493</v>
      </c>
      <c r="CM11" s="14" t="s">
        <v>492</v>
      </c>
      <c r="CN11" s="14" t="s">
        <v>493</v>
      </c>
      <c r="CP11" s="14" t="s">
        <v>492</v>
      </c>
      <c r="CQ11" s="14" t="s">
        <v>493</v>
      </c>
    </row>
    <row r="12" spans="1:95" x14ac:dyDescent="0.25">
      <c r="A12" s="2">
        <v>43585</v>
      </c>
      <c r="B12">
        <v>590000000</v>
      </c>
      <c r="C12"/>
      <c r="D12" s="2">
        <v>43511</v>
      </c>
      <c r="E12" s="40">
        <v>43435000</v>
      </c>
      <c r="F12"/>
      <c r="G12" s="22">
        <v>43738</v>
      </c>
      <c r="H12" s="40">
        <v>2929594.7568521062</v>
      </c>
      <c r="I12"/>
      <c r="J12" s="22">
        <v>43738</v>
      </c>
      <c r="K12" s="40">
        <v>3568660570.7100005</v>
      </c>
      <c r="L12" s="40"/>
      <c r="M12" s="34">
        <v>43525</v>
      </c>
      <c r="N12" s="14">
        <v>33641599.638747804</v>
      </c>
      <c r="P12" s="34">
        <v>44927</v>
      </c>
      <c r="Q12" s="14">
        <v>391930718.07772779</v>
      </c>
      <c r="S12" s="34">
        <v>43525</v>
      </c>
      <c r="T12" s="14">
        <v>110550176.24511345</v>
      </c>
      <c r="V12" s="34">
        <v>44927</v>
      </c>
      <c r="W12" s="14">
        <v>648966905.00253689</v>
      </c>
      <c r="Y12" s="34">
        <v>43646</v>
      </c>
      <c r="Z12" s="14">
        <v>164135000</v>
      </c>
      <c r="AB12" s="34">
        <v>43646</v>
      </c>
      <c r="AC12" s="14">
        <v>164135000</v>
      </c>
      <c r="AE12" s="34">
        <v>42369</v>
      </c>
      <c r="AF12" s="14">
        <v>13075195</v>
      </c>
      <c r="AH12" s="34">
        <v>42369</v>
      </c>
      <c r="AI12" s="14">
        <v>8303507</v>
      </c>
      <c r="AK12" s="34">
        <v>42004</v>
      </c>
      <c r="AL12" s="14">
        <v>2095092</v>
      </c>
      <c r="AN12" s="34">
        <v>42916</v>
      </c>
      <c r="AO12" s="14">
        <v>3317862.7453318164</v>
      </c>
      <c r="AQ12" s="34">
        <v>42004</v>
      </c>
      <c r="AR12" s="14">
        <v>2095092</v>
      </c>
      <c r="AT12" s="34">
        <v>42004</v>
      </c>
      <c r="AU12" s="14">
        <v>2095092</v>
      </c>
      <c r="AW12" s="34">
        <v>43281</v>
      </c>
      <c r="AX12" s="14">
        <v>1209703</v>
      </c>
      <c r="AZ12" s="34">
        <v>42004</v>
      </c>
      <c r="BA12" s="14">
        <v>2331076</v>
      </c>
      <c r="BC12" s="34">
        <v>42369</v>
      </c>
      <c r="BD12" s="14">
        <v>12544700</v>
      </c>
      <c r="BF12" s="34">
        <v>43100</v>
      </c>
      <c r="BG12" s="14">
        <v>18302355</v>
      </c>
      <c r="BI12" s="34">
        <v>43100</v>
      </c>
      <c r="BJ12" s="14">
        <v>18302355</v>
      </c>
      <c r="BL12" s="34">
        <v>42460</v>
      </c>
      <c r="BM12" s="14">
        <v>2291886</v>
      </c>
      <c r="BO12" s="34">
        <v>42460</v>
      </c>
      <c r="BP12" s="14">
        <v>1799947</v>
      </c>
      <c r="BR12" s="34">
        <v>42369</v>
      </c>
      <c r="BS12" s="14">
        <v>2394191</v>
      </c>
      <c r="BU12" s="34">
        <v>42460</v>
      </c>
      <c r="BV12" s="14">
        <v>2238803</v>
      </c>
      <c r="BX12" s="34">
        <v>42460</v>
      </c>
      <c r="BY12" s="14">
        <v>2498722</v>
      </c>
      <c r="CA12" s="34">
        <v>42370</v>
      </c>
      <c r="CB12" s="14">
        <v>2835164</v>
      </c>
      <c r="CD12" s="34">
        <v>42185</v>
      </c>
      <c r="CE12" s="14">
        <v>6835500</v>
      </c>
      <c r="CG12" s="34">
        <v>43100</v>
      </c>
      <c r="CH12" s="14">
        <v>1728987</v>
      </c>
      <c r="CJ12" s="34">
        <v>42916</v>
      </c>
      <c r="CK12" s="14">
        <v>5647782</v>
      </c>
      <c r="CM12" s="2">
        <v>43511</v>
      </c>
      <c r="CN12" s="84">
        <v>43435000</v>
      </c>
      <c r="CP12" s="34">
        <v>43646</v>
      </c>
      <c r="CQ12" s="14">
        <v>164135000</v>
      </c>
    </row>
    <row r="13" spans="1:95" x14ac:dyDescent="0.25">
      <c r="A13" s="2">
        <v>43677</v>
      </c>
      <c r="B13">
        <v>586165608</v>
      </c>
      <c r="C13"/>
      <c r="D13" s="2">
        <v>43644</v>
      </c>
      <c r="E13" s="40">
        <v>40431439.340000004</v>
      </c>
      <c r="F13"/>
      <c r="G13" s="22">
        <v>43769</v>
      </c>
      <c r="H13" s="40">
        <v>21530797.333445165</v>
      </c>
      <c r="I13"/>
      <c r="J13" s="22">
        <v>43769</v>
      </c>
      <c r="K13" s="40">
        <v>26227554961.347393</v>
      </c>
      <c r="L13" s="40"/>
      <c r="M13" s="34">
        <v>43556</v>
      </c>
      <c r="N13" s="14">
        <v>57838535.024011463</v>
      </c>
      <c r="P13" s="34">
        <v>45108</v>
      </c>
      <c r="Q13" s="14">
        <v>383962692.39505446</v>
      </c>
      <c r="S13" s="34">
        <v>43556</v>
      </c>
      <c r="T13" s="14">
        <v>114938006.91733354</v>
      </c>
      <c r="V13" s="34">
        <v>45108</v>
      </c>
      <c r="W13" s="14">
        <v>607794785.59969342</v>
      </c>
      <c r="Y13" s="34">
        <v>43830</v>
      </c>
      <c r="Z13" s="14">
        <v>159752612.3282128</v>
      </c>
      <c r="AB13" s="34">
        <v>43830</v>
      </c>
      <c r="AC13" s="14">
        <v>159752612.3282128</v>
      </c>
      <c r="AE13" s="34">
        <v>42551</v>
      </c>
      <c r="AF13" s="14">
        <v>12746500</v>
      </c>
      <c r="AH13" s="34">
        <v>42551</v>
      </c>
      <c r="AI13" s="14">
        <v>8082804</v>
      </c>
      <c r="AK13" s="34">
        <v>42185</v>
      </c>
      <c r="AL13" s="14">
        <v>2005410</v>
      </c>
      <c r="AN13" s="34">
        <v>43100</v>
      </c>
      <c r="AO13" s="14">
        <v>3151453.7200868176</v>
      </c>
      <c r="AQ13" s="34">
        <v>42185</v>
      </c>
      <c r="AR13" s="14">
        <v>2005410</v>
      </c>
      <c r="AT13" s="34">
        <v>42185</v>
      </c>
      <c r="AU13" s="14">
        <v>2005410</v>
      </c>
      <c r="AW13" s="34">
        <v>43464</v>
      </c>
      <c r="AX13" s="14">
        <v>1173691.8484447626</v>
      </c>
      <c r="AZ13" s="34">
        <v>42185</v>
      </c>
      <c r="BA13" s="14">
        <v>2256928</v>
      </c>
      <c r="BC13" s="34">
        <v>42551</v>
      </c>
      <c r="BD13" s="14">
        <v>12149541</v>
      </c>
      <c r="BF13" s="34">
        <v>43281</v>
      </c>
      <c r="BG13" s="14">
        <v>17949114</v>
      </c>
      <c r="BI13" s="34">
        <v>43281</v>
      </c>
      <c r="BJ13" s="14">
        <v>17949114</v>
      </c>
      <c r="BL13" s="34">
        <v>42551</v>
      </c>
      <c r="BM13" s="14">
        <v>2229320</v>
      </c>
      <c r="BO13" s="34">
        <v>42551</v>
      </c>
      <c r="BP13" s="14">
        <v>1751604</v>
      </c>
      <c r="BR13" s="34">
        <v>42460</v>
      </c>
      <c r="BS13" s="14">
        <v>2334125</v>
      </c>
      <c r="BU13" s="34">
        <v>42551</v>
      </c>
      <c r="BV13" s="14">
        <v>2178674</v>
      </c>
      <c r="BX13" s="34">
        <v>42551</v>
      </c>
      <c r="BY13" s="14">
        <v>2433584</v>
      </c>
      <c r="CA13" s="34">
        <v>42461</v>
      </c>
      <c r="CB13" s="14">
        <v>2794689</v>
      </c>
      <c r="CD13" s="34">
        <v>42369</v>
      </c>
      <c r="CE13" s="14">
        <v>6666500</v>
      </c>
      <c r="CG13" s="34">
        <v>43281</v>
      </c>
      <c r="CH13" s="14">
        <v>1656424</v>
      </c>
      <c r="CJ13" s="34">
        <v>43100</v>
      </c>
      <c r="CK13" s="14">
        <v>5523049</v>
      </c>
      <c r="CM13" s="2">
        <v>43644</v>
      </c>
      <c r="CN13" s="84">
        <v>40431439.340000004</v>
      </c>
      <c r="CP13" s="34">
        <v>43830</v>
      </c>
      <c r="CQ13" s="14">
        <v>159752612.3282128</v>
      </c>
    </row>
    <row r="14" spans="1:95" x14ac:dyDescent="0.25">
      <c r="A14" s="2">
        <v>43769</v>
      </c>
      <c r="B14">
        <v>582868037</v>
      </c>
      <c r="C14"/>
      <c r="D14" s="2">
        <v>43829</v>
      </c>
      <c r="E14" s="40">
        <v>37441916.340000004</v>
      </c>
      <c r="F14"/>
      <c r="G14" s="22">
        <v>43799</v>
      </c>
      <c r="H14" s="40">
        <v>22630510.314583059</v>
      </c>
      <c r="I14"/>
      <c r="J14" s="22">
        <v>43799</v>
      </c>
      <c r="K14" s="40">
        <v>27567160838.81752</v>
      </c>
      <c r="L14" s="40"/>
      <c r="M14" s="34">
        <v>43586</v>
      </c>
      <c r="N14" s="14">
        <v>58716566.566495791</v>
      </c>
      <c r="P14" s="34">
        <v>45292</v>
      </c>
      <c r="Q14" s="14">
        <v>375547555.80403233</v>
      </c>
      <c r="S14" s="34">
        <v>43586</v>
      </c>
      <c r="T14" s="14">
        <v>115097227.64805613</v>
      </c>
      <c r="V14" s="34">
        <v>45292</v>
      </c>
      <c r="W14" s="14">
        <v>580415111.66508341</v>
      </c>
      <c r="Y14" s="34">
        <v>44012</v>
      </c>
      <c r="Z14" s="14">
        <v>151199114.97119883</v>
      </c>
      <c r="AB14" s="34">
        <v>44012</v>
      </c>
      <c r="AC14" s="14">
        <v>151199114.97119883</v>
      </c>
      <c r="AE14" s="34">
        <v>42735</v>
      </c>
      <c r="AF14" s="14">
        <v>12426004</v>
      </c>
      <c r="AH14" s="34">
        <v>42735</v>
      </c>
      <c r="AI14" s="14">
        <v>7854446</v>
      </c>
      <c r="AK14" s="34">
        <v>42369</v>
      </c>
      <c r="AL14" s="14">
        <v>1927161</v>
      </c>
      <c r="AN14" s="34">
        <v>43281</v>
      </c>
      <c r="AO14" s="14">
        <v>2955760.7727219798</v>
      </c>
      <c r="AQ14" s="34">
        <v>42369</v>
      </c>
      <c r="AR14" s="14">
        <v>1927161</v>
      </c>
      <c r="AT14" s="34">
        <v>42369</v>
      </c>
      <c r="AU14" s="14">
        <v>1927161</v>
      </c>
      <c r="AW14" s="34">
        <v>43646</v>
      </c>
      <c r="AX14" s="14">
        <v>1124052.241961058</v>
      </c>
      <c r="AZ14" s="34">
        <v>42369</v>
      </c>
      <c r="BA14" s="14">
        <v>2204339</v>
      </c>
      <c r="BC14" s="34">
        <v>42735</v>
      </c>
      <c r="BD14" s="14">
        <v>11795781</v>
      </c>
      <c r="BF14" s="34">
        <v>43464</v>
      </c>
      <c r="BG14" s="14">
        <v>17294279</v>
      </c>
      <c r="BI14" s="34">
        <v>43464</v>
      </c>
      <c r="BJ14" s="14">
        <v>17294279</v>
      </c>
      <c r="BL14" s="34">
        <v>42643</v>
      </c>
      <c r="BM14" s="14">
        <v>2166073</v>
      </c>
      <c r="BO14" s="34">
        <v>42643</v>
      </c>
      <c r="BP14" s="14">
        <v>1702983</v>
      </c>
      <c r="BR14" s="34">
        <v>42551</v>
      </c>
      <c r="BS14" s="14">
        <v>2273232</v>
      </c>
      <c r="BU14" s="34">
        <v>42643</v>
      </c>
      <c r="BV14" s="14">
        <v>2118198</v>
      </c>
      <c r="BX14" s="34">
        <v>42643</v>
      </c>
      <c r="BY14" s="14">
        <v>2367500</v>
      </c>
      <c r="CA14" s="34">
        <v>42552</v>
      </c>
      <c r="CB14" s="14">
        <v>2753882</v>
      </c>
      <c r="CD14" s="34">
        <v>42551</v>
      </c>
      <c r="CE14" s="14">
        <v>6530174</v>
      </c>
      <c r="CG14" s="34">
        <v>43464</v>
      </c>
      <c r="CH14" s="14">
        <v>1606883</v>
      </c>
      <c r="CJ14" s="34">
        <v>43281</v>
      </c>
      <c r="CK14" s="14">
        <v>5355953</v>
      </c>
      <c r="CM14" s="2">
        <v>43829</v>
      </c>
      <c r="CN14" s="84">
        <v>37441916.340000004</v>
      </c>
      <c r="CP14" s="34">
        <v>44012</v>
      </c>
      <c r="CQ14" s="14">
        <v>151199114.97119883</v>
      </c>
    </row>
    <row r="15" spans="1:95" x14ac:dyDescent="0.25">
      <c r="A15" s="2">
        <v>43861</v>
      </c>
      <c r="B15">
        <v>578077686</v>
      </c>
      <c r="C15"/>
      <c r="D15" s="2">
        <v>44012</v>
      </c>
      <c r="E15" s="40">
        <v>34173308.640000001</v>
      </c>
      <c r="F15"/>
      <c r="G15" s="22">
        <v>43830</v>
      </c>
      <c r="H15" s="40">
        <v>31422332.379221573</v>
      </c>
      <c r="I15"/>
      <c r="J15" s="22">
        <v>43830</v>
      </c>
      <c r="K15" s="40">
        <v>38276843013.592628</v>
      </c>
      <c r="L15" s="40"/>
      <c r="M15" s="34">
        <v>43617</v>
      </c>
      <c r="N15" s="14">
        <v>93421387.931628391</v>
      </c>
      <c r="P15" s="34">
        <v>45474</v>
      </c>
      <c r="Q15" s="14">
        <v>366809221.95579469</v>
      </c>
      <c r="S15" s="34">
        <v>43617</v>
      </c>
      <c r="T15" s="14">
        <v>122368507.30254166</v>
      </c>
      <c r="V15" s="34">
        <v>45474</v>
      </c>
      <c r="W15" s="14">
        <v>552955465.70739329</v>
      </c>
      <c r="Y15" s="34">
        <v>44196</v>
      </c>
      <c r="Z15" s="14">
        <v>147074806.60704786</v>
      </c>
      <c r="AB15" s="34">
        <v>44196</v>
      </c>
      <c r="AC15" s="14">
        <v>147074806.60704786</v>
      </c>
      <c r="AE15" s="34">
        <v>42916</v>
      </c>
      <c r="AF15" s="14">
        <v>12074822</v>
      </c>
      <c r="AH15" s="34">
        <v>42916</v>
      </c>
      <c r="AI15" s="14">
        <v>7623198</v>
      </c>
      <c r="AK15" s="34">
        <v>42551</v>
      </c>
      <c r="AL15" s="14">
        <v>1834675</v>
      </c>
      <c r="AN15" s="34">
        <v>43464</v>
      </c>
      <c r="AO15" s="14">
        <v>2782675.2843158902</v>
      </c>
      <c r="AQ15" s="34">
        <v>42551</v>
      </c>
      <c r="AR15" s="14">
        <v>1834675</v>
      </c>
      <c r="AT15" s="34">
        <v>42551</v>
      </c>
      <c r="AU15" s="14">
        <v>1834675</v>
      </c>
      <c r="AW15" s="34">
        <v>43830</v>
      </c>
      <c r="AX15" s="14">
        <v>1086931.4976850385</v>
      </c>
      <c r="AZ15" s="34">
        <v>42551</v>
      </c>
      <c r="BA15" s="14">
        <v>2131675</v>
      </c>
      <c r="BC15" s="34">
        <v>42916</v>
      </c>
      <c r="BD15" s="14">
        <v>11394351</v>
      </c>
      <c r="BF15" s="34">
        <v>43646</v>
      </c>
      <c r="BG15" s="14">
        <v>16590089</v>
      </c>
      <c r="BI15" s="34">
        <v>43646</v>
      </c>
      <c r="BJ15" s="14">
        <v>16590089</v>
      </c>
      <c r="BL15" s="34">
        <v>42735</v>
      </c>
      <c r="BM15" s="14">
        <v>2102139</v>
      </c>
      <c r="BO15" s="34">
        <v>42735</v>
      </c>
      <c r="BP15" s="14">
        <v>1653709</v>
      </c>
      <c r="BR15" s="34">
        <v>42643</v>
      </c>
      <c r="BS15" s="14">
        <v>2211502</v>
      </c>
      <c r="BU15" s="34">
        <v>42735</v>
      </c>
      <c r="BV15" s="14">
        <v>2056911</v>
      </c>
      <c r="BX15" s="34">
        <v>42735</v>
      </c>
      <c r="BY15" s="14">
        <v>2300507</v>
      </c>
      <c r="CA15" s="34">
        <v>42644</v>
      </c>
      <c r="CB15" s="14">
        <v>2712742</v>
      </c>
      <c r="CD15" s="34">
        <v>42735</v>
      </c>
      <c r="CE15" s="14">
        <v>6358122</v>
      </c>
      <c r="CG15" s="34">
        <v>43646</v>
      </c>
      <c r="CH15" s="14">
        <v>1548869</v>
      </c>
      <c r="CJ15" s="34">
        <v>43464</v>
      </c>
      <c r="CK15" s="14">
        <v>5222423</v>
      </c>
      <c r="CM15" s="2">
        <v>44012</v>
      </c>
      <c r="CN15" s="84">
        <v>34173308.640000001</v>
      </c>
      <c r="CP15" s="34">
        <v>44196</v>
      </c>
      <c r="CQ15" s="14">
        <v>147074806.60704786</v>
      </c>
    </row>
    <row r="16" spans="1:95" x14ac:dyDescent="0.25">
      <c r="A16" s="2">
        <v>43951</v>
      </c>
      <c r="B16">
        <v>566222539</v>
      </c>
      <c r="C16"/>
      <c r="D16" s="2">
        <v>44195</v>
      </c>
      <c r="E16" s="40">
        <v>30921979.420000002</v>
      </c>
      <c r="F16"/>
      <c r="G16" s="22">
        <v>43861</v>
      </c>
      <c r="H16" s="40">
        <v>32136705.31086342</v>
      </c>
      <c r="I16"/>
      <c r="J16" s="22">
        <v>43861</v>
      </c>
      <c r="K16" s="40">
        <v>39156839710.328743</v>
      </c>
      <c r="L16" s="40"/>
      <c r="M16" s="34">
        <v>43647</v>
      </c>
      <c r="N16" s="14">
        <v>94318993.823690951</v>
      </c>
      <c r="P16" s="34">
        <v>45658</v>
      </c>
      <c r="Q16" s="14">
        <v>357587558.89337969</v>
      </c>
      <c r="S16" s="34">
        <v>43647</v>
      </c>
      <c r="T16" s="14">
        <v>122529857.55531453</v>
      </c>
      <c r="V16" s="34">
        <v>45658</v>
      </c>
      <c r="W16" s="14">
        <v>525412889.96134931</v>
      </c>
      <c r="Y16" s="34">
        <v>44377</v>
      </c>
      <c r="Z16" s="14">
        <v>138188262.37843734</v>
      </c>
      <c r="AB16" s="34">
        <v>44377</v>
      </c>
      <c r="AC16" s="14">
        <v>138188262.37843734</v>
      </c>
      <c r="AE16" s="34">
        <v>43100</v>
      </c>
      <c r="AF16" s="14">
        <v>11737613</v>
      </c>
      <c r="AH16" s="34">
        <v>43100</v>
      </c>
      <c r="AI16" s="14">
        <v>7383804</v>
      </c>
      <c r="AK16" s="34">
        <v>42735</v>
      </c>
      <c r="AL16" s="14">
        <v>1753903</v>
      </c>
      <c r="AN16" s="34">
        <v>43646</v>
      </c>
      <c r="AO16" s="14">
        <v>2580469.1957382946</v>
      </c>
      <c r="AQ16" s="34">
        <v>42735</v>
      </c>
      <c r="AR16" s="14">
        <v>1753903</v>
      </c>
      <c r="AT16" s="34">
        <v>42735</v>
      </c>
      <c r="AU16" s="14">
        <v>1753903</v>
      </c>
      <c r="AW16" s="34">
        <v>44012</v>
      </c>
      <c r="AX16" s="14">
        <v>1035980.4957370277</v>
      </c>
      <c r="AZ16" s="34">
        <v>42735</v>
      </c>
      <c r="BA16" s="14">
        <v>2078517</v>
      </c>
      <c r="BC16" s="34">
        <v>43100</v>
      </c>
      <c r="BD16" s="14">
        <v>11031809</v>
      </c>
      <c r="BF16" s="34">
        <v>43830</v>
      </c>
      <c r="BG16" s="14">
        <v>15934467</v>
      </c>
      <c r="BI16" s="34">
        <v>43830</v>
      </c>
      <c r="BJ16" s="14">
        <v>15934467</v>
      </c>
      <c r="BL16" s="34">
        <v>42825</v>
      </c>
      <c r="BM16" s="14">
        <v>2037509</v>
      </c>
      <c r="BO16" s="34">
        <v>42825</v>
      </c>
      <c r="BP16" s="14">
        <v>1603963</v>
      </c>
      <c r="BR16" s="34">
        <v>42735</v>
      </c>
      <c r="BS16" s="14">
        <v>2148923</v>
      </c>
      <c r="BU16" s="34">
        <v>42825</v>
      </c>
      <c r="BV16" s="14">
        <v>1995035</v>
      </c>
      <c r="BX16" s="34">
        <v>42825</v>
      </c>
      <c r="BY16" s="14">
        <v>2232593</v>
      </c>
      <c r="CA16" s="34">
        <v>42736</v>
      </c>
      <c r="CB16" s="14">
        <v>2671265</v>
      </c>
      <c r="CD16" s="34">
        <v>42916</v>
      </c>
      <c r="CE16" s="14">
        <v>6221174</v>
      </c>
      <c r="CG16" s="34">
        <v>43830</v>
      </c>
      <c r="CH16" s="14">
        <v>1495460</v>
      </c>
      <c r="CJ16" s="34">
        <v>43646</v>
      </c>
      <c r="CK16" s="14">
        <v>5046227</v>
      </c>
      <c r="CM16" s="2">
        <v>44195</v>
      </c>
      <c r="CN16" s="84">
        <v>30921979.420000002</v>
      </c>
      <c r="CP16" s="34">
        <v>44377</v>
      </c>
      <c r="CQ16" s="14">
        <v>138188262.37843734</v>
      </c>
    </row>
    <row r="17" spans="1:95" x14ac:dyDescent="0.25">
      <c r="A17" s="2">
        <v>44043</v>
      </c>
      <c r="B17">
        <v>547969375</v>
      </c>
      <c r="C17"/>
      <c r="D17" s="2">
        <v>44377</v>
      </c>
      <c r="E17" s="40">
        <v>27637529.48</v>
      </c>
      <c r="F17"/>
      <c r="G17" s="22">
        <v>43890</v>
      </c>
      <c r="H17" s="40">
        <v>32851078.242505267</v>
      </c>
      <c r="I17"/>
      <c r="J17" s="22">
        <v>43890</v>
      </c>
      <c r="K17" s="40">
        <v>40036836407.06485</v>
      </c>
      <c r="L17" s="40"/>
      <c r="M17" s="34">
        <v>43678</v>
      </c>
      <c r="N17" s="14">
        <v>95203558.278231114</v>
      </c>
      <c r="P17" s="34">
        <v>45839</v>
      </c>
      <c r="Q17" s="14">
        <v>348005013.62437344</v>
      </c>
      <c r="S17" s="34">
        <v>43678</v>
      </c>
      <c r="T17" s="14">
        <v>122688863.52842146</v>
      </c>
      <c r="V17" s="34">
        <v>45839</v>
      </c>
      <c r="W17" s="14">
        <v>497784317.26872909</v>
      </c>
      <c r="Y17" s="34">
        <v>44561</v>
      </c>
      <c r="Z17" s="14">
        <v>133636670.02957945</v>
      </c>
      <c r="AB17" s="34">
        <v>44561</v>
      </c>
      <c r="AC17" s="14">
        <v>133636670.02957945</v>
      </c>
      <c r="AE17" s="34">
        <v>43281</v>
      </c>
      <c r="AF17" s="14">
        <v>11361717</v>
      </c>
      <c r="AH17" s="34">
        <v>43281</v>
      </c>
      <c r="AI17" s="14">
        <v>7141682</v>
      </c>
      <c r="AK17" s="34">
        <v>42916</v>
      </c>
      <c r="AL17" s="14">
        <v>1658931</v>
      </c>
      <c r="AN17" s="34">
        <v>43830</v>
      </c>
      <c r="AO17" s="14">
        <v>2400825.9037770261</v>
      </c>
      <c r="AQ17" s="34">
        <v>42916</v>
      </c>
      <c r="AR17" s="14">
        <v>1658931</v>
      </c>
      <c r="AT17" s="34">
        <v>42916</v>
      </c>
      <c r="AU17" s="14">
        <v>1658931</v>
      </c>
      <c r="AW17" s="34">
        <v>44196</v>
      </c>
      <c r="AX17" s="14">
        <v>997378.79011316597</v>
      </c>
      <c r="AZ17" s="34">
        <v>42916</v>
      </c>
      <c r="BA17" s="14">
        <v>2004988</v>
      </c>
      <c r="BC17" s="34">
        <v>43281</v>
      </c>
      <c r="BD17" s="14">
        <v>10620343</v>
      </c>
      <c r="BF17" s="34">
        <v>44012</v>
      </c>
      <c r="BG17" s="14">
        <v>15192696</v>
      </c>
      <c r="BI17" s="34">
        <v>44012</v>
      </c>
      <c r="BJ17" s="14">
        <v>15192696</v>
      </c>
      <c r="BL17" s="34">
        <v>42916</v>
      </c>
      <c r="BM17" s="14">
        <v>1972177</v>
      </c>
      <c r="BO17" s="34">
        <v>42916</v>
      </c>
      <c r="BP17" s="14">
        <v>1553738</v>
      </c>
      <c r="BR17" s="34">
        <v>42825</v>
      </c>
      <c r="BS17" s="14">
        <v>2085484</v>
      </c>
      <c r="BU17" s="34">
        <v>42916</v>
      </c>
      <c r="BV17" s="14">
        <v>1932565</v>
      </c>
      <c r="BX17" s="34">
        <v>42916</v>
      </c>
      <c r="BY17" s="14">
        <v>2163745</v>
      </c>
      <c r="CA17" s="34">
        <v>42826</v>
      </c>
      <c r="CB17" s="14">
        <v>2629449</v>
      </c>
      <c r="CD17" s="34">
        <v>43100</v>
      </c>
      <c r="CE17" s="14">
        <v>6046766</v>
      </c>
      <c r="CG17" s="34">
        <v>44012</v>
      </c>
      <c r="CH17" s="14">
        <v>1430632</v>
      </c>
      <c r="CJ17" s="34">
        <v>43830</v>
      </c>
      <c r="CK17" s="14">
        <v>4902387</v>
      </c>
      <c r="CM17" s="2">
        <v>44377</v>
      </c>
      <c r="CN17" s="84">
        <v>27637529.48</v>
      </c>
      <c r="CP17" s="34">
        <v>44561</v>
      </c>
      <c r="CQ17" s="14">
        <v>133636670.02957945</v>
      </c>
    </row>
    <row r="18" spans="1:95" x14ac:dyDescent="0.25">
      <c r="A18" s="2">
        <v>44134</v>
      </c>
      <c r="B18">
        <v>543006649</v>
      </c>
      <c r="C18"/>
      <c r="D18" s="2">
        <v>44560</v>
      </c>
      <c r="E18" s="40">
        <v>24378266.710000001</v>
      </c>
      <c r="F18"/>
      <c r="G18" s="22">
        <v>43921</v>
      </c>
      <c r="H18" s="40">
        <v>40802996.19853618</v>
      </c>
      <c r="I18"/>
      <c r="J18" s="22">
        <v>43921</v>
      </c>
      <c r="K18" s="40">
        <v>49832366478.369461</v>
      </c>
      <c r="L18" s="40"/>
      <c r="M18" s="34">
        <v>43709</v>
      </c>
      <c r="N18" s="14">
        <v>132729371.12968549</v>
      </c>
      <c r="P18" s="34">
        <v>46023</v>
      </c>
      <c r="Q18" s="14">
        <v>337899420.47270328</v>
      </c>
      <c r="S18" s="34">
        <v>43709</v>
      </c>
      <c r="T18" s="14">
        <v>129434362.24075262</v>
      </c>
      <c r="V18" s="34">
        <v>46023</v>
      </c>
      <c r="W18" s="14">
        <v>470066567.03246373</v>
      </c>
      <c r="Y18" s="34">
        <v>44742</v>
      </c>
      <c r="Z18" s="14">
        <v>124604522.85134518</v>
      </c>
      <c r="AB18" s="34">
        <v>44742</v>
      </c>
      <c r="AC18" s="14">
        <v>124604522.85134518</v>
      </c>
      <c r="AE18" s="34">
        <v>43464</v>
      </c>
      <c r="AF18" s="14">
        <v>10982654</v>
      </c>
      <c r="AH18" s="34">
        <v>43464</v>
      </c>
      <c r="AI18" s="14">
        <v>6891811</v>
      </c>
      <c r="AK18" s="34">
        <v>43100</v>
      </c>
      <c r="AL18" s="14">
        <v>1575726</v>
      </c>
      <c r="AN18" s="34">
        <v>44012</v>
      </c>
      <c r="AO18" s="14">
        <v>2191512.9393542549</v>
      </c>
      <c r="AQ18" s="34">
        <v>43100</v>
      </c>
      <c r="AR18" s="14">
        <v>1575726</v>
      </c>
      <c r="AT18" s="34">
        <v>43100</v>
      </c>
      <c r="AU18" s="14">
        <v>1575726</v>
      </c>
      <c r="AW18" s="34">
        <v>44377</v>
      </c>
      <c r="AX18" s="14">
        <v>944508.40552147804</v>
      </c>
      <c r="AZ18" s="34">
        <v>43100</v>
      </c>
      <c r="BA18" s="14">
        <v>1951361</v>
      </c>
      <c r="BC18" s="34">
        <v>43464</v>
      </c>
      <c r="BD18" s="14">
        <v>10246510</v>
      </c>
      <c r="BF18" s="34">
        <v>44196</v>
      </c>
      <c r="BG18" s="14">
        <v>14474383</v>
      </c>
      <c r="BI18" s="34">
        <v>44196</v>
      </c>
      <c r="BJ18" s="14">
        <v>14474383</v>
      </c>
      <c r="BL18" s="34">
        <v>43007</v>
      </c>
      <c r="BM18" s="14">
        <v>1906134</v>
      </c>
      <c r="BO18" s="34">
        <v>43007</v>
      </c>
      <c r="BP18" s="14">
        <v>1503031</v>
      </c>
      <c r="BR18" s="34">
        <v>42916</v>
      </c>
      <c r="BS18" s="14">
        <v>2021173</v>
      </c>
      <c r="BU18" s="34">
        <v>43007</v>
      </c>
      <c r="BV18" s="14">
        <v>1869494</v>
      </c>
      <c r="BX18" s="34">
        <v>43007</v>
      </c>
      <c r="BY18" s="14">
        <v>2093951</v>
      </c>
      <c r="CA18" s="34">
        <v>42917</v>
      </c>
      <c r="CB18" s="14">
        <v>2587291</v>
      </c>
      <c r="CD18" s="34">
        <v>43281</v>
      </c>
      <c r="CE18" s="14">
        <v>5907674</v>
      </c>
      <c r="CG18" s="34">
        <v>44196</v>
      </c>
      <c r="CH18" s="14">
        <v>1372619</v>
      </c>
      <c r="CJ18" s="34">
        <v>44012</v>
      </c>
      <c r="CK18" s="14">
        <v>4708752</v>
      </c>
      <c r="CM18" s="2">
        <v>44560</v>
      </c>
      <c r="CN18" s="84">
        <v>24378266.710000001</v>
      </c>
      <c r="CP18" s="34">
        <v>44742</v>
      </c>
      <c r="CQ18" s="14">
        <v>124604522.85134518</v>
      </c>
    </row>
    <row r="19" spans="1:95" x14ac:dyDescent="0.25">
      <c r="A19" s="2">
        <v>44225</v>
      </c>
      <c r="B19">
        <v>536535384</v>
      </c>
      <c r="C19"/>
      <c r="D19" s="2">
        <v>44742</v>
      </c>
      <c r="E19" s="40">
        <v>21082537.399999999</v>
      </c>
      <c r="F19"/>
      <c r="G19" s="22">
        <v>43951</v>
      </c>
      <c r="H19" s="40">
        <v>41517369.130178027</v>
      </c>
      <c r="I19"/>
      <c r="J19" s="22">
        <v>43951</v>
      </c>
      <c r="K19" s="40">
        <v>50712363175.105576</v>
      </c>
      <c r="L19" s="40"/>
      <c r="M19" s="34">
        <v>43739</v>
      </c>
      <c r="N19" s="14">
        <v>133677905.15007652</v>
      </c>
      <c r="P19" s="34">
        <v>46204</v>
      </c>
      <c r="Q19" s="14">
        <v>327391643.48102134</v>
      </c>
      <c r="S19" s="34">
        <v>43739</v>
      </c>
      <c r="T19" s="14">
        <v>129603353.5980878</v>
      </c>
      <c r="V19" s="34">
        <v>46204</v>
      </c>
      <c r="W19" s="14">
        <v>442256341.02110142</v>
      </c>
      <c r="Y19" s="34">
        <v>44926</v>
      </c>
      <c r="Z19" s="14">
        <v>119748483.37404098</v>
      </c>
      <c r="AB19" s="34">
        <v>44926</v>
      </c>
      <c r="AC19" s="14">
        <v>119748483.37404098</v>
      </c>
      <c r="AE19" s="34">
        <v>43646</v>
      </c>
      <c r="AF19" s="14">
        <v>10583578</v>
      </c>
      <c r="AH19" s="34">
        <v>43646</v>
      </c>
      <c r="AI19" s="14">
        <v>6637548</v>
      </c>
      <c r="AK19" s="34">
        <v>43281</v>
      </c>
      <c r="AL19" s="14">
        <v>1477880</v>
      </c>
      <c r="AN19" s="34">
        <v>44196</v>
      </c>
      <c r="AO19" s="14">
        <v>2004097.6758835593</v>
      </c>
      <c r="AQ19" s="34">
        <v>43281</v>
      </c>
      <c r="AR19" s="14">
        <v>1477880</v>
      </c>
      <c r="AT19" s="34">
        <v>43281</v>
      </c>
      <c r="AU19" s="14">
        <v>1477880</v>
      </c>
      <c r="AW19" s="34">
        <v>44561</v>
      </c>
      <c r="AX19" s="14">
        <v>903780.35661281704</v>
      </c>
      <c r="AZ19" s="34">
        <v>43281</v>
      </c>
      <c r="BA19" s="14">
        <v>1876273</v>
      </c>
      <c r="BC19" s="34">
        <v>43646</v>
      </c>
      <c r="BD19" s="14">
        <v>9821245</v>
      </c>
      <c r="BF19" s="34">
        <v>44377</v>
      </c>
      <c r="BG19" s="14">
        <v>13674460</v>
      </c>
      <c r="BI19" s="34">
        <v>44377</v>
      </c>
      <c r="BJ19" s="14">
        <v>13674460</v>
      </c>
      <c r="BL19" s="34">
        <v>43098</v>
      </c>
      <c r="BM19" s="14">
        <v>1839373</v>
      </c>
      <c r="BO19" s="34">
        <v>43098</v>
      </c>
      <c r="BP19" s="14">
        <v>1451837</v>
      </c>
      <c r="BR19" s="34">
        <v>43007</v>
      </c>
      <c r="BS19" s="14">
        <v>1955977</v>
      </c>
      <c r="BU19" s="34">
        <v>43098</v>
      </c>
      <c r="BV19" s="14">
        <v>1805818</v>
      </c>
      <c r="BX19" s="34">
        <v>43098</v>
      </c>
      <c r="BY19" s="14">
        <v>2023197</v>
      </c>
      <c r="CA19" s="34">
        <v>43009</v>
      </c>
      <c r="CB19" s="14">
        <v>2544788</v>
      </c>
      <c r="CD19" s="34">
        <v>43464</v>
      </c>
      <c r="CE19" s="14">
        <v>5727309</v>
      </c>
      <c r="CG19" s="34">
        <v>44377</v>
      </c>
      <c r="CH19" s="14">
        <v>1303555</v>
      </c>
      <c r="CJ19" s="34">
        <v>44196</v>
      </c>
      <c r="CK19" s="14">
        <v>4544848</v>
      </c>
      <c r="CM19" s="2">
        <v>44742</v>
      </c>
      <c r="CN19" s="84">
        <v>21082537.399999999</v>
      </c>
      <c r="CP19" s="34">
        <v>44926</v>
      </c>
      <c r="CQ19" s="14">
        <v>119748483.37404098</v>
      </c>
    </row>
    <row r="20" spans="1:95" x14ac:dyDescent="0.25">
      <c r="A20" s="2">
        <v>44316</v>
      </c>
      <c r="B20">
        <v>534747432</v>
      </c>
      <c r="C20"/>
      <c r="D20" s="2">
        <v>44925</v>
      </c>
      <c r="E20" s="40">
        <v>17811197.370000001</v>
      </c>
      <c r="F20"/>
      <c r="G20" s="22">
        <v>43982</v>
      </c>
      <c r="H20" s="40">
        <v>42231742.061819874</v>
      </c>
      <c r="I20"/>
      <c r="J20" s="22">
        <v>43982</v>
      </c>
      <c r="K20" s="40">
        <v>51592359871.841682</v>
      </c>
      <c r="L20" s="40"/>
      <c r="M20" s="34">
        <v>43770</v>
      </c>
      <c r="N20" s="14">
        <v>134585635.69424888</v>
      </c>
      <c r="P20" s="34">
        <v>46388</v>
      </c>
      <c r="Q20" s="14">
        <v>316317252.03048325</v>
      </c>
      <c r="S20" s="34">
        <v>43770</v>
      </c>
      <c r="T20" s="14">
        <v>129765075.38503127</v>
      </c>
      <c r="V20" s="34">
        <v>46388</v>
      </c>
      <c r="W20" s="14">
        <v>414350219.01810002</v>
      </c>
      <c r="Y20" s="34">
        <v>45107</v>
      </c>
      <c r="Z20" s="14">
        <v>110250926.42783366</v>
      </c>
      <c r="AB20" s="34">
        <v>45107</v>
      </c>
      <c r="AC20" s="14">
        <v>110250926.42783366</v>
      </c>
      <c r="AE20" s="34">
        <v>43830</v>
      </c>
      <c r="AF20" s="14">
        <v>10194467</v>
      </c>
      <c r="AH20" s="34">
        <v>43830</v>
      </c>
      <c r="AI20" s="14">
        <v>6374546</v>
      </c>
      <c r="AK20" s="34">
        <v>43464</v>
      </c>
      <c r="AL20" s="14">
        <v>1391337</v>
      </c>
      <c r="AN20" s="34">
        <v>44377</v>
      </c>
      <c r="AO20" s="14">
        <v>1786102.992427717</v>
      </c>
      <c r="AQ20" s="34">
        <v>43464</v>
      </c>
      <c r="AR20" s="14">
        <v>1391337</v>
      </c>
      <c r="AT20" s="34">
        <v>43464</v>
      </c>
      <c r="AU20" s="14">
        <v>1391337</v>
      </c>
      <c r="AW20" s="34">
        <v>44742</v>
      </c>
      <c r="AX20" s="14">
        <v>848865.51036069915</v>
      </c>
      <c r="AZ20" s="34">
        <v>43464</v>
      </c>
      <c r="BA20" s="14">
        <v>1820419</v>
      </c>
      <c r="BC20" s="34">
        <v>43830</v>
      </c>
      <c r="BD20" s="14">
        <v>9428596</v>
      </c>
      <c r="BF20" s="34">
        <v>44561</v>
      </c>
      <c r="BG20" s="14">
        <v>12907172</v>
      </c>
      <c r="BI20" s="34">
        <v>44561</v>
      </c>
      <c r="BJ20" s="14">
        <v>12907172</v>
      </c>
      <c r="BL20" s="34">
        <v>43188</v>
      </c>
      <c r="BM20" s="14">
        <v>1771886</v>
      </c>
      <c r="BO20" s="34">
        <v>43188</v>
      </c>
      <c r="BP20" s="14">
        <v>1399998</v>
      </c>
      <c r="BR20" s="34">
        <v>43098</v>
      </c>
      <c r="BS20" s="14">
        <v>1889885</v>
      </c>
      <c r="BU20" s="34">
        <v>43188</v>
      </c>
      <c r="BV20" s="14">
        <v>1741340</v>
      </c>
      <c r="BX20" s="34">
        <v>43188</v>
      </c>
      <c r="BY20" s="14">
        <v>1951469</v>
      </c>
      <c r="CA20" s="34">
        <v>43101</v>
      </c>
      <c r="CB20" s="14">
        <v>2501937</v>
      </c>
      <c r="CD20" s="34">
        <v>43646</v>
      </c>
      <c r="CE20" s="14">
        <v>5582980</v>
      </c>
      <c r="CG20" s="34">
        <v>44561</v>
      </c>
      <c r="CH20" s="14">
        <v>1242226</v>
      </c>
      <c r="CJ20" s="34">
        <v>44377</v>
      </c>
      <c r="CK20" s="14">
        <v>4335708</v>
      </c>
      <c r="CM20" s="2">
        <v>44925</v>
      </c>
      <c r="CN20" s="84">
        <v>17811197.370000001</v>
      </c>
      <c r="CP20" s="34">
        <v>45107</v>
      </c>
      <c r="CQ20" s="14">
        <v>110250926.42783366</v>
      </c>
    </row>
    <row r="21" spans="1:95" x14ac:dyDescent="0.25">
      <c r="A21" s="2">
        <v>44407</v>
      </c>
      <c r="B21">
        <v>515853882</v>
      </c>
      <c r="C21"/>
      <c r="D21" s="2">
        <v>45107</v>
      </c>
      <c r="E21" s="40">
        <v>14499892.050000001</v>
      </c>
      <c r="F21"/>
      <c r="G21" s="22">
        <v>44012</v>
      </c>
      <c r="H21" s="40">
        <v>48715721.517030768</v>
      </c>
      <c r="I21"/>
      <c r="J21" s="22">
        <v>44012</v>
      </c>
      <c r="K21" s="40">
        <v>59579617296.582733</v>
      </c>
      <c r="L21" s="40"/>
      <c r="M21" s="34">
        <v>43800</v>
      </c>
      <c r="N21" s="14">
        <v>149536811.90052304</v>
      </c>
      <c r="P21" s="34">
        <v>46569</v>
      </c>
      <c r="Q21" s="14">
        <v>304795409.63941884</v>
      </c>
      <c r="S21" s="34">
        <v>43800</v>
      </c>
      <c r="T21" s="14">
        <v>163872093.54791373</v>
      </c>
      <c r="V21" s="34">
        <v>46569</v>
      </c>
      <c r="W21" s="14">
        <v>386344654.31020904</v>
      </c>
      <c r="Y21" s="34">
        <v>45291</v>
      </c>
      <c r="Z21" s="14">
        <v>105089952.01635519</v>
      </c>
      <c r="AB21" s="34">
        <v>45291</v>
      </c>
      <c r="AC21" s="14">
        <v>105089952.01635519</v>
      </c>
      <c r="AE21" s="34">
        <v>44012</v>
      </c>
      <c r="AF21" s="14">
        <v>9769983</v>
      </c>
      <c r="AH21" s="34">
        <v>44012</v>
      </c>
      <c r="AI21" s="14">
        <v>6107346</v>
      </c>
      <c r="AK21" s="34">
        <v>43646</v>
      </c>
      <c r="AL21" s="14">
        <v>1290234</v>
      </c>
      <c r="AN21" s="34">
        <v>44561</v>
      </c>
      <c r="AO21" s="14">
        <v>1589226.4230767812</v>
      </c>
      <c r="AQ21" s="34">
        <v>43646</v>
      </c>
      <c r="AR21" s="14">
        <v>1290234</v>
      </c>
      <c r="AT21" s="34">
        <v>43646</v>
      </c>
      <c r="AU21" s="14">
        <v>1290234</v>
      </c>
      <c r="AW21" s="34">
        <v>44926</v>
      </c>
      <c r="AX21" s="14">
        <v>777400.90492801426</v>
      </c>
      <c r="AZ21" s="34">
        <v>43646</v>
      </c>
      <c r="BA21" s="14">
        <v>1743427</v>
      </c>
      <c r="BC21" s="34">
        <v>44012</v>
      </c>
      <c r="BD21" s="14">
        <v>8988277</v>
      </c>
      <c r="BF21" s="34">
        <v>44742</v>
      </c>
      <c r="BG21" s="14">
        <v>12033295</v>
      </c>
      <c r="BI21" s="34">
        <v>44742</v>
      </c>
      <c r="BJ21" s="14">
        <v>12033295</v>
      </c>
      <c r="BL21" s="34">
        <v>43280</v>
      </c>
      <c r="BM21" s="14">
        <v>1703665</v>
      </c>
      <c r="BO21" s="34">
        <v>43280</v>
      </c>
      <c r="BP21" s="14">
        <v>1347962</v>
      </c>
      <c r="BR21" s="34">
        <v>43188</v>
      </c>
      <c r="BS21" s="14">
        <v>1822884</v>
      </c>
      <c r="BU21" s="34">
        <v>43280</v>
      </c>
      <c r="BV21" s="14">
        <v>1676616</v>
      </c>
      <c r="BX21" s="34">
        <v>43280</v>
      </c>
      <c r="BY21" s="14">
        <v>1878756</v>
      </c>
      <c r="CA21" s="34">
        <v>43191</v>
      </c>
      <c r="CB21" s="14">
        <v>2458736</v>
      </c>
      <c r="CD21" s="34">
        <v>43830</v>
      </c>
      <c r="CE21" s="14">
        <v>5392681</v>
      </c>
      <c r="CG21" s="34">
        <v>44742</v>
      </c>
      <c r="CH21" s="14">
        <v>1172978</v>
      </c>
      <c r="CJ21" s="34">
        <v>44561</v>
      </c>
      <c r="CK21" s="14">
        <v>4171137</v>
      </c>
      <c r="CM21" s="2">
        <v>45107</v>
      </c>
      <c r="CN21" s="84">
        <v>14499892.050000001</v>
      </c>
      <c r="CP21" s="34">
        <v>45291</v>
      </c>
      <c r="CQ21" s="14">
        <v>105089952.01635519</v>
      </c>
    </row>
    <row r="22" spans="1:95" x14ac:dyDescent="0.25">
      <c r="A22" s="2">
        <v>44498</v>
      </c>
      <c r="B22">
        <v>509072826</v>
      </c>
      <c r="C22"/>
      <c r="D22" s="2">
        <v>45289</v>
      </c>
      <c r="E22" s="40">
        <v>11209251.109999999</v>
      </c>
      <c r="F22"/>
      <c r="G22" s="22">
        <v>44043</v>
      </c>
      <c r="H22" s="40">
        <v>49430094.448672615</v>
      </c>
      <c r="I22"/>
      <c r="J22" s="22">
        <v>44043</v>
      </c>
      <c r="K22" s="40">
        <v>60459613993.318848</v>
      </c>
      <c r="L22" s="40"/>
      <c r="M22" s="34">
        <v>43831</v>
      </c>
      <c r="N22" s="14">
        <v>151271617.32141125</v>
      </c>
      <c r="P22" s="34">
        <v>46753</v>
      </c>
      <c r="Q22" s="14">
        <v>292659151.17218846</v>
      </c>
      <c r="S22" s="34">
        <v>43831</v>
      </c>
      <c r="T22" s="14">
        <v>164178662.34322059</v>
      </c>
      <c r="V22" s="34">
        <v>46753</v>
      </c>
      <c r="W22" s="14">
        <v>358235969.00898808</v>
      </c>
      <c r="Y22" s="34">
        <v>45473</v>
      </c>
      <c r="Z22" s="14">
        <v>95129729.338457838</v>
      </c>
      <c r="AB22" s="34">
        <v>45473</v>
      </c>
      <c r="AC22" s="14">
        <v>95129729.338457838</v>
      </c>
      <c r="AE22" s="34">
        <v>44196</v>
      </c>
      <c r="AF22" s="14">
        <v>9342622</v>
      </c>
      <c r="AH22" s="34">
        <v>44196</v>
      </c>
      <c r="AI22" s="14">
        <v>5831580</v>
      </c>
      <c r="AK22" s="34">
        <v>43830</v>
      </c>
      <c r="AL22" s="14">
        <v>1200413</v>
      </c>
      <c r="AN22" s="34">
        <v>44742</v>
      </c>
      <c r="AO22" s="14">
        <v>1361833.0119360653</v>
      </c>
      <c r="AQ22" s="34">
        <v>43830</v>
      </c>
      <c r="AR22" s="14">
        <v>1200413</v>
      </c>
      <c r="AT22" s="34">
        <v>43830</v>
      </c>
      <c r="AU22" s="14">
        <v>1200413</v>
      </c>
      <c r="AW22" s="34">
        <v>45107</v>
      </c>
      <c r="AX22" s="14">
        <v>749273.59985140758</v>
      </c>
      <c r="AZ22" s="34">
        <v>43830</v>
      </c>
      <c r="BA22" s="14">
        <v>1685852</v>
      </c>
      <c r="BC22" s="34">
        <v>44196</v>
      </c>
      <c r="BD22" s="14">
        <v>8580574</v>
      </c>
      <c r="BF22" s="34">
        <v>44926</v>
      </c>
      <c r="BG22" s="14">
        <v>11200345</v>
      </c>
      <c r="BI22" s="34">
        <v>44926</v>
      </c>
      <c r="BJ22" s="14">
        <v>11200345</v>
      </c>
      <c r="BL22" s="34">
        <v>43371</v>
      </c>
      <c r="BM22" s="14">
        <v>1634702</v>
      </c>
      <c r="BO22" s="34">
        <v>43371</v>
      </c>
      <c r="BP22" s="14">
        <v>1295278</v>
      </c>
      <c r="BR22" s="34">
        <v>43280</v>
      </c>
      <c r="BS22" s="14">
        <v>1754962</v>
      </c>
      <c r="BU22" s="34">
        <v>43371</v>
      </c>
      <c r="BV22" s="14">
        <v>1611088</v>
      </c>
      <c r="BX22" s="34">
        <v>43371</v>
      </c>
      <c r="BY22" s="14">
        <v>1805043</v>
      </c>
      <c r="CA22" s="34">
        <v>43282</v>
      </c>
      <c r="CB22" s="14">
        <v>2415182</v>
      </c>
      <c r="CD22" s="34">
        <v>44012</v>
      </c>
      <c r="CE22" s="14">
        <v>5235150</v>
      </c>
      <c r="CG22" s="34">
        <v>44926</v>
      </c>
      <c r="CH22" s="14">
        <v>1108335</v>
      </c>
      <c r="CJ22" s="34">
        <v>44742</v>
      </c>
      <c r="CK22" s="14">
        <v>3955066</v>
      </c>
      <c r="CM22" s="2">
        <v>45289</v>
      </c>
      <c r="CN22" s="84">
        <v>11209251.109999999</v>
      </c>
      <c r="CP22" s="34">
        <v>45473</v>
      </c>
      <c r="CQ22" s="14">
        <v>95129729.338457838</v>
      </c>
    </row>
    <row r="23" spans="1:95" x14ac:dyDescent="0.25">
      <c r="A23" s="2">
        <v>44592</v>
      </c>
      <c r="B23">
        <v>502093811</v>
      </c>
      <c r="C23"/>
      <c r="D23" s="2">
        <v>45473</v>
      </c>
      <c r="E23" s="40">
        <v>7871916.6799999997</v>
      </c>
      <c r="F23"/>
      <c r="G23" s="22">
        <v>44074</v>
      </c>
      <c r="H23" s="40">
        <v>50144467.380314462</v>
      </c>
      <c r="I23"/>
      <c r="J23" s="22">
        <v>44074</v>
      </c>
      <c r="K23" s="40">
        <v>61339610690.054955</v>
      </c>
      <c r="L23" s="40"/>
      <c r="M23" s="34">
        <v>43862</v>
      </c>
      <c r="N23" s="14">
        <v>152117193.59895554</v>
      </c>
      <c r="P23" s="34">
        <v>46935</v>
      </c>
      <c r="Q23" s="14">
        <v>280025826.02807677</v>
      </c>
      <c r="S23" s="34">
        <v>43862</v>
      </c>
      <c r="T23" s="14">
        <v>164328089.64937583</v>
      </c>
      <c r="V23" s="34">
        <v>46935</v>
      </c>
      <c r="W23" s="14">
        <v>330020349.1992926</v>
      </c>
      <c r="Y23" s="34">
        <v>45657</v>
      </c>
      <c r="Z23" s="14">
        <v>89627663.722601652</v>
      </c>
      <c r="AB23" s="34">
        <v>45657</v>
      </c>
      <c r="AC23" s="14">
        <v>89627663.722601652</v>
      </c>
      <c r="AE23" s="34">
        <v>44377</v>
      </c>
      <c r="AF23" s="14">
        <v>8900171</v>
      </c>
      <c r="AH23" s="34">
        <v>44377</v>
      </c>
      <c r="AI23" s="14">
        <v>5555711</v>
      </c>
      <c r="AK23" s="34">
        <v>44012</v>
      </c>
      <c r="AL23" s="14">
        <v>1095756</v>
      </c>
      <c r="AN23" s="34">
        <v>44926</v>
      </c>
      <c r="AO23" s="14">
        <v>1155803.878991347</v>
      </c>
      <c r="AQ23" s="34">
        <v>44012</v>
      </c>
      <c r="AR23" s="14">
        <v>1095756</v>
      </c>
      <c r="AT23" s="34">
        <v>44012</v>
      </c>
      <c r="AU23" s="14">
        <v>1095756</v>
      </c>
      <c r="AW23" s="34">
        <v>45291</v>
      </c>
      <c r="AX23" s="14">
        <v>704644.89088421571</v>
      </c>
      <c r="AZ23" s="34">
        <v>44012</v>
      </c>
      <c r="BA23" s="14">
        <v>1606826</v>
      </c>
      <c r="BC23" s="34">
        <v>44377</v>
      </c>
      <c r="BD23" s="14">
        <v>8122693</v>
      </c>
      <c r="BF23" s="34">
        <v>45107</v>
      </c>
      <c r="BG23" s="14">
        <v>10244416</v>
      </c>
      <c r="BI23" s="34">
        <v>45107</v>
      </c>
      <c r="BJ23" s="14">
        <v>10244416</v>
      </c>
      <c r="BL23" s="34">
        <v>43464</v>
      </c>
      <c r="BM23" s="14">
        <v>1564989</v>
      </c>
      <c r="BO23" s="34">
        <v>43464</v>
      </c>
      <c r="BP23" s="14">
        <v>1242498</v>
      </c>
      <c r="BR23" s="34">
        <v>43371</v>
      </c>
      <c r="BS23" s="14">
        <v>1686106</v>
      </c>
      <c r="BU23" s="34">
        <v>43464</v>
      </c>
      <c r="BV23" s="14">
        <v>1545440</v>
      </c>
      <c r="BX23" s="34">
        <v>43464</v>
      </c>
      <c r="BY23" s="14">
        <v>1730316</v>
      </c>
      <c r="CA23" s="34">
        <v>43374</v>
      </c>
      <c r="CB23" s="14">
        <v>2371271</v>
      </c>
      <c r="CD23" s="34">
        <v>44196</v>
      </c>
      <c r="CE23" s="14">
        <v>5027500</v>
      </c>
      <c r="CG23" s="34">
        <v>45107</v>
      </c>
      <c r="CH23" s="14">
        <v>1034114</v>
      </c>
      <c r="CJ23" s="34">
        <v>44926</v>
      </c>
      <c r="CK23" s="14">
        <v>3773438</v>
      </c>
      <c r="CM23" s="2">
        <v>45473</v>
      </c>
      <c r="CN23" s="84">
        <v>7871916.6799999997</v>
      </c>
      <c r="CP23" s="34">
        <v>45657</v>
      </c>
      <c r="CQ23" s="14">
        <v>89627663.722601652</v>
      </c>
    </row>
    <row r="24" spans="1:95" x14ac:dyDescent="0.25">
      <c r="A24" s="2">
        <v>44680</v>
      </c>
      <c r="B24">
        <v>499499811</v>
      </c>
      <c r="C24"/>
      <c r="D24" s="2">
        <v>45656</v>
      </c>
      <c r="E24" s="40">
        <v>4550690.51</v>
      </c>
      <c r="F24"/>
      <c r="G24" s="22">
        <v>44104</v>
      </c>
      <c r="H24" s="40">
        <v>52844808.28165973</v>
      </c>
      <c r="I24"/>
      <c r="J24" s="22">
        <v>44104</v>
      </c>
      <c r="K24" s="40">
        <v>64666012024.696518</v>
      </c>
      <c r="L24" s="40"/>
      <c r="M24" s="34">
        <v>43891</v>
      </c>
      <c r="N24" s="14">
        <v>160057897.20224279</v>
      </c>
      <c r="P24" s="34">
        <v>47119</v>
      </c>
      <c r="Q24" s="14">
        <v>266725613.27007768</v>
      </c>
      <c r="S24" s="34">
        <v>43891</v>
      </c>
      <c r="T24" s="14">
        <v>196200868.46792629</v>
      </c>
      <c r="V24" s="34">
        <v>47119</v>
      </c>
      <c r="W24" s="14">
        <v>301693839.90832692</v>
      </c>
      <c r="Y24" s="34">
        <v>45838</v>
      </c>
      <c r="Z24" s="14">
        <v>79224232.445066318</v>
      </c>
      <c r="AB24" s="34">
        <v>45838</v>
      </c>
      <c r="AC24" s="14">
        <v>79224232.445066318</v>
      </c>
      <c r="AE24" s="34">
        <v>44561</v>
      </c>
      <c r="AF24" s="14">
        <v>8458255</v>
      </c>
      <c r="AH24" s="34">
        <v>44561</v>
      </c>
      <c r="AI24" s="14">
        <v>5267511</v>
      </c>
      <c r="AK24" s="34">
        <v>44196</v>
      </c>
      <c r="AL24" s="14">
        <v>1002048</v>
      </c>
      <c r="AN24" s="34">
        <v>45107</v>
      </c>
      <c r="AO24" s="14">
        <v>919092.3576821154</v>
      </c>
      <c r="AQ24" s="34">
        <v>44196</v>
      </c>
      <c r="AR24" s="14">
        <v>1002048</v>
      </c>
      <c r="AT24" s="34">
        <v>44196</v>
      </c>
      <c r="AU24" s="14">
        <v>1002048</v>
      </c>
      <c r="AW24" s="34">
        <v>45473</v>
      </c>
      <c r="AX24" s="14">
        <v>645011.213067075</v>
      </c>
      <c r="AZ24" s="34">
        <v>44196</v>
      </c>
      <c r="BA24" s="14">
        <v>1546954</v>
      </c>
      <c r="BC24" s="34">
        <v>44561</v>
      </c>
      <c r="BD24" s="14">
        <v>7698682</v>
      </c>
      <c r="BF24" s="34">
        <v>45291</v>
      </c>
      <c r="BG24" s="14">
        <v>9338710</v>
      </c>
      <c r="BI24" s="34">
        <v>45291</v>
      </c>
      <c r="BJ24" s="14">
        <v>9338710</v>
      </c>
      <c r="BL24" s="34">
        <v>43555</v>
      </c>
      <c r="BM24" s="14">
        <v>1494518</v>
      </c>
      <c r="BO24" s="34">
        <v>43555</v>
      </c>
      <c r="BP24" s="14">
        <v>1188408</v>
      </c>
      <c r="BR24" s="34">
        <v>43464</v>
      </c>
      <c r="BS24" s="14">
        <v>1616303</v>
      </c>
      <c r="BU24" s="34">
        <v>43555</v>
      </c>
      <c r="BV24" s="14">
        <v>1478161</v>
      </c>
      <c r="BX24" s="34">
        <v>43555</v>
      </c>
      <c r="BY24" s="14">
        <v>1654562</v>
      </c>
      <c r="CA24" s="34">
        <v>43466</v>
      </c>
      <c r="CB24" s="14">
        <v>2327002</v>
      </c>
      <c r="CD24" s="34">
        <v>44377</v>
      </c>
      <c r="CE24" s="14">
        <v>4852423</v>
      </c>
      <c r="CG24" s="34">
        <v>45291</v>
      </c>
      <c r="CH24" s="14">
        <v>965234</v>
      </c>
      <c r="CJ24" s="34">
        <v>45107</v>
      </c>
      <c r="CK24" s="14">
        <v>3534222</v>
      </c>
      <c r="CM24" s="2">
        <v>45656</v>
      </c>
      <c r="CN24" s="84">
        <v>4550690.51</v>
      </c>
      <c r="CP24" s="34">
        <v>45838</v>
      </c>
      <c r="CQ24" s="14">
        <v>79224232.445066318</v>
      </c>
    </row>
    <row r="25" spans="1:95" x14ac:dyDescent="0.25">
      <c r="A25" s="2">
        <v>44771</v>
      </c>
      <c r="B25">
        <v>480816362</v>
      </c>
      <c r="C25"/>
      <c r="D25" s="2">
        <v>45838</v>
      </c>
      <c r="E25" s="40">
        <v>1177738.05</v>
      </c>
      <c r="F25"/>
      <c r="G25" s="2">
        <v>44135</v>
      </c>
      <c r="H25" s="40">
        <v>60521726.867576331</v>
      </c>
      <c r="I25"/>
      <c r="J25" s="2">
        <v>44135</v>
      </c>
      <c r="K25" s="40">
        <v>74122785507.409622</v>
      </c>
      <c r="L25" s="40"/>
      <c r="M25" s="34">
        <v>43922</v>
      </c>
      <c r="N25" s="14">
        <v>162044486.89960814</v>
      </c>
      <c r="P25" s="34">
        <v>47300</v>
      </c>
      <c r="Q25" s="14">
        <v>252873948.07096109</v>
      </c>
      <c r="S25" s="34">
        <v>43922</v>
      </c>
      <c r="T25" s="14">
        <v>196901919.81321442</v>
      </c>
      <c r="V25" s="34">
        <v>47300</v>
      </c>
      <c r="W25" s="14">
        <v>273252339.88862616</v>
      </c>
      <c r="Y25" s="34">
        <v>46022</v>
      </c>
      <c r="Z25" s="14">
        <v>73775277.322038054</v>
      </c>
      <c r="AB25" s="34">
        <v>46022</v>
      </c>
      <c r="AC25" s="14">
        <v>73775277.322038054</v>
      </c>
      <c r="AE25" s="34">
        <v>44742</v>
      </c>
      <c r="AF25" s="14">
        <v>7986451</v>
      </c>
      <c r="AH25" s="34">
        <v>44742</v>
      </c>
      <c r="AI25" s="14">
        <v>4976241</v>
      </c>
      <c r="AK25" s="34">
        <v>44377</v>
      </c>
      <c r="AL25" s="14">
        <v>893051</v>
      </c>
      <c r="AN25" s="34">
        <v>45291</v>
      </c>
      <c r="AO25" s="14">
        <v>704002.37840085733</v>
      </c>
      <c r="AQ25" s="34">
        <v>44377</v>
      </c>
      <c r="AR25" s="14">
        <v>893051</v>
      </c>
      <c r="AT25" s="34">
        <v>44377</v>
      </c>
      <c r="AU25" s="14">
        <v>893051</v>
      </c>
      <c r="AW25" s="34">
        <v>45657</v>
      </c>
      <c r="AX25" s="14">
        <v>598227.14764109487</v>
      </c>
      <c r="AZ25" s="34">
        <v>44377</v>
      </c>
      <c r="BA25" s="14">
        <v>1464951</v>
      </c>
      <c r="BC25" s="34">
        <v>44742</v>
      </c>
      <c r="BD25" s="14">
        <v>7220729</v>
      </c>
      <c r="BF25" s="34">
        <v>45473</v>
      </c>
      <c r="BG25" s="14">
        <v>8305410</v>
      </c>
      <c r="BI25" s="34">
        <v>45473</v>
      </c>
      <c r="BJ25" s="14">
        <v>8305410</v>
      </c>
      <c r="BL25" s="34">
        <v>43644</v>
      </c>
      <c r="BM25" s="14">
        <v>1423280</v>
      </c>
      <c r="BO25" s="34">
        <v>43644</v>
      </c>
      <c r="BP25" s="14">
        <v>1134192</v>
      </c>
      <c r="BR25" s="34">
        <v>43555</v>
      </c>
      <c r="BS25" s="14">
        <v>1545541</v>
      </c>
      <c r="BU25" s="34">
        <v>43644</v>
      </c>
      <c r="BV25" s="14">
        <v>1410726</v>
      </c>
      <c r="BX25" s="34">
        <v>43644</v>
      </c>
      <c r="BY25" s="14">
        <v>1577766</v>
      </c>
      <c r="CA25" s="34">
        <v>43556</v>
      </c>
      <c r="CB25" s="14">
        <v>2282370</v>
      </c>
      <c r="CD25" s="34">
        <v>44561</v>
      </c>
      <c r="CE25" s="14">
        <v>4622806</v>
      </c>
      <c r="CG25" s="34">
        <v>45473</v>
      </c>
      <c r="CH25" s="14">
        <v>885673</v>
      </c>
      <c r="CJ25" s="34">
        <v>45291</v>
      </c>
      <c r="CK25" s="14">
        <v>3330929</v>
      </c>
      <c r="CM25" s="2">
        <v>45838</v>
      </c>
      <c r="CN25" s="84">
        <v>1177738.05</v>
      </c>
      <c r="CP25" s="34">
        <v>46022</v>
      </c>
      <c r="CQ25" s="14">
        <v>73775277.322038054</v>
      </c>
    </row>
    <row r="26" spans="1:95" x14ac:dyDescent="0.25">
      <c r="A26" s="2">
        <v>44865</v>
      </c>
      <c r="B26">
        <v>473517477</v>
      </c>
      <c r="C26"/>
      <c r="D26" s="47">
        <v>45930</v>
      </c>
      <c r="E26">
        <v>0</v>
      </c>
      <c r="F26"/>
      <c r="G26" s="2">
        <v>44165</v>
      </c>
      <c r="H26" s="40">
        <v>61275117.625210084</v>
      </c>
      <c r="I26"/>
      <c r="J26" s="2">
        <v>44165</v>
      </c>
      <c r="K26" s="40">
        <v>75050846116.516815</v>
      </c>
      <c r="L26" s="40"/>
      <c r="M26" s="34">
        <v>43952</v>
      </c>
      <c r="N26" s="14">
        <v>163955370.73096541</v>
      </c>
      <c r="P26" s="34">
        <v>47484</v>
      </c>
      <c r="Q26" s="14">
        <v>238297758.11715579</v>
      </c>
      <c r="S26" s="34">
        <v>43952</v>
      </c>
      <c r="T26" s="14">
        <v>197236880.33025321</v>
      </c>
      <c r="V26" s="34">
        <v>47484</v>
      </c>
      <c r="W26" s="14">
        <v>244691596.2080881</v>
      </c>
      <c r="Y26" s="34">
        <v>46203</v>
      </c>
      <c r="Z26" s="14">
        <v>63382161.336693943</v>
      </c>
      <c r="AB26" s="34">
        <v>46203</v>
      </c>
      <c r="AC26" s="14">
        <v>63382161.336693943</v>
      </c>
      <c r="AE26" s="34">
        <v>44926</v>
      </c>
      <c r="AF26" s="14">
        <v>7512235</v>
      </c>
      <c r="AH26" s="34">
        <v>44926</v>
      </c>
      <c r="AI26" s="14">
        <v>4671377</v>
      </c>
      <c r="AK26" s="34">
        <v>44561</v>
      </c>
      <c r="AL26" s="14">
        <v>794513</v>
      </c>
      <c r="AN26" s="34">
        <v>45473</v>
      </c>
      <c r="AO26" s="14">
        <v>464079.44065812626</v>
      </c>
      <c r="AQ26" s="34">
        <v>44561</v>
      </c>
      <c r="AR26" s="14">
        <v>794513</v>
      </c>
      <c r="AT26" s="34">
        <v>44561</v>
      </c>
      <c r="AU26" s="14">
        <v>794513</v>
      </c>
      <c r="AW26" s="34">
        <v>45838</v>
      </c>
      <c r="AX26" s="14">
        <v>535588.99447308574</v>
      </c>
      <c r="AZ26" s="34">
        <v>44561</v>
      </c>
      <c r="BA26" s="14">
        <v>1401781</v>
      </c>
      <c r="BC26" s="34">
        <v>44926</v>
      </c>
      <c r="BD26" s="14">
        <v>6776646</v>
      </c>
      <c r="BF26" s="34">
        <v>45657</v>
      </c>
      <c r="BG26" s="14">
        <v>7338789</v>
      </c>
      <c r="BI26" s="34">
        <v>45657</v>
      </c>
      <c r="BJ26" s="14">
        <v>7338789</v>
      </c>
      <c r="BL26" s="34">
        <v>43738</v>
      </c>
      <c r="BM26" s="14">
        <v>1351268</v>
      </c>
      <c r="BO26" s="34">
        <v>43738</v>
      </c>
      <c r="BP26" s="14">
        <v>1079814</v>
      </c>
      <c r="BR26" s="34">
        <v>43644</v>
      </c>
      <c r="BS26" s="14">
        <v>1473805</v>
      </c>
      <c r="BU26" s="34">
        <v>43738</v>
      </c>
      <c r="BV26" s="14">
        <v>1343090</v>
      </c>
      <c r="BX26" s="34">
        <v>43738</v>
      </c>
      <c r="BY26" s="14">
        <v>1499915</v>
      </c>
      <c r="CA26" s="34">
        <v>43647</v>
      </c>
      <c r="CB26" s="14">
        <v>2237373</v>
      </c>
      <c r="CD26" s="34">
        <v>44742</v>
      </c>
      <c r="CE26" s="14">
        <v>4430016</v>
      </c>
      <c r="CG26" s="34">
        <v>45657</v>
      </c>
      <c r="CH26" s="14">
        <v>812189</v>
      </c>
      <c r="CJ26" s="34">
        <v>45473</v>
      </c>
      <c r="CK26" s="14">
        <v>3064761</v>
      </c>
      <c r="CM26" s="47">
        <v>45930</v>
      </c>
      <c r="CN26" s="84">
        <v>0</v>
      </c>
      <c r="CP26" s="34">
        <v>46203</v>
      </c>
      <c r="CQ26" s="14">
        <v>63382161.336693943</v>
      </c>
    </row>
    <row r="27" spans="1:95" x14ac:dyDescent="0.25">
      <c r="A27" s="2">
        <v>44957</v>
      </c>
      <c r="B27">
        <v>465972911</v>
      </c>
      <c r="C27"/>
      <c r="D27" s="2"/>
      <c r="E27"/>
      <c r="F27"/>
      <c r="G27" s="2">
        <v>44196</v>
      </c>
      <c r="H27" s="40">
        <v>62028508.382843837</v>
      </c>
      <c r="I27"/>
      <c r="J27" s="2">
        <v>44196</v>
      </c>
      <c r="K27" s="40">
        <v>75978906725.623993</v>
      </c>
      <c r="L27" s="40"/>
      <c r="M27" s="34">
        <v>43983</v>
      </c>
      <c r="N27" s="14">
        <v>179034660.95355585</v>
      </c>
      <c r="P27" s="34">
        <v>47665</v>
      </c>
      <c r="Q27" s="14">
        <v>223110495.68775892</v>
      </c>
      <c r="S27" s="34">
        <v>43983</v>
      </c>
      <c r="T27" s="14">
        <v>238606815.40403324</v>
      </c>
      <c r="V27" s="34">
        <v>47665</v>
      </c>
      <c r="W27" s="14">
        <v>216007198.63991666</v>
      </c>
      <c r="Y27" s="34">
        <v>46387</v>
      </c>
      <c r="Z27" s="14">
        <v>57886190.284899704</v>
      </c>
      <c r="AB27" s="34">
        <v>46387</v>
      </c>
      <c r="AC27" s="14">
        <v>57886190.284899704</v>
      </c>
      <c r="AE27" s="34">
        <v>45107</v>
      </c>
      <c r="AF27" s="14">
        <v>7006135</v>
      </c>
      <c r="AH27" s="34">
        <v>45107</v>
      </c>
      <c r="AI27" s="14">
        <v>4364951</v>
      </c>
      <c r="AK27" s="34">
        <v>44742</v>
      </c>
      <c r="AL27" s="14">
        <v>680916</v>
      </c>
      <c r="AN27" s="34">
        <v>45657</v>
      </c>
      <c r="AO27" s="14">
        <v>250119.99089336427</v>
      </c>
      <c r="AQ27" s="34">
        <v>44742</v>
      </c>
      <c r="AR27" s="14">
        <v>680916</v>
      </c>
      <c r="AT27" s="34">
        <v>44742</v>
      </c>
      <c r="AU27" s="14">
        <v>680916</v>
      </c>
      <c r="AW27" s="34">
        <v>46022</v>
      </c>
      <c r="AX27" s="14">
        <v>485736.62471346121</v>
      </c>
      <c r="AZ27" s="34">
        <v>44742</v>
      </c>
      <c r="BA27" s="14">
        <v>1316607</v>
      </c>
      <c r="BC27" s="34">
        <v>45107</v>
      </c>
      <c r="BD27" s="14">
        <v>6276113</v>
      </c>
      <c r="BF27" s="34">
        <v>45838</v>
      </c>
      <c r="BG27" s="14">
        <v>6251638</v>
      </c>
      <c r="BI27" s="34">
        <v>45838</v>
      </c>
      <c r="BJ27" s="14">
        <v>6251638</v>
      </c>
      <c r="BL27" s="34">
        <v>43830</v>
      </c>
      <c r="BM27" s="14">
        <v>1278473</v>
      </c>
      <c r="BO27" s="34">
        <v>43830</v>
      </c>
      <c r="BP27" s="14">
        <v>1024669</v>
      </c>
      <c r="BR27" s="34">
        <v>43738</v>
      </c>
      <c r="BS27" s="14">
        <v>1401083</v>
      </c>
      <c r="BU27" s="34">
        <v>43830</v>
      </c>
      <c r="BV27" s="14">
        <v>1274499</v>
      </c>
      <c r="BX27" s="34">
        <v>43830</v>
      </c>
      <c r="BY27" s="14">
        <v>1420992</v>
      </c>
      <c r="CA27" s="34">
        <v>43739</v>
      </c>
      <c r="CB27" s="14">
        <v>2192008</v>
      </c>
      <c r="CD27" s="34">
        <v>44926</v>
      </c>
      <c r="CE27" s="14">
        <v>4180485</v>
      </c>
      <c r="CG27" s="34">
        <v>45838</v>
      </c>
      <c r="CH27" s="14">
        <v>729313</v>
      </c>
      <c r="CJ27" s="34">
        <v>45657</v>
      </c>
      <c r="CK27" s="14">
        <v>2836547</v>
      </c>
      <c r="CP27" s="34">
        <v>46387</v>
      </c>
      <c r="CQ27" s="14">
        <v>57886190.284899704</v>
      </c>
    </row>
    <row r="28" spans="1:95" x14ac:dyDescent="0.25">
      <c r="A28" s="2">
        <v>45044</v>
      </c>
      <c r="B28">
        <v>463072599</v>
      </c>
      <c r="C28"/>
      <c r="D28" s="2"/>
      <c r="E28"/>
      <c r="F28"/>
      <c r="G28" s="2">
        <v>44227</v>
      </c>
      <c r="H28" s="40">
        <v>62781899.14047759</v>
      </c>
      <c r="I28"/>
      <c r="J28" s="2">
        <v>44227</v>
      </c>
      <c r="K28" s="40">
        <v>76916956245.396713</v>
      </c>
      <c r="L28" s="40"/>
      <c r="M28" s="34">
        <v>44013</v>
      </c>
      <c r="N28" s="14">
        <v>179916405.99115825</v>
      </c>
      <c r="P28" s="34">
        <v>47849</v>
      </c>
      <c r="Q28" s="14">
        <v>207135325.52744296</v>
      </c>
      <c r="S28" s="34">
        <v>44013</v>
      </c>
      <c r="T28" s="14">
        <v>238760122.56977883</v>
      </c>
      <c r="V28" s="34">
        <v>47849</v>
      </c>
      <c r="W28" s="14">
        <v>187194573.84507769</v>
      </c>
      <c r="Y28" s="34">
        <v>46568</v>
      </c>
      <c r="Z28" s="14">
        <v>47303947.821626216</v>
      </c>
      <c r="AB28" s="34">
        <v>46568</v>
      </c>
      <c r="AC28" s="14">
        <v>47303947.821626216</v>
      </c>
      <c r="AE28" s="34">
        <v>45291</v>
      </c>
      <c r="AF28" s="14">
        <v>6492916</v>
      </c>
      <c r="AH28" s="34">
        <v>45291</v>
      </c>
      <c r="AI28" s="14">
        <v>4046122</v>
      </c>
      <c r="AK28" s="34">
        <v>44926</v>
      </c>
      <c r="AL28" s="14">
        <v>577901</v>
      </c>
      <c r="AN28" s="34">
        <v>45838</v>
      </c>
      <c r="AO28" s="14">
        <v>1086.7635282110887</v>
      </c>
      <c r="AQ28" s="34">
        <v>44926</v>
      </c>
      <c r="AR28" s="14">
        <v>577901</v>
      </c>
      <c r="AT28" s="34">
        <v>44926</v>
      </c>
      <c r="AU28" s="14">
        <v>577901</v>
      </c>
      <c r="AW28" s="34">
        <v>46203</v>
      </c>
      <c r="AX28" s="14">
        <v>419388.00896084949</v>
      </c>
      <c r="AZ28" s="34">
        <v>44926</v>
      </c>
      <c r="BA28" s="14">
        <v>1205764</v>
      </c>
      <c r="BC28" s="34">
        <v>45291</v>
      </c>
      <c r="BD28" s="14">
        <v>5808196</v>
      </c>
      <c r="BF28" s="34">
        <v>46022</v>
      </c>
      <c r="BG28" s="14">
        <v>5248682</v>
      </c>
      <c r="BI28" s="34">
        <v>46022</v>
      </c>
      <c r="BJ28" s="14">
        <v>5248682</v>
      </c>
      <c r="BL28" s="34">
        <v>43921</v>
      </c>
      <c r="BM28" s="14">
        <v>1204886</v>
      </c>
      <c r="BO28" s="34">
        <v>43921</v>
      </c>
      <c r="BP28" s="14">
        <v>968879</v>
      </c>
      <c r="BR28" s="34">
        <v>43830</v>
      </c>
      <c r="BS28" s="14">
        <v>1327361</v>
      </c>
      <c r="BU28" s="34">
        <v>43921</v>
      </c>
      <c r="BV28" s="14">
        <v>1205108</v>
      </c>
      <c r="BX28" s="34">
        <v>43921</v>
      </c>
      <c r="BY28" s="14">
        <v>1340985</v>
      </c>
      <c r="CA28" s="34">
        <v>43831</v>
      </c>
      <c r="CB28" s="14">
        <v>2146273</v>
      </c>
      <c r="CD28" s="34">
        <v>45107</v>
      </c>
      <c r="CE28" s="14">
        <v>3969100</v>
      </c>
      <c r="CG28" s="34">
        <v>46022</v>
      </c>
      <c r="CH28" s="14">
        <v>652145</v>
      </c>
      <c r="CJ28" s="34">
        <v>45838</v>
      </c>
      <c r="CK28" s="14">
        <v>2547119</v>
      </c>
      <c r="CP28" s="34">
        <v>46568</v>
      </c>
      <c r="CQ28" s="14">
        <v>47303947.821626216</v>
      </c>
    </row>
    <row r="29" spans="1:95" x14ac:dyDescent="0.25">
      <c r="A29" s="2">
        <v>45138</v>
      </c>
      <c r="B29">
        <v>444898458</v>
      </c>
      <c r="C29"/>
      <c r="D29" s="2"/>
      <c r="E29"/>
      <c r="F29"/>
      <c r="G29" s="2">
        <v>44255</v>
      </c>
      <c r="H29" s="40">
        <v>70458817.726394206</v>
      </c>
      <c r="I29"/>
      <c r="J29" s="2">
        <v>44255</v>
      </c>
      <c r="K29" s="40">
        <v>86475514961.289703</v>
      </c>
      <c r="L29" s="40"/>
      <c r="M29" s="34">
        <v>44044</v>
      </c>
      <c r="N29" s="14">
        <v>180866019.01183522</v>
      </c>
      <c r="P29" s="34">
        <v>48030</v>
      </c>
      <c r="Q29" s="14">
        <v>190483715.54138625</v>
      </c>
      <c r="S29" s="34">
        <v>44044</v>
      </c>
      <c r="T29" s="14">
        <v>239278050.07984561</v>
      </c>
      <c r="V29" s="34">
        <v>48030</v>
      </c>
      <c r="W29" s="14">
        <v>158248979.33959287</v>
      </c>
      <c r="Y29" s="34">
        <v>46752</v>
      </c>
      <c r="Z29" s="14">
        <v>41756467.508882143</v>
      </c>
      <c r="AB29" s="34">
        <v>46752</v>
      </c>
      <c r="AC29" s="14">
        <v>41756467.508882143</v>
      </c>
      <c r="AE29" s="34">
        <v>45473</v>
      </c>
      <c r="AF29" s="14">
        <v>5953390</v>
      </c>
      <c r="AH29" s="34">
        <v>45473</v>
      </c>
      <c r="AI29" s="14">
        <v>3722168</v>
      </c>
      <c r="AK29" s="34">
        <v>45107</v>
      </c>
      <c r="AL29" s="14">
        <v>459546</v>
      </c>
      <c r="AN29" s="34">
        <v>46022</v>
      </c>
      <c r="AO29" s="14">
        <v>0</v>
      </c>
      <c r="AQ29" s="34">
        <v>45107</v>
      </c>
      <c r="AR29" s="14">
        <v>459546</v>
      </c>
      <c r="AT29" s="34">
        <v>45107</v>
      </c>
      <c r="AU29" s="14">
        <v>459546</v>
      </c>
      <c r="AW29" s="34">
        <v>46387</v>
      </c>
      <c r="AX29" s="14">
        <v>365849.03189301339</v>
      </c>
      <c r="AZ29" s="34">
        <v>45107</v>
      </c>
      <c r="BA29" s="14">
        <v>1162138</v>
      </c>
      <c r="BC29" s="34">
        <v>45473</v>
      </c>
      <c r="BD29" s="14">
        <v>5280064</v>
      </c>
      <c r="BF29" s="34">
        <v>46203</v>
      </c>
      <c r="BG29" s="14">
        <v>4161786</v>
      </c>
      <c r="BI29" s="34">
        <v>46203</v>
      </c>
      <c r="BJ29" s="14">
        <v>4161786</v>
      </c>
      <c r="BL29" s="34">
        <v>44012</v>
      </c>
      <c r="BM29" s="14">
        <v>1130498</v>
      </c>
      <c r="BO29" s="34">
        <v>44012</v>
      </c>
      <c r="BP29" s="14">
        <v>912555</v>
      </c>
      <c r="BR29" s="34">
        <v>43921</v>
      </c>
      <c r="BS29" s="14">
        <v>1252626</v>
      </c>
      <c r="BU29" s="34">
        <v>44012</v>
      </c>
      <c r="BV29" s="14">
        <v>1135050</v>
      </c>
      <c r="BX29" s="34">
        <v>44012</v>
      </c>
      <c r="BY29" s="14">
        <v>1259878</v>
      </c>
      <c r="CA29" s="34">
        <v>43922</v>
      </c>
      <c r="CB29" s="14">
        <v>2100163</v>
      </c>
      <c r="CD29" s="34">
        <v>45291</v>
      </c>
      <c r="CE29" s="14">
        <v>3733203</v>
      </c>
      <c r="CG29" s="34">
        <v>46203</v>
      </c>
      <c r="CH29" s="14">
        <v>568901</v>
      </c>
      <c r="CJ29" s="34">
        <v>46022</v>
      </c>
      <c r="CK29" s="14">
        <v>2295857</v>
      </c>
      <c r="CP29" s="34">
        <v>46752</v>
      </c>
      <c r="CQ29" s="14">
        <v>41756467.508882143</v>
      </c>
    </row>
    <row r="30" spans="1:95" x14ac:dyDescent="0.25">
      <c r="A30" s="2">
        <v>45230</v>
      </c>
      <c r="B30">
        <v>437370956</v>
      </c>
      <c r="C30"/>
      <c r="D30" s="2"/>
      <c r="E30"/>
      <c r="F30"/>
      <c r="G30" s="2">
        <v>44286</v>
      </c>
      <c r="H30" s="40">
        <v>73690375.797420532</v>
      </c>
      <c r="I30"/>
      <c r="J30" s="2">
        <v>44286</v>
      </c>
      <c r="K30" s="40">
        <v>90499139442.91301</v>
      </c>
      <c r="L30" s="40"/>
      <c r="M30" s="34">
        <v>44075</v>
      </c>
      <c r="N30" s="14">
        <v>189659964.17653188</v>
      </c>
      <c r="P30" s="34">
        <v>48214</v>
      </c>
      <c r="Q30" s="14">
        <v>172974353.8925277</v>
      </c>
      <c r="S30" s="34">
        <v>44075</v>
      </c>
      <c r="T30" s="14">
        <v>276329914.3775776</v>
      </c>
      <c r="V30" s="34">
        <v>48214</v>
      </c>
      <c r="W30" s="14">
        <v>129165497.23871399</v>
      </c>
      <c r="Y30" s="34">
        <v>46934</v>
      </c>
      <c r="Z30" s="14">
        <v>31744250.218807459</v>
      </c>
      <c r="AB30" s="34">
        <v>46934</v>
      </c>
      <c r="AC30" s="14">
        <v>31744250.218807459</v>
      </c>
      <c r="AE30" s="34">
        <v>45657</v>
      </c>
      <c r="AF30" s="14">
        <v>5407341</v>
      </c>
      <c r="AH30" s="34">
        <v>45657</v>
      </c>
      <c r="AI30" s="14">
        <v>3385278</v>
      </c>
      <c r="AK30" s="34">
        <v>45291</v>
      </c>
      <c r="AL30" s="14">
        <v>352001</v>
      </c>
      <c r="AN30" s="34"/>
      <c r="AO30" s="14"/>
      <c r="AQ30" s="34">
        <v>45291</v>
      </c>
      <c r="AR30" s="14">
        <v>352001</v>
      </c>
      <c r="AT30" s="34">
        <v>45291</v>
      </c>
      <c r="AU30" s="14">
        <v>352001</v>
      </c>
      <c r="AW30" s="34">
        <v>46568</v>
      </c>
      <c r="AX30" s="14">
        <v>296096.20372568379</v>
      </c>
      <c r="AZ30" s="34">
        <v>45291</v>
      </c>
      <c r="BA30" s="14">
        <v>1092918</v>
      </c>
      <c r="BC30" s="34">
        <v>45657</v>
      </c>
      <c r="BD30" s="14">
        <v>4783294</v>
      </c>
      <c r="BF30" s="34">
        <v>46387</v>
      </c>
      <c r="BG30" s="14">
        <v>3182583</v>
      </c>
      <c r="BI30" s="34">
        <v>46387</v>
      </c>
      <c r="BJ30" s="14">
        <v>3182583</v>
      </c>
      <c r="BL30" s="34">
        <v>44104</v>
      </c>
      <c r="BM30" s="14">
        <v>1055302</v>
      </c>
      <c r="BO30" s="34">
        <v>44104</v>
      </c>
      <c r="BP30" s="14">
        <v>855785</v>
      </c>
      <c r="BR30" s="34">
        <v>44012</v>
      </c>
      <c r="BS30" s="14">
        <v>1176862</v>
      </c>
      <c r="BU30" s="34">
        <v>44104</v>
      </c>
      <c r="BV30" s="14">
        <v>1064439</v>
      </c>
      <c r="BX30" s="34">
        <v>44104</v>
      </c>
      <c r="BY30" s="14">
        <v>1177655</v>
      </c>
      <c r="CA30" s="34">
        <v>44013</v>
      </c>
      <c r="CB30" s="14">
        <v>2053676</v>
      </c>
      <c r="CD30" s="34">
        <v>45473</v>
      </c>
      <c r="CE30" s="14">
        <v>3528767</v>
      </c>
      <c r="CG30" s="34">
        <v>46387</v>
      </c>
      <c r="CH30" s="14">
        <v>488234</v>
      </c>
      <c r="CJ30" s="34">
        <v>46203</v>
      </c>
      <c r="CK30" s="14">
        <v>1998058</v>
      </c>
      <c r="CP30" s="34">
        <v>46934</v>
      </c>
      <c r="CQ30" s="14">
        <v>31744250.218807459</v>
      </c>
    </row>
    <row r="31" spans="1:95" x14ac:dyDescent="0.25">
      <c r="A31" s="2">
        <v>45322</v>
      </c>
      <c r="B31">
        <v>432320813</v>
      </c>
      <c r="C31"/>
      <c r="D31" s="2"/>
      <c r="E31"/>
      <c r="F31"/>
      <c r="G31" s="2">
        <v>44316</v>
      </c>
      <c r="H31" s="40">
        <v>83675136.992764756</v>
      </c>
      <c r="I31"/>
      <c r="J31" s="2">
        <v>44316</v>
      </c>
      <c r="K31" s="40">
        <v>102931201224.17944</v>
      </c>
      <c r="L31" s="40"/>
      <c r="M31" s="34">
        <v>44105</v>
      </c>
      <c r="N31" s="14">
        <v>190615551.77447197</v>
      </c>
      <c r="P31" s="34">
        <v>48396</v>
      </c>
      <c r="Q31" s="14">
        <v>154716867.32062626</v>
      </c>
      <c r="S31" s="34">
        <v>44105</v>
      </c>
      <c r="T31" s="14">
        <v>276847474.26666242</v>
      </c>
      <c r="V31" s="34">
        <v>48396</v>
      </c>
      <c r="W31" s="14">
        <v>99939027.769725427</v>
      </c>
      <c r="Y31" s="34">
        <v>47118</v>
      </c>
      <c r="Z31" s="14">
        <v>26046699.11758307</v>
      </c>
      <c r="AB31" s="34">
        <v>47118</v>
      </c>
      <c r="AC31" s="14">
        <v>26046699.11758307</v>
      </c>
      <c r="AE31" s="34">
        <v>45838</v>
      </c>
      <c r="AF31" s="14">
        <v>4831650</v>
      </c>
      <c r="AH31" s="34">
        <v>45838</v>
      </c>
      <c r="AI31" s="14">
        <v>3042468</v>
      </c>
      <c r="AK31" s="34">
        <v>45473</v>
      </c>
      <c r="AL31" s="14">
        <v>232039</v>
      </c>
      <c r="AN31" s="34"/>
      <c r="AO31" s="14"/>
      <c r="AQ31" s="34">
        <v>45473</v>
      </c>
      <c r="AR31" s="14">
        <v>232039</v>
      </c>
      <c r="AT31" s="34">
        <v>45473</v>
      </c>
      <c r="AU31" s="14">
        <v>232039</v>
      </c>
      <c r="AW31" s="34">
        <v>46752</v>
      </c>
      <c r="AX31" s="14">
        <v>239747.46194130596</v>
      </c>
      <c r="AZ31" s="34">
        <v>45473</v>
      </c>
      <c r="BA31" s="14">
        <v>1000425</v>
      </c>
      <c r="BC31" s="34">
        <v>45838</v>
      </c>
      <c r="BD31" s="14">
        <v>4225054</v>
      </c>
      <c r="BF31" s="34">
        <v>46568</v>
      </c>
      <c r="BG31" s="14">
        <v>2094459</v>
      </c>
      <c r="BI31" s="34">
        <v>46568</v>
      </c>
      <c r="BJ31" s="14">
        <v>2094459</v>
      </c>
      <c r="BL31" s="34">
        <v>44196</v>
      </c>
      <c r="BM31" s="14">
        <v>979288</v>
      </c>
      <c r="BO31" s="34">
        <v>44196</v>
      </c>
      <c r="BP31" s="14">
        <v>798464</v>
      </c>
      <c r="BR31" s="34">
        <v>44104</v>
      </c>
      <c r="BS31" s="14">
        <v>1100057</v>
      </c>
      <c r="BU31" s="34">
        <v>44196</v>
      </c>
      <c r="BV31" s="14">
        <v>993142</v>
      </c>
      <c r="BX31" s="34">
        <v>44196</v>
      </c>
      <c r="BY31" s="14">
        <v>1094302</v>
      </c>
      <c r="CA31" s="34">
        <v>44105</v>
      </c>
      <c r="CB31" s="14">
        <v>2006808</v>
      </c>
      <c r="CD31" s="34">
        <v>45657</v>
      </c>
      <c r="CE31" s="14">
        <v>3266058</v>
      </c>
      <c r="CG31" s="34">
        <v>46568</v>
      </c>
      <c r="CH31" s="14">
        <v>397438</v>
      </c>
      <c r="CJ31" s="34">
        <v>46387</v>
      </c>
      <c r="CK31" s="14">
        <v>1730753</v>
      </c>
      <c r="CP31" s="34">
        <v>47118</v>
      </c>
      <c r="CQ31" s="14">
        <v>26046699.11758307</v>
      </c>
    </row>
    <row r="32" spans="1:95" x14ac:dyDescent="0.25">
      <c r="A32" s="2">
        <v>45412</v>
      </c>
      <c r="B32">
        <v>430621764</v>
      </c>
      <c r="C32"/>
      <c r="D32" s="2"/>
      <c r="E32"/>
      <c r="F32"/>
      <c r="G32" s="2">
        <v>44347</v>
      </c>
      <c r="H32" s="40">
        <v>84428527.750398502</v>
      </c>
      <c r="I32"/>
      <c r="J32" s="2">
        <v>44347</v>
      </c>
      <c r="K32" s="40">
        <v>103869250743.95216</v>
      </c>
      <c r="L32" s="40"/>
      <c r="M32" s="34">
        <v>44136</v>
      </c>
      <c r="N32" s="14">
        <v>191504824.4096601</v>
      </c>
      <c r="P32" s="34">
        <v>48580</v>
      </c>
      <c r="Q32" s="14">
        <v>135524345.4864108</v>
      </c>
      <c r="S32" s="34">
        <v>44136</v>
      </c>
      <c r="T32" s="14">
        <v>277000781.43240803</v>
      </c>
      <c r="V32" s="34">
        <v>48580</v>
      </c>
      <c r="W32" s="14">
        <v>70564282.544817626</v>
      </c>
      <c r="Y32" s="34">
        <v>47299</v>
      </c>
      <c r="Z32" s="14">
        <v>16396208.611132801</v>
      </c>
      <c r="AB32" s="34">
        <v>47299</v>
      </c>
      <c r="AC32" s="14">
        <v>16396208.611132801</v>
      </c>
      <c r="AE32" s="34">
        <v>46022</v>
      </c>
      <c r="AF32" s="14">
        <v>4242012</v>
      </c>
      <c r="AH32" s="34">
        <v>46022</v>
      </c>
      <c r="AI32" s="14">
        <v>2685036</v>
      </c>
      <c r="AK32" s="34">
        <v>45657</v>
      </c>
      <c r="AL32" s="14">
        <v>125060</v>
      </c>
      <c r="AN32" s="34"/>
      <c r="AO32" s="14"/>
      <c r="AQ32" s="34">
        <v>45657</v>
      </c>
      <c r="AR32" s="14">
        <v>125060</v>
      </c>
      <c r="AT32" s="34">
        <v>45657</v>
      </c>
      <c r="AU32" s="14">
        <v>125060</v>
      </c>
      <c r="AW32" s="34">
        <v>46934</v>
      </c>
      <c r="AX32" s="14">
        <v>166853.47413675941</v>
      </c>
      <c r="AZ32" s="34">
        <v>45657</v>
      </c>
      <c r="BA32" s="14">
        <v>927862</v>
      </c>
      <c r="BC32" s="34">
        <v>46022</v>
      </c>
      <c r="BD32" s="14">
        <v>3699432</v>
      </c>
      <c r="BF32" s="34">
        <v>46752</v>
      </c>
      <c r="BG32" s="14">
        <v>1093270</v>
      </c>
      <c r="BI32" s="34">
        <v>46752</v>
      </c>
      <c r="BJ32" s="14">
        <v>1093270</v>
      </c>
      <c r="BL32" s="34">
        <v>44286</v>
      </c>
      <c r="BM32" s="14">
        <v>902448</v>
      </c>
      <c r="BO32" s="34">
        <v>44286</v>
      </c>
      <c r="BP32" s="14">
        <v>740418</v>
      </c>
      <c r="BR32" s="34">
        <v>44196</v>
      </c>
      <c r="BS32" s="14">
        <v>1022196</v>
      </c>
      <c r="BU32" s="34">
        <v>44286</v>
      </c>
      <c r="BV32" s="14">
        <v>920944</v>
      </c>
      <c r="BX32" s="34">
        <v>44286</v>
      </c>
      <c r="BY32" s="14">
        <v>1009802</v>
      </c>
      <c r="CA32" s="34">
        <v>44197</v>
      </c>
      <c r="CB32" s="14">
        <v>1959558</v>
      </c>
      <c r="CD32" s="34">
        <v>45838</v>
      </c>
      <c r="CE32" s="14">
        <v>3071079</v>
      </c>
      <c r="CG32" s="34">
        <v>46752</v>
      </c>
      <c r="CH32" s="14">
        <v>0</v>
      </c>
      <c r="CJ32" s="34">
        <v>46568</v>
      </c>
      <c r="CK32" s="14">
        <v>1433485</v>
      </c>
      <c r="CP32" s="34">
        <v>47299</v>
      </c>
      <c r="CQ32" s="14">
        <v>16396208.611132801</v>
      </c>
    </row>
    <row r="33" spans="1:95" x14ac:dyDescent="0.25">
      <c r="A33" s="2">
        <v>45504</v>
      </c>
      <c r="B33">
        <v>415480177</v>
      </c>
      <c r="C33"/>
      <c r="D33"/>
      <c r="E33"/>
      <c r="F33"/>
      <c r="G33" s="2">
        <v>44377</v>
      </c>
      <c r="H33" s="40">
        <v>92105446.33631511</v>
      </c>
      <c r="I33"/>
      <c r="J33" s="2">
        <v>44377</v>
      </c>
      <c r="K33" s="40">
        <v>113427809459.84515</v>
      </c>
      <c r="L33" s="40"/>
      <c r="M33" s="34">
        <v>44166</v>
      </c>
      <c r="N33" s="14">
        <v>208471450.70305595</v>
      </c>
      <c r="P33" s="34">
        <v>48761</v>
      </c>
      <c r="Q33" s="14">
        <v>115505053.06949164</v>
      </c>
      <c r="S33" s="34">
        <v>44166</v>
      </c>
      <c r="T33" s="14">
        <v>325060534.28801531</v>
      </c>
      <c r="V33" s="34">
        <v>48761</v>
      </c>
      <c r="W33" s="14">
        <v>41035777.585157931</v>
      </c>
      <c r="Y33" s="34">
        <v>47483</v>
      </c>
      <c r="Z33" s="14">
        <v>11352289.332019139</v>
      </c>
      <c r="AB33" s="34">
        <v>47483</v>
      </c>
      <c r="AC33" s="14">
        <v>11352289.332019139</v>
      </c>
      <c r="AE33" s="34">
        <v>46203</v>
      </c>
      <c r="AF33" s="14">
        <v>3625199</v>
      </c>
      <c r="AH33" s="34">
        <v>46203</v>
      </c>
      <c r="AI33" s="14">
        <v>2319827</v>
      </c>
      <c r="AK33" s="34">
        <v>45838</v>
      </c>
      <c r="AL33" s="14">
        <v>543</v>
      </c>
      <c r="AN33" s="34"/>
      <c r="AO33" s="14"/>
      <c r="AQ33" s="34">
        <v>45838</v>
      </c>
      <c r="AR33" s="14">
        <v>543</v>
      </c>
      <c r="AT33" s="34">
        <v>45838</v>
      </c>
      <c r="AU33" s="14">
        <v>543</v>
      </c>
      <c r="AW33" s="34">
        <v>47118</v>
      </c>
      <c r="AX33" s="14">
        <v>107470.59909032428</v>
      </c>
      <c r="AZ33" s="34">
        <v>45838</v>
      </c>
      <c r="BA33" s="14">
        <v>830709</v>
      </c>
      <c r="BC33" s="34">
        <v>46203</v>
      </c>
      <c r="BD33" s="14">
        <v>3114849</v>
      </c>
      <c r="BF33" s="34">
        <v>46934</v>
      </c>
      <c r="BG33" s="14">
        <v>0</v>
      </c>
      <c r="BI33" s="34">
        <v>46934</v>
      </c>
      <c r="BJ33" s="14">
        <v>0</v>
      </c>
      <c r="BL33" s="34">
        <v>44377</v>
      </c>
      <c r="BM33" s="14">
        <v>824772</v>
      </c>
      <c r="BO33" s="34">
        <v>44377</v>
      </c>
      <c r="BP33" s="14">
        <v>681898</v>
      </c>
      <c r="BR33" s="34">
        <v>44286</v>
      </c>
      <c r="BS33" s="14">
        <v>943265</v>
      </c>
      <c r="BU33" s="34">
        <v>44377</v>
      </c>
      <c r="BV33" s="14">
        <v>848156</v>
      </c>
      <c r="BX33" s="34">
        <v>44377</v>
      </c>
      <c r="BY33" s="14">
        <v>924141</v>
      </c>
      <c r="CA33" s="34">
        <v>44287</v>
      </c>
      <c r="CB33" s="14">
        <v>1911921</v>
      </c>
      <c r="CD33" s="34">
        <v>46022</v>
      </c>
      <c r="CE33" s="14">
        <v>2800953</v>
      </c>
      <c r="CG33" s="34"/>
      <c r="CH33" s="14"/>
      <c r="CJ33" s="34">
        <v>46752</v>
      </c>
      <c r="CK33" s="14">
        <v>1168010</v>
      </c>
      <c r="CP33" s="34">
        <v>47483</v>
      </c>
      <c r="CQ33" s="14">
        <v>11352289.332019139</v>
      </c>
    </row>
    <row r="34" spans="1:95" x14ac:dyDescent="0.25">
      <c r="A34" s="2">
        <v>45596</v>
      </c>
      <c r="B34">
        <v>410693071</v>
      </c>
      <c r="C34"/>
      <c r="D34"/>
      <c r="E34"/>
      <c r="F34"/>
      <c r="G34" s="2">
        <v>44408</v>
      </c>
      <c r="H34" s="40">
        <v>92858837.093948871</v>
      </c>
      <c r="I34"/>
      <c r="J34" s="2">
        <v>44408</v>
      </c>
      <c r="K34" s="40">
        <v>114365858979.61787</v>
      </c>
      <c r="L34" s="40"/>
      <c r="M34" s="34">
        <v>44197</v>
      </c>
      <c r="N34" s="14">
        <v>211448212.98875162</v>
      </c>
      <c r="P34" s="34">
        <v>48945</v>
      </c>
      <c r="Q34" s="14">
        <v>94464337.073170498</v>
      </c>
      <c r="S34" s="34">
        <v>44197</v>
      </c>
      <c r="T34" s="14">
        <v>325569977.96385384</v>
      </c>
      <c r="V34" s="34">
        <v>48945</v>
      </c>
      <c r="W34" s="14">
        <v>11347826.086956503</v>
      </c>
      <c r="Y34" s="34">
        <v>47664</v>
      </c>
      <c r="Z34" s="14">
        <v>3444069.4020808786</v>
      </c>
      <c r="AB34" s="34">
        <v>47664</v>
      </c>
      <c r="AC34" s="14">
        <v>3444069.4020808786</v>
      </c>
      <c r="AE34" s="34">
        <v>46387</v>
      </c>
      <c r="AF34" s="14">
        <v>2999924</v>
      </c>
      <c r="AH34" s="34">
        <v>46387</v>
      </c>
      <c r="AI34" s="14">
        <v>1939204</v>
      </c>
      <c r="AK34" s="34">
        <v>46022</v>
      </c>
      <c r="AL34" s="14">
        <v>0</v>
      </c>
      <c r="AN34" s="34"/>
      <c r="AO34" s="14"/>
      <c r="AQ34" s="34">
        <v>46022</v>
      </c>
      <c r="AR34" s="14">
        <v>0</v>
      </c>
      <c r="AT34" s="34">
        <v>46022</v>
      </c>
      <c r="AU34" s="14">
        <v>0</v>
      </c>
      <c r="AW34" s="34">
        <v>47299</v>
      </c>
      <c r="AX34" s="14">
        <v>31182.069929056161</v>
      </c>
      <c r="AZ34" s="34">
        <v>46022</v>
      </c>
      <c r="BA34" s="14">
        <v>753387</v>
      </c>
      <c r="BC34" s="34">
        <v>46387</v>
      </c>
      <c r="BD34" s="14">
        <v>2565391</v>
      </c>
      <c r="BF34" s="34"/>
      <c r="BG34" s="14"/>
      <c r="BI34" s="34"/>
      <c r="BJ34" s="14"/>
      <c r="BL34" s="34">
        <v>44469</v>
      </c>
      <c r="BM34" s="14">
        <v>746251</v>
      </c>
      <c r="BO34" s="34">
        <v>44469</v>
      </c>
      <c r="BP34" s="14">
        <v>622889</v>
      </c>
      <c r="BR34" s="34">
        <v>44377</v>
      </c>
      <c r="BS34" s="14">
        <v>863248</v>
      </c>
      <c r="BU34" s="34">
        <v>44469</v>
      </c>
      <c r="BV34" s="14">
        <v>774759</v>
      </c>
      <c r="BX34" s="34">
        <v>44469</v>
      </c>
      <c r="BY34" s="14">
        <v>837302</v>
      </c>
      <c r="CA34" s="34">
        <v>44378</v>
      </c>
      <c r="CB34" s="14">
        <v>1863894</v>
      </c>
      <c r="CD34" s="34">
        <v>46203</v>
      </c>
      <c r="CE34" s="14">
        <v>2577249</v>
      </c>
      <c r="CG34" s="34"/>
      <c r="CH34" s="14"/>
      <c r="CJ34" s="34">
        <v>46934</v>
      </c>
      <c r="CK34" s="14">
        <v>835691</v>
      </c>
      <c r="CP34" s="34">
        <v>47664</v>
      </c>
      <c r="CQ34" s="14">
        <v>3444069.4020808786</v>
      </c>
    </row>
    <row r="35" spans="1:95" x14ac:dyDescent="0.25">
      <c r="A35" s="2">
        <v>45688</v>
      </c>
      <c r="B35">
        <v>406946575</v>
      </c>
      <c r="C35"/>
      <c r="D35"/>
      <c r="E35"/>
      <c r="F35"/>
      <c r="G35" s="2">
        <v>44439</v>
      </c>
      <c r="H35" s="40">
        <v>93612227.851582617</v>
      </c>
      <c r="I35"/>
      <c r="J35" s="2">
        <v>44439</v>
      </c>
      <c r="K35" s="40">
        <v>115303908499.39058</v>
      </c>
      <c r="L35" s="40"/>
      <c r="M35" s="34">
        <v>44228</v>
      </c>
      <c r="N35" s="14">
        <v>212422843.90379581</v>
      </c>
      <c r="P35" s="34">
        <v>49126</v>
      </c>
      <c r="Q35" s="14">
        <v>72510493.621921241</v>
      </c>
      <c r="S35" s="34">
        <v>44228</v>
      </c>
      <c r="T35" s="14">
        <v>326089596.76801825</v>
      </c>
      <c r="V35" s="34">
        <v>49126</v>
      </c>
      <c r="W35" s="14">
        <v>0</v>
      </c>
      <c r="Y35" s="34">
        <v>47848</v>
      </c>
      <c r="Z35" s="14">
        <v>0</v>
      </c>
      <c r="AB35" s="34">
        <v>47848</v>
      </c>
      <c r="AC35" s="14">
        <v>0</v>
      </c>
      <c r="AE35" s="34">
        <v>46568</v>
      </c>
      <c r="AF35" s="14">
        <v>2341522</v>
      </c>
      <c r="AH35" s="34">
        <v>46568</v>
      </c>
      <c r="AI35" s="14">
        <v>1552043</v>
      </c>
      <c r="AK35" s="34"/>
      <c r="AL35" s="14"/>
      <c r="AN35" s="34"/>
      <c r="AO35" s="14"/>
      <c r="AQ35" s="34"/>
      <c r="AR35" s="14"/>
      <c r="AT35" s="34"/>
      <c r="AU35" s="14"/>
      <c r="AW35" s="34">
        <v>47483</v>
      </c>
      <c r="AX35" s="14">
        <v>0</v>
      </c>
      <c r="AZ35" s="34">
        <v>46203</v>
      </c>
      <c r="BA35" s="14">
        <v>650479</v>
      </c>
      <c r="BC35" s="34">
        <v>46568</v>
      </c>
      <c r="BD35" s="14">
        <v>1954464</v>
      </c>
      <c r="BF35" s="34"/>
      <c r="BG35" s="14"/>
      <c r="BI35" s="34"/>
      <c r="BJ35" s="14"/>
      <c r="BL35" s="34">
        <v>44561</v>
      </c>
      <c r="BM35" s="14">
        <v>666876</v>
      </c>
      <c r="BO35" s="34">
        <v>44561</v>
      </c>
      <c r="BP35" s="14">
        <v>563306</v>
      </c>
      <c r="BR35" s="34">
        <v>44469</v>
      </c>
      <c r="BS35" s="14">
        <v>782131</v>
      </c>
      <c r="BU35" s="34">
        <v>44561</v>
      </c>
      <c r="BV35" s="14">
        <v>700649</v>
      </c>
      <c r="BX35" s="34">
        <v>44561</v>
      </c>
      <c r="BY35" s="14">
        <v>749269</v>
      </c>
      <c r="CA35" s="34">
        <v>44470</v>
      </c>
      <c r="CB35" s="14">
        <v>1815475</v>
      </c>
      <c r="CD35" s="34">
        <v>46387</v>
      </c>
      <c r="CE35" s="14">
        <v>2286977</v>
      </c>
      <c r="CG35" s="34"/>
      <c r="CH35" s="14"/>
      <c r="CJ35" s="34">
        <v>47118</v>
      </c>
      <c r="CK35" s="14">
        <v>0</v>
      </c>
      <c r="CP35" s="34">
        <v>47848</v>
      </c>
      <c r="CQ35" s="14">
        <v>0</v>
      </c>
    </row>
    <row r="36" spans="1:95" x14ac:dyDescent="0.25">
      <c r="A36" s="2">
        <v>45777</v>
      </c>
      <c r="B36">
        <v>403539645</v>
      </c>
      <c r="C36"/>
      <c r="D36"/>
      <c r="E36"/>
      <c r="F36"/>
      <c r="G36" s="2">
        <v>44469</v>
      </c>
      <c r="H36" s="40">
        <v>97328454.245336294</v>
      </c>
      <c r="I36"/>
      <c r="J36" s="2">
        <v>44469</v>
      </c>
      <c r="K36" s="40">
        <v>119930995238.51672</v>
      </c>
      <c r="L36" s="40"/>
      <c r="M36" s="34">
        <v>44256</v>
      </c>
      <c r="N36" s="14">
        <v>222061203.63520768</v>
      </c>
      <c r="P36" s="34">
        <v>49310</v>
      </c>
      <c r="Q36" s="14">
        <v>49435309.821863167</v>
      </c>
      <c r="S36" s="34">
        <v>44256</v>
      </c>
      <c r="T36" s="14">
        <v>368315341.18225139</v>
      </c>
      <c r="V36" s="34"/>
      <c r="W36" s="14"/>
      <c r="Y36" s="34"/>
      <c r="Z36" s="14"/>
      <c r="AB36" s="34"/>
      <c r="AC36" s="14"/>
      <c r="AE36" s="34">
        <v>46752</v>
      </c>
      <c r="AF36" s="14">
        <v>1669281</v>
      </c>
      <c r="AH36" s="34">
        <v>46752</v>
      </c>
      <c r="AI36" s="14">
        <v>1148397</v>
      </c>
      <c r="AK36" s="34"/>
      <c r="AL36" s="14"/>
      <c r="AN36" s="34"/>
      <c r="AO36" s="14"/>
      <c r="AQ36" s="34"/>
      <c r="AR36" s="14"/>
      <c r="AT36" s="34"/>
      <c r="AU36" s="14"/>
      <c r="AW36" s="34"/>
      <c r="AX36" s="14"/>
      <c r="AZ36" s="34">
        <v>46387</v>
      </c>
      <c r="BA36" s="14">
        <v>567439</v>
      </c>
      <c r="BC36" s="34">
        <v>46752</v>
      </c>
      <c r="BD36" s="14">
        <v>1378662</v>
      </c>
      <c r="BF36" s="34"/>
      <c r="BG36" s="14"/>
      <c r="BI36" s="34"/>
      <c r="BJ36" s="14"/>
      <c r="BL36" s="34">
        <v>44651</v>
      </c>
      <c r="BM36" s="14">
        <v>586638</v>
      </c>
      <c r="BO36" s="34">
        <v>44651</v>
      </c>
      <c r="BP36" s="14">
        <v>503026</v>
      </c>
      <c r="BR36" s="34">
        <v>44561</v>
      </c>
      <c r="BS36" s="14">
        <v>699898</v>
      </c>
      <c r="BU36" s="34">
        <v>44651</v>
      </c>
      <c r="BV36" s="14">
        <v>625672</v>
      </c>
      <c r="BX36" s="34">
        <v>44651</v>
      </c>
      <c r="BY36" s="14">
        <v>860025</v>
      </c>
      <c r="CA36" s="34">
        <v>44562</v>
      </c>
      <c r="CB36" s="14">
        <v>1766660</v>
      </c>
      <c r="CD36" s="34">
        <v>46568</v>
      </c>
      <c r="CE36" s="14">
        <v>2044628</v>
      </c>
      <c r="CG36" s="34"/>
      <c r="CH36" s="14"/>
      <c r="CJ36" s="34"/>
      <c r="CK36" s="14"/>
    </row>
    <row r="37" spans="1:95" x14ac:dyDescent="0.25">
      <c r="A37" s="2">
        <v>45869</v>
      </c>
      <c r="B37">
        <v>391787361</v>
      </c>
      <c r="C37"/>
      <c r="D37"/>
      <c r="E37"/>
      <c r="F37"/>
      <c r="G37" s="2">
        <v>44500</v>
      </c>
      <c r="H37" s="40">
        <v>97952238.659925759</v>
      </c>
      <c r="I37"/>
      <c r="J37" s="2">
        <v>44500</v>
      </c>
      <c r="K37" s="40">
        <v>120707671438.24231</v>
      </c>
      <c r="L37" s="40"/>
      <c r="M37" s="34">
        <v>44287</v>
      </c>
      <c r="N37" s="14">
        <v>223042893.3436515</v>
      </c>
      <c r="P37" s="34">
        <v>49491</v>
      </c>
      <c r="Q37" s="14">
        <v>25351938.05874737</v>
      </c>
      <c r="S37" s="34">
        <v>44287</v>
      </c>
      <c r="T37" s="14">
        <v>368834959.98641592</v>
      </c>
      <c r="V37" s="34"/>
      <c r="W37" s="14"/>
      <c r="Y37" s="34"/>
      <c r="Z37" s="14"/>
      <c r="AB37" s="34"/>
      <c r="AC37" s="14"/>
      <c r="AE37" s="34">
        <v>46934</v>
      </c>
      <c r="AF37" s="14">
        <v>1014232</v>
      </c>
      <c r="AH37" s="34">
        <v>46934</v>
      </c>
      <c r="AI37" s="14">
        <v>688760</v>
      </c>
      <c r="AK37" s="34"/>
      <c r="AL37" s="14"/>
      <c r="AN37" s="34"/>
      <c r="AO37" s="14"/>
      <c r="AQ37" s="34"/>
      <c r="AR37" s="14"/>
      <c r="AT37" s="34"/>
      <c r="AU37" s="14"/>
      <c r="AW37" s="34"/>
      <c r="AX37" s="14"/>
      <c r="AZ37" s="34">
        <v>46568</v>
      </c>
      <c r="BA37" s="14">
        <v>459251</v>
      </c>
      <c r="BC37" s="34">
        <v>46934</v>
      </c>
      <c r="BD37" s="14">
        <v>741391</v>
      </c>
      <c r="BF37" s="34"/>
      <c r="BG37" s="14"/>
      <c r="BI37" s="34"/>
      <c r="BJ37" s="14"/>
      <c r="BL37" s="34">
        <v>44742</v>
      </c>
      <c r="BM37" s="14">
        <v>505527</v>
      </c>
      <c r="BO37" s="34">
        <v>44742</v>
      </c>
      <c r="BP37" s="14">
        <v>442226</v>
      </c>
      <c r="BR37" s="34">
        <v>44651</v>
      </c>
      <c r="BS37" s="14">
        <v>616535</v>
      </c>
      <c r="BU37" s="34">
        <v>44742</v>
      </c>
      <c r="BV37" s="14">
        <v>550048</v>
      </c>
      <c r="BX37" s="34">
        <v>44742</v>
      </c>
      <c r="BY37" s="14">
        <v>569554</v>
      </c>
      <c r="CA37" s="34">
        <v>44652</v>
      </c>
      <c r="CB37" s="14">
        <v>1717445</v>
      </c>
      <c r="CD37" s="34">
        <v>46752</v>
      </c>
      <c r="CE37" s="14">
        <v>1739310</v>
      </c>
      <c r="CG37" s="34"/>
      <c r="CH37" s="14"/>
      <c r="CJ37" s="34"/>
      <c r="CK37" s="14"/>
    </row>
    <row r="38" spans="1:95" x14ac:dyDescent="0.25">
      <c r="A38" s="2">
        <v>45961</v>
      </c>
      <c r="B38">
        <v>386701030</v>
      </c>
      <c r="C38"/>
      <c r="D38"/>
      <c r="E38"/>
      <c r="F38"/>
      <c r="G38" s="2">
        <v>44530</v>
      </c>
      <c r="H38" s="40">
        <v>110115236.1216533</v>
      </c>
      <c r="I38"/>
      <c r="J38" s="2">
        <v>44530</v>
      </c>
      <c r="K38" s="40">
        <v>135851862964.83502</v>
      </c>
      <c r="L38" s="40"/>
      <c r="M38" s="34">
        <v>44317</v>
      </c>
      <c r="N38" s="14">
        <v>223957297.61300036</v>
      </c>
      <c r="P38" s="34">
        <v>49675</v>
      </c>
      <c r="Q38" s="14">
        <v>0</v>
      </c>
      <c r="S38" s="34">
        <v>44317</v>
      </c>
      <c r="T38" s="14">
        <v>368990326.06724113</v>
      </c>
      <c r="V38" s="34"/>
      <c r="W38" s="14"/>
      <c r="Y38" s="34"/>
      <c r="Z38" s="14"/>
      <c r="AB38" s="34"/>
      <c r="AC38" s="14"/>
      <c r="AE38" s="34">
        <v>47118</v>
      </c>
      <c r="AF38" s="14">
        <v>371824</v>
      </c>
      <c r="AH38" s="34">
        <v>47118</v>
      </c>
      <c r="AI38" s="14">
        <v>184859</v>
      </c>
      <c r="AK38" s="34"/>
      <c r="AL38" s="14"/>
      <c r="AN38" s="34"/>
      <c r="AO38" s="14"/>
      <c r="AQ38" s="34"/>
      <c r="AR38" s="14"/>
      <c r="AT38" s="34"/>
      <c r="AU38" s="14"/>
      <c r="AW38" s="34"/>
      <c r="AX38" s="14"/>
      <c r="AZ38" s="34">
        <v>46752</v>
      </c>
      <c r="BA38" s="14">
        <v>371853</v>
      </c>
      <c r="BC38" s="34">
        <v>47118</v>
      </c>
      <c r="BD38" s="14">
        <v>139246</v>
      </c>
      <c r="BF38" s="34"/>
      <c r="BG38" s="14"/>
      <c r="BI38" s="34"/>
      <c r="BJ38" s="14"/>
      <c r="BL38" s="34">
        <v>44834</v>
      </c>
      <c r="BM38" s="14">
        <v>423534</v>
      </c>
      <c r="BO38" s="34">
        <v>44834</v>
      </c>
      <c r="BP38" s="14">
        <v>380889</v>
      </c>
      <c r="BR38" s="34">
        <v>44742</v>
      </c>
      <c r="BS38" s="14">
        <v>532026</v>
      </c>
      <c r="BU38" s="34">
        <v>44834</v>
      </c>
      <c r="BV38" s="14">
        <v>473756</v>
      </c>
      <c r="BX38" s="34">
        <v>44834</v>
      </c>
      <c r="BY38" s="14">
        <v>477840</v>
      </c>
      <c r="CA38" s="34">
        <v>44743</v>
      </c>
      <c r="CB38" s="14">
        <v>1667828</v>
      </c>
      <c r="CD38" s="34">
        <v>46934</v>
      </c>
      <c r="CE38" s="14">
        <v>1475408</v>
      </c>
      <c r="CG38" s="34"/>
      <c r="CH38" s="14"/>
      <c r="CJ38" s="34"/>
      <c r="CK38" s="14"/>
    </row>
    <row r="39" spans="1:95" x14ac:dyDescent="0.25">
      <c r="A39" s="2">
        <v>46052</v>
      </c>
      <c r="B39">
        <v>383156148</v>
      </c>
      <c r="C39"/>
      <c r="D39"/>
      <c r="E39"/>
      <c r="F39"/>
      <c r="G39" s="2">
        <v>44561</v>
      </c>
      <c r="H39" s="40">
        <v>110739020.53624278</v>
      </c>
      <c r="I39"/>
      <c r="J39" s="2">
        <v>44561</v>
      </c>
      <c r="K39" s="40">
        <v>136628539164.56059</v>
      </c>
      <c r="L39" s="40"/>
      <c r="M39" s="34">
        <v>44348</v>
      </c>
      <c r="N39" s="14">
        <v>240174009.53379011</v>
      </c>
      <c r="P39" s="34"/>
      <c r="Q39" s="14"/>
      <c r="S39" s="34">
        <v>44348</v>
      </c>
      <c r="T39" s="14">
        <v>418452225.47487622</v>
      </c>
      <c r="V39" s="34"/>
      <c r="W39" s="14"/>
      <c r="Y39" s="34"/>
      <c r="Z39" s="14"/>
      <c r="AB39" s="34"/>
      <c r="AC39" s="14"/>
      <c r="AE39" s="34">
        <v>47299</v>
      </c>
      <c r="AF39" s="14">
        <v>0</v>
      </c>
      <c r="AH39" s="34">
        <v>47299</v>
      </c>
      <c r="AI39" s="14">
        <v>0</v>
      </c>
      <c r="AK39" s="34"/>
      <c r="AL39" s="14"/>
      <c r="AN39" s="34"/>
      <c r="AO39" s="14"/>
      <c r="AQ39" s="34"/>
      <c r="AR39" s="14"/>
      <c r="AT39" s="34"/>
      <c r="AU39" s="14"/>
      <c r="AW39" s="34"/>
      <c r="AX39" s="14"/>
      <c r="AZ39" s="34">
        <v>46934</v>
      </c>
      <c r="BA39" s="14">
        <v>258793</v>
      </c>
      <c r="BC39" s="34">
        <v>47299</v>
      </c>
      <c r="BD39" s="14">
        <v>0</v>
      </c>
      <c r="BF39" s="34"/>
      <c r="BG39" s="14"/>
      <c r="BI39" s="34"/>
      <c r="BJ39" s="14"/>
      <c r="BL39" s="34">
        <v>44926</v>
      </c>
      <c r="BM39" s="14">
        <v>340650</v>
      </c>
      <c r="BO39" s="34">
        <v>44926</v>
      </c>
      <c r="BP39" s="14">
        <v>318916</v>
      </c>
      <c r="BR39" s="34">
        <v>44834</v>
      </c>
      <c r="BS39" s="14">
        <v>446354</v>
      </c>
      <c r="BU39" s="34">
        <v>44926</v>
      </c>
      <c r="BV39" s="14">
        <v>396673</v>
      </c>
      <c r="BX39" s="34">
        <v>44926</v>
      </c>
      <c r="BY39" s="14">
        <v>384864</v>
      </c>
      <c r="CA39" s="34">
        <v>44835</v>
      </c>
      <c r="CB39" s="14">
        <v>1617805</v>
      </c>
      <c r="CD39" s="34">
        <v>47118</v>
      </c>
      <c r="CE39" s="14">
        <v>0</v>
      </c>
      <c r="CG39" s="34"/>
      <c r="CH39" s="14"/>
      <c r="CJ39" s="34"/>
      <c r="CK39" s="14"/>
    </row>
    <row r="40" spans="1:95" x14ac:dyDescent="0.25">
      <c r="A40" s="2">
        <v>46142</v>
      </c>
      <c r="B40">
        <v>379287404</v>
      </c>
      <c r="C40"/>
      <c r="D40"/>
      <c r="E40"/>
      <c r="F40"/>
      <c r="G40" s="2">
        <v>44592</v>
      </c>
      <c r="H40" s="40">
        <v>120594175.38854273</v>
      </c>
      <c r="I40"/>
      <c r="J40" s="2">
        <v>44592</v>
      </c>
      <c r="K40" s="40">
        <v>149031299615.0885</v>
      </c>
      <c r="L40" s="40"/>
      <c r="M40" s="34">
        <v>44378</v>
      </c>
      <c r="N40" s="14">
        <v>241095188.57910103</v>
      </c>
      <c r="P40" s="34"/>
      <c r="Q40" s="14"/>
      <c r="S40" s="34">
        <v>44378</v>
      </c>
      <c r="T40" s="14">
        <v>418607591.55570143</v>
      </c>
      <c r="V40" s="34"/>
      <c r="W40" s="14"/>
      <c r="Y40" s="34"/>
      <c r="Z40" s="14"/>
      <c r="AB40" s="34"/>
      <c r="AC40" s="14"/>
      <c r="AE40" s="34"/>
      <c r="AF40" s="14"/>
      <c r="AH40" s="34"/>
      <c r="AI40" s="14"/>
      <c r="AK40" s="34"/>
      <c r="AL40" s="14"/>
      <c r="AN40" s="34"/>
      <c r="AO40" s="14"/>
      <c r="AQ40" s="34"/>
      <c r="AR40" s="14"/>
      <c r="AT40" s="34"/>
      <c r="AU40" s="14"/>
      <c r="AW40" s="34"/>
      <c r="AX40" s="14"/>
      <c r="AZ40" s="34">
        <v>47118</v>
      </c>
      <c r="BA40" s="14">
        <v>166689</v>
      </c>
      <c r="BC40" s="34"/>
      <c r="BD40" s="14"/>
      <c r="BF40" s="34"/>
      <c r="BG40" s="14"/>
      <c r="BI40" s="34"/>
      <c r="BJ40" s="14"/>
      <c r="BL40" s="34">
        <v>45016</v>
      </c>
      <c r="BM40" s="14">
        <v>256864</v>
      </c>
      <c r="BO40" s="34">
        <v>45016</v>
      </c>
      <c r="BP40" s="14">
        <v>256348</v>
      </c>
      <c r="BR40" s="34">
        <v>44926</v>
      </c>
      <c r="BS40" s="14">
        <v>359505</v>
      </c>
      <c r="BU40" s="34">
        <v>45016</v>
      </c>
      <c r="BV40" s="14">
        <v>318850</v>
      </c>
      <c r="BX40" s="34">
        <v>45016</v>
      </c>
      <c r="BY40" s="14">
        <v>290610</v>
      </c>
      <c r="CA40" s="34">
        <v>44927</v>
      </c>
      <c r="CB40" s="14">
        <v>1567373</v>
      </c>
      <c r="CD40" s="34"/>
      <c r="CE40" s="14"/>
      <c r="CG40" s="34"/>
      <c r="CH40" s="14"/>
      <c r="CJ40" s="34"/>
      <c r="CK40" s="14"/>
    </row>
    <row r="41" spans="1:95" x14ac:dyDescent="0.25">
      <c r="A41" s="2">
        <v>46234</v>
      </c>
      <c r="B41">
        <v>369100879</v>
      </c>
      <c r="C41"/>
      <c r="D41"/>
      <c r="E41"/>
      <c r="F41"/>
      <c r="G41" s="2">
        <v>44620</v>
      </c>
      <c r="H41" s="40">
        <v>121217959.80313219</v>
      </c>
      <c r="I41"/>
      <c r="J41" s="2">
        <v>44620</v>
      </c>
      <c r="K41" s="40">
        <v>149816335343.38257</v>
      </c>
      <c r="L41" s="40"/>
      <c r="M41" s="34">
        <v>44409</v>
      </c>
      <c r="N41" s="14">
        <v>242084151.57799417</v>
      </c>
      <c r="P41" s="34"/>
      <c r="Q41" s="14"/>
      <c r="S41" s="34">
        <v>44409</v>
      </c>
      <c r="T41" s="14">
        <v>419127210.35986596</v>
      </c>
      <c r="V41" s="34"/>
      <c r="W41" s="14"/>
      <c r="Y41" s="34"/>
      <c r="Z41" s="14"/>
      <c r="AB41" s="34"/>
      <c r="AC41" s="14"/>
      <c r="AE41" s="34"/>
      <c r="AF41" s="14"/>
      <c r="AH41" s="34"/>
      <c r="AI41" s="14"/>
      <c r="AK41" s="34"/>
      <c r="AL41" s="14"/>
      <c r="AN41" s="34"/>
      <c r="AO41" s="14"/>
      <c r="AQ41" s="34"/>
      <c r="AR41" s="14"/>
      <c r="AT41" s="34"/>
      <c r="AU41" s="14"/>
      <c r="AW41" s="34"/>
      <c r="AX41" s="14"/>
      <c r="AZ41" s="34">
        <v>47299</v>
      </c>
      <c r="BA41" s="14">
        <v>48364</v>
      </c>
      <c r="BC41" s="34"/>
      <c r="BD41" s="14"/>
      <c r="BF41" s="34"/>
      <c r="BG41" s="14"/>
      <c r="BI41" s="34"/>
      <c r="BJ41" s="14"/>
      <c r="BL41" s="34">
        <v>45107</v>
      </c>
      <c r="BM41" s="14">
        <v>172167</v>
      </c>
      <c r="BO41" s="34">
        <v>45107</v>
      </c>
      <c r="BP41" s="14">
        <v>193179</v>
      </c>
      <c r="BR41" s="34">
        <v>45016</v>
      </c>
      <c r="BS41" s="14">
        <v>271461</v>
      </c>
      <c r="BU41" s="34">
        <v>45107</v>
      </c>
      <c r="BV41" s="14">
        <v>240279</v>
      </c>
      <c r="BX41" s="34">
        <v>45107</v>
      </c>
      <c r="BY41" s="14">
        <v>195060</v>
      </c>
      <c r="CA41" s="34">
        <v>45017</v>
      </c>
      <c r="CB41" s="14">
        <v>1516528</v>
      </c>
      <c r="CD41" s="34"/>
      <c r="CE41" s="14"/>
      <c r="CG41" s="34"/>
      <c r="CH41" s="14"/>
      <c r="CJ41" s="34"/>
      <c r="CK41" s="14"/>
    </row>
    <row r="42" spans="1:95" x14ac:dyDescent="0.25">
      <c r="A42" s="2">
        <v>46325</v>
      </c>
      <c r="B42">
        <v>362832544</v>
      </c>
      <c r="C42"/>
      <c r="D42"/>
      <c r="E42"/>
      <c r="F42"/>
      <c r="G42" s="2">
        <v>44651</v>
      </c>
      <c r="H42" s="40">
        <v>125653335.00760747</v>
      </c>
      <c r="I42"/>
      <c r="J42" s="2">
        <v>44651</v>
      </c>
      <c r="K42" s="40">
        <v>155398276671.93311</v>
      </c>
      <c r="L42" s="40"/>
      <c r="M42" s="34">
        <v>44440</v>
      </c>
      <c r="N42" s="14">
        <v>250651048.05253974</v>
      </c>
      <c r="P42" s="34"/>
      <c r="Q42" s="14"/>
      <c r="S42" s="34">
        <v>44440</v>
      </c>
      <c r="T42" s="14">
        <v>456094982.77577668</v>
      </c>
      <c r="V42" s="34"/>
      <c r="W42" s="14"/>
      <c r="Y42" s="34"/>
      <c r="Z42" s="14"/>
      <c r="AB42" s="34"/>
      <c r="AC42" s="14"/>
      <c r="AE42" s="34"/>
      <c r="AF42" s="14"/>
      <c r="AH42" s="34"/>
      <c r="AI42" s="14"/>
      <c r="AK42" s="34"/>
      <c r="AL42" s="14"/>
      <c r="AN42" s="34"/>
      <c r="AO42" s="14"/>
      <c r="AQ42" s="34"/>
      <c r="AR42" s="14"/>
      <c r="AT42" s="34"/>
      <c r="AU42" s="14"/>
      <c r="AW42" s="34"/>
      <c r="AX42" s="14"/>
      <c r="AZ42" s="34">
        <v>47483</v>
      </c>
      <c r="BA42" s="14">
        <v>0</v>
      </c>
      <c r="BC42" s="34"/>
      <c r="BD42" s="14"/>
      <c r="BF42" s="34"/>
      <c r="BG42" s="14"/>
      <c r="BI42" s="34"/>
      <c r="BJ42" s="14"/>
      <c r="BL42" s="34">
        <v>45198</v>
      </c>
      <c r="BM42" s="14">
        <v>86549</v>
      </c>
      <c r="BO42" s="34">
        <v>45198</v>
      </c>
      <c r="BP42" s="14">
        <v>129403</v>
      </c>
      <c r="BR42" s="34">
        <v>45107</v>
      </c>
      <c r="BS42" s="14">
        <v>182207</v>
      </c>
      <c r="BU42" s="34">
        <v>45198</v>
      </c>
      <c r="BV42" s="14">
        <v>160953</v>
      </c>
      <c r="BX42" s="34">
        <v>45198</v>
      </c>
      <c r="BY42" s="14">
        <v>98196</v>
      </c>
      <c r="CA42" s="34">
        <v>45108</v>
      </c>
      <c r="CB42" s="14">
        <v>1465268</v>
      </c>
      <c r="CD42" s="34"/>
      <c r="CE42" s="14"/>
      <c r="CG42" s="34"/>
      <c r="CH42" s="14"/>
      <c r="CJ42" s="34"/>
      <c r="CK42" s="14"/>
    </row>
    <row r="43" spans="1:95" x14ac:dyDescent="0.25">
      <c r="A43" s="2">
        <v>46416</v>
      </c>
      <c r="B43">
        <v>359062277</v>
      </c>
      <c r="C43"/>
      <c r="D43"/>
      <c r="E43"/>
      <c r="F43"/>
      <c r="G43" s="2">
        <v>44681</v>
      </c>
      <c r="H43" s="40">
        <v>135508489.85990742</v>
      </c>
      <c r="I43"/>
      <c r="J43" s="2">
        <v>44681</v>
      </c>
      <c r="K43" s="40">
        <v>167801037122.461</v>
      </c>
      <c r="L43" s="40"/>
      <c r="M43" s="34">
        <v>44470</v>
      </c>
      <c r="N43" s="14">
        <v>251647472.51441619</v>
      </c>
      <c r="P43" s="34"/>
      <c r="Q43" s="14"/>
      <c r="S43" s="34">
        <v>44470</v>
      </c>
      <c r="T43" s="14">
        <v>456614601.57994109</v>
      </c>
      <c r="V43" s="34"/>
      <c r="W43" s="14"/>
      <c r="Y43" s="34"/>
      <c r="Z43" s="14"/>
      <c r="AB43" s="34"/>
      <c r="AC43" s="14"/>
      <c r="AE43" s="34"/>
      <c r="AF43" s="14"/>
      <c r="AH43" s="34"/>
      <c r="AI43" s="14"/>
      <c r="AK43" s="34"/>
      <c r="AL43" s="14"/>
      <c r="AN43" s="34"/>
      <c r="AO43" s="14"/>
      <c r="AQ43" s="34"/>
      <c r="AR43" s="14"/>
      <c r="AT43" s="34"/>
      <c r="AU43" s="14"/>
      <c r="AW43" s="34"/>
      <c r="AX43" s="14"/>
      <c r="AZ43" s="34"/>
      <c r="BA43" s="14"/>
      <c r="BC43" s="34"/>
      <c r="BD43" s="14"/>
      <c r="BF43" s="34"/>
      <c r="BG43" s="14"/>
      <c r="BI43" s="34"/>
      <c r="BJ43" s="14"/>
      <c r="BL43" s="34">
        <v>45289</v>
      </c>
      <c r="BM43" s="20">
        <v>0</v>
      </c>
      <c r="BO43" s="34">
        <v>45289</v>
      </c>
      <c r="BP43" s="14">
        <v>65014</v>
      </c>
      <c r="BR43" s="34">
        <v>45198</v>
      </c>
      <c r="BS43" s="14">
        <v>91726</v>
      </c>
      <c r="BU43" s="34">
        <v>45289</v>
      </c>
      <c r="BV43" s="14">
        <v>80865</v>
      </c>
      <c r="BX43" s="34">
        <v>45289</v>
      </c>
      <c r="BY43" s="14">
        <v>0</v>
      </c>
      <c r="CA43" s="34">
        <v>45200</v>
      </c>
      <c r="CB43" s="14">
        <v>1413588</v>
      </c>
      <c r="CD43" s="34"/>
      <c r="CE43" s="14"/>
      <c r="CG43" s="34"/>
      <c r="CH43" s="14"/>
      <c r="CJ43" s="34"/>
      <c r="CK43" s="14"/>
    </row>
    <row r="44" spans="1:95" x14ac:dyDescent="0.25">
      <c r="A44" s="2">
        <v>46507</v>
      </c>
      <c r="B44">
        <v>355611014</v>
      </c>
      <c r="C44"/>
      <c r="D44"/>
      <c r="E44"/>
      <c r="F44"/>
      <c r="G44" s="2">
        <v>44712</v>
      </c>
      <c r="H44" s="40">
        <v>136132274.27449688</v>
      </c>
      <c r="I44"/>
      <c r="J44" s="2">
        <v>44712</v>
      </c>
      <c r="K44" s="40">
        <v>168586072850.75507</v>
      </c>
      <c r="L44" s="40"/>
      <c r="M44" s="34">
        <v>44501</v>
      </c>
      <c r="N44" s="14">
        <v>252575601.61079639</v>
      </c>
      <c r="P44" s="34"/>
      <c r="Q44" s="14"/>
      <c r="S44" s="34">
        <v>44501</v>
      </c>
      <c r="T44" s="14">
        <v>456769967.66076636</v>
      </c>
      <c r="V44" s="34"/>
      <c r="W44" s="14"/>
      <c r="Y44" s="34"/>
      <c r="Z44" s="14"/>
      <c r="AB44" s="34"/>
      <c r="AC44" s="14"/>
      <c r="AE44" s="34"/>
      <c r="AF44" s="14"/>
      <c r="AH44" s="34"/>
      <c r="AI44" s="14"/>
      <c r="AK44" s="34"/>
      <c r="AL44" s="14"/>
      <c r="AN44" s="34"/>
      <c r="AO44" s="14"/>
      <c r="AQ44" s="34"/>
      <c r="AR44" s="14"/>
      <c r="AT44" s="34"/>
      <c r="AU44" s="14"/>
      <c r="AW44" s="34"/>
      <c r="AX44" s="14"/>
      <c r="AZ44" s="34"/>
      <c r="BA44" s="14"/>
      <c r="BC44" s="34"/>
      <c r="BD44" s="14"/>
      <c r="BF44" s="34"/>
      <c r="BG44" s="14"/>
      <c r="BI44" s="34"/>
      <c r="BJ44" s="14"/>
      <c r="BO44" s="34">
        <v>45380</v>
      </c>
      <c r="BP44" s="20">
        <v>0</v>
      </c>
      <c r="BR44" s="34">
        <v>45289</v>
      </c>
      <c r="BS44" s="20">
        <v>0</v>
      </c>
      <c r="BU44" s="34">
        <v>45379</v>
      </c>
      <c r="BV44" s="20">
        <v>0</v>
      </c>
      <c r="CA44" s="34">
        <v>45292</v>
      </c>
      <c r="CB44" s="14">
        <v>1361486</v>
      </c>
      <c r="CD44" s="34"/>
      <c r="CE44" s="14"/>
      <c r="CG44" s="34"/>
      <c r="CH44" s="14"/>
      <c r="CJ44" s="34"/>
      <c r="CK44" s="14"/>
    </row>
    <row r="45" spans="1:95" x14ac:dyDescent="0.25">
      <c r="A45" s="2">
        <v>46598</v>
      </c>
      <c r="B45">
        <v>346487769</v>
      </c>
      <c r="C45"/>
      <c r="D45"/>
      <c r="E45"/>
      <c r="F45"/>
      <c r="G45" s="2">
        <v>44742</v>
      </c>
      <c r="H45" s="40">
        <v>136756058.68908635</v>
      </c>
      <c r="I45"/>
      <c r="J45" s="2">
        <v>44742</v>
      </c>
      <c r="K45" s="40">
        <v>169371108579.04913</v>
      </c>
      <c r="L45" s="40"/>
      <c r="M45" s="34">
        <v>44531</v>
      </c>
      <c r="N45" s="14">
        <v>267397618.00282186</v>
      </c>
      <c r="P45" s="34"/>
      <c r="Q45" s="14"/>
      <c r="S45" s="34">
        <v>44531</v>
      </c>
      <c r="T45" s="14">
        <v>492398642.93100125</v>
      </c>
      <c r="V45" s="34"/>
      <c r="W45" s="14"/>
      <c r="Y45" s="34"/>
      <c r="Z45" s="14"/>
      <c r="AB45" s="34"/>
      <c r="AC45" s="14"/>
      <c r="AE45" s="34"/>
      <c r="AF45" s="14"/>
      <c r="AH45" s="34"/>
      <c r="AI45" s="14"/>
      <c r="AK45" s="34"/>
      <c r="AL45" s="14"/>
      <c r="AN45" s="34"/>
      <c r="AO45" s="14"/>
      <c r="AQ45" s="34"/>
      <c r="AR45" s="14"/>
      <c r="AT45" s="34"/>
      <c r="AU45" s="14"/>
      <c r="AW45" s="34"/>
      <c r="AX45" s="14"/>
      <c r="AZ45" s="34"/>
      <c r="BA45" s="14"/>
      <c r="BC45" s="34"/>
      <c r="BD45" s="14"/>
      <c r="BF45" s="34"/>
      <c r="BG45" s="14"/>
      <c r="BI45" s="34"/>
      <c r="BJ45" s="14"/>
      <c r="CA45" s="34">
        <v>45383</v>
      </c>
      <c r="CB45" s="14">
        <v>1308957</v>
      </c>
      <c r="CD45" s="34"/>
      <c r="CE45" s="14"/>
      <c r="CG45" s="34"/>
      <c r="CH45" s="14"/>
      <c r="CJ45" s="34"/>
      <c r="CK45" s="14"/>
    </row>
    <row r="46" spans="1:95" x14ac:dyDescent="0.25">
      <c r="A46" s="2">
        <v>46689</v>
      </c>
      <c r="B46">
        <v>341333383</v>
      </c>
      <c r="C46"/>
      <c r="D46"/>
      <c r="E46"/>
      <c r="F46"/>
      <c r="G46" s="2">
        <v>44773</v>
      </c>
      <c r="H46" s="40">
        <v>140841607.01781726</v>
      </c>
      <c r="I46"/>
      <c r="J46" s="2">
        <v>44773</v>
      </c>
      <c r="K46" s="40">
        <v>174512791078.18085</v>
      </c>
      <c r="L46" s="40"/>
      <c r="M46" s="34">
        <v>44562</v>
      </c>
      <c r="N46" s="14">
        <v>272504931.72663826</v>
      </c>
      <c r="P46" s="34"/>
      <c r="Q46" s="14"/>
      <c r="S46" s="34">
        <v>44562</v>
      </c>
      <c r="T46" s="14">
        <v>493248208.48498404</v>
      </c>
      <c r="V46" s="34"/>
      <c r="W46" s="14"/>
      <c r="Y46" s="34"/>
      <c r="Z46" s="14"/>
      <c r="AB46" s="34"/>
      <c r="AC46" s="14"/>
      <c r="AE46" s="34"/>
      <c r="AF46" s="14"/>
      <c r="AH46" s="34"/>
      <c r="AI46" s="14"/>
      <c r="AK46" s="34"/>
      <c r="AL46" s="14"/>
      <c r="AN46" s="34"/>
      <c r="AO46" s="14"/>
      <c r="AQ46" s="34"/>
      <c r="AR46" s="14"/>
      <c r="AT46" s="34"/>
      <c r="AU46" s="14"/>
      <c r="AW46" s="34"/>
      <c r="AX46" s="14"/>
      <c r="AZ46" s="34"/>
      <c r="BA46" s="14"/>
      <c r="BC46" s="34"/>
      <c r="BD46" s="14"/>
      <c r="BF46" s="34"/>
      <c r="BG46" s="14"/>
      <c r="BI46" s="34"/>
      <c r="BJ46" s="14"/>
      <c r="CA46" s="34">
        <v>45474</v>
      </c>
      <c r="CB46" s="14">
        <v>1255999</v>
      </c>
      <c r="CD46" s="34"/>
      <c r="CE46" s="14"/>
      <c r="CG46" s="34"/>
      <c r="CH46" s="14"/>
      <c r="CJ46" s="34"/>
      <c r="CK46" s="14"/>
    </row>
    <row r="47" spans="1:95" x14ac:dyDescent="0.25">
      <c r="A47" s="2">
        <v>46783</v>
      </c>
      <c r="B47">
        <v>336702631</v>
      </c>
      <c r="C47"/>
      <c r="D47"/>
      <c r="E47"/>
      <c r="F47"/>
      <c r="G47" s="2">
        <v>44804</v>
      </c>
      <c r="H47" s="40">
        <v>159928132.30782768</v>
      </c>
      <c r="I47"/>
      <c r="J47" s="2">
        <v>44804</v>
      </c>
      <c r="K47" s="40">
        <v>198533276250.94263</v>
      </c>
      <c r="L47" s="40"/>
      <c r="M47" s="34">
        <v>44593</v>
      </c>
      <c r="N47" s="14">
        <v>273661252.26486284</v>
      </c>
      <c r="P47" s="34"/>
      <c r="Q47" s="14"/>
      <c r="S47" s="34">
        <v>44593</v>
      </c>
      <c r="T47" s="14">
        <v>493440554.23693138</v>
      </c>
      <c r="V47" s="34"/>
      <c r="W47" s="14"/>
      <c r="Y47" s="34"/>
      <c r="Z47" s="14"/>
      <c r="AB47" s="34"/>
      <c r="AC47" s="14"/>
      <c r="AE47" s="34"/>
      <c r="AF47" s="14"/>
      <c r="AH47" s="34"/>
      <c r="AI47" s="14"/>
      <c r="AK47" s="34"/>
      <c r="AL47" s="14"/>
      <c r="AN47" s="34"/>
      <c r="AO47" s="14"/>
      <c r="AQ47" s="34"/>
      <c r="AR47" s="14"/>
      <c r="AT47" s="34"/>
      <c r="AU47" s="14"/>
      <c r="AW47" s="34"/>
      <c r="AX47" s="14"/>
      <c r="AZ47" s="34"/>
      <c r="BA47" s="14"/>
      <c r="BC47" s="34"/>
      <c r="BD47" s="14"/>
      <c r="BF47" s="34"/>
      <c r="BG47" s="14"/>
      <c r="BI47" s="34"/>
      <c r="BJ47" s="14"/>
      <c r="CA47" s="34">
        <v>45566</v>
      </c>
      <c r="CB47" s="14">
        <v>1202608</v>
      </c>
      <c r="CD47" s="34"/>
      <c r="CE47" s="14"/>
      <c r="CG47" s="34"/>
      <c r="CH47" s="14"/>
      <c r="CJ47" s="34"/>
      <c r="CK47" s="14"/>
    </row>
    <row r="48" spans="1:95" x14ac:dyDescent="0.25">
      <c r="A48" s="2">
        <v>46871</v>
      </c>
      <c r="B48">
        <v>328098588</v>
      </c>
      <c r="C48"/>
      <c r="D48"/>
      <c r="E48"/>
      <c r="F48"/>
      <c r="G48" s="2">
        <v>44834</v>
      </c>
      <c r="H48" s="40">
        <v>164783408.19880831</v>
      </c>
      <c r="I48"/>
      <c r="J48" s="2">
        <v>44834</v>
      </c>
      <c r="K48" s="40">
        <v>204643664641.54236</v>
      </c>
      <c r="L48" s="40"/>
      <c r="M48" s="34">
        <v>44621</v>
      </c>
      <c r="N48" s="14">
        <v>279900729.21410596</v>
      </c>
      <c r="P48" s="34"/>
      <c r="Q48" s="14"/>
      <c r="S48" s="34">
        <v>44621</v>
      </c>
      <c r="T48" s="14">
        <v>517367941.04866469</v>
      </c>
      <c r="V48" s="34"/>
      <c r="W48" s="14"/>
      <c r="Y48" s="34"/>
      <c r="Z48" s="14"/>
      <c r="AB48" s="34"/>
      <c r="AC48" s="14"/>
      <c r="AE48" s="34"/>
      <c r="AF48" s="14"/>
      <c r="AH48" s="34"/>
      <c r="AI48" s="14"/>
      <c r="AK48" s="34"/>
      <c r="AL48" s="14"/>
      <c r="AN48" s="34"/>
      <c r="AO48" s="14"/>
      <c r="AQ48" s="34"/>
      <c r="AR48" s="14"/>
      <c r="AT48" s="34"/>
      <c r="AU48" s="14"/>
      <c r="AW48" s="34"/>
      <c r="AX48" s="14"/>
      <c r="AZ48" s="34"/>
      <c r="BA48" s="14"/>
      <c r="BC48" s="34"/>
      <c r="BD48" s="14"/>
      <c r="BF48" s="34"/>
      <c r="BG48" s="14"/>
      <c r="BI48" s="34"/>
      <c r="BJ48" s="14"/>
      <c r="CA48" s="34">
        <v>45658</v>
      </c>
      <c r="CB48" s="14">
        <v>1148780</v>
      </c>
      <c r="CD48" s="34"/>
      <c r="CE48" s="14"/>
      <c r="CG48" s="34"/>
      <c r="CH48" s="14"/>
      <c r="CJ48" s="34"/>
      <c r="CK48" s="14"/>
    </row>
    <row r="49" spans="1:89" x14ac:dyDescent="0.25">
      <c r="A49" s="2">
        <v>46965</v>
      </c>
      <c r="B49">
        <v>316711532</v>
      </c>
      <c r="C49"/>
      <c r="D49"/>
      <c r="E49"/>
      <c r="F49"/>
      <c r="G49" s="2">
        <v>44865</v>
      </c>
      <c r="H49" s="40">
        <v>164798682.25203183</v>
      </c>
      <c r="I49"/>
      <c r="J49" s="2">
        <v>44865</v>
      </c>
      <c r="K49" s="40">
        <v>204662887112.02399</v>
      </c>
      <c r="L49" s="40"/>
      <c r="M49" s="34">
        <v>44652</v>
      </c>
      <c r="N49" s="14">
        <v>281062062.39670002</v>
      </c>
      <c r="P49" s="34"/>
      <c r="Q49" s="14"/>
      <c r="S49" s="34">
        <v>44652</v>
      </c>
      <c r="T49" s="14">
        <v>517559919.17962992</v>
      </c>
      <c r="V49" s="34"/>
      <c r="W49" s="14"/>
      <c r="Y49" s="34"/>
      <c r="Z49" s="14"/>
      <c r="AB49" s="34"/>
      <c r="AC49" s="14"/>
      <c r="AE49" s="34"/>
      <c r="AF49" s="14"/>
      <c r="AH49" s="34"/>
      <c r="AI49" s="14"/>
      <c r="AK49" s="34"/>
      <c r="AL49" s="14"/>
      <c r="AN49" s="34"/>
      <c r="AO49" s="14"/>
      <c r="AQ49" s="34"/>
      <c r="AR49" s="14"/>
      <c r="AT49" s="34"/>
      <c r="AU49" s="14"/>
      <c r="AW49" s="34"/>
      <c r="AX49" s="14"/>
      <c r="AZ49" s="34"/>
      <c r="BA49" s="14"/>
      <c r="BC49" s="34"/>
      <c r="BD49" s="14"/>
      <c r="BF49" s="34"/>
      <c r="BG49" s="14"/>
      <c r="BI49" s="34"/>
      <c r="BJ49" s="14"/>
      <c r="CA49" s="34">
        <v>45748</v>
      </c>
      <c r="CB49" s="14">
        <v>1094512</v>
      </c>
      <c r="CD49" s="34"/>
      <c r="CE49" s="14"/>
      <c r="CG49" s="34"/>
      <c r="CH49" s="14"/>
      <c r="CJ49" s="34"/>
      <c r="CK49" s="14"/>
    </row>
    <row r="50" spans="1:89" x14ac:dyDescent="0.25">
      <c r="A50" s="2">
        <v>47057</v>
      </c>
      <c r="B50">
        <v>309354845</v>
      </c>
      <c r="C50"/>
      <c r="D50"/>
      <c r="E50"/>
      <c r="F50"/>
      <c r="G50" s="2">
        <v>44895</v>
      </c>
      <c r="H50" s="40">
        <v>173867178.02667272</v>
      </c>
      <c r="I50"/>
      <c r="J50" s="2">
        <v>44895</v>
      </c>
      <c r="K50" s="40">
        <v>216075633276.35715</v>
      </c>
      <c r="L50" s="40"/>
      <c r="M50" s="34">
        <v>44682</v>
      </c>
      <c r="N50" s="14">
        <v>282223395.57929409</v>
      </c>
      <c r="P50" s="34"/>
      <c r="Q50" s="14"/>
      <c r="S50" s="34">
        <v>44682</v>
      </c>
      <c r="T50" s="14">
        <v>517751897.31059527</v>
      </c>
      <c r="V50" s="34"/>
      <c r="W50" s="14"/>
      <c r="Y50" s="34"/>
      <c r="Z50" s="14"/>
      <c r="AB50" s="34"/>
      <c r="AC50" s="14"/>
      <c r="AE50" s="34"/>
      <c r="AF50" s="14"/>
      <c r="AH50" s="34"/>
      <c r="AI50" s="14"/>
      <c r="AK50" s="34"/>
      <c r="AL50" s="14"/>
      <c r="AN50" s="34"/>
      <c r="AO50" s="14"/>
      <c r="AQ50" s="34"/>
      <c r="AR50" s="14"/>
      <c r="AT50" s="34"/>
      <c r="AU50" s="14"/>
      <c r="AW50" s="34"/>
      <c r="AX50" s="14"/>
      <c r="AZ50" s="34"/>
      <c r="BA50" s="14"/>
      <c r="BC50" s="34"/>
      <c r="BD50" s="14"/>
      <c r="BF50" s="34"/>
      <c r="BG50" s="14"/>
      <c r="BI50" s="34"/>
      <c r="BJ50" s="14"/>
      <c r="CA50" s="34">
        <v>45839</v>
      </c>
      <c r="CB50" s="14">
        <v>1039800</v>
      </c>
      <c r="CD50" s="34"/>
      <c r="CE50" s="14"/>
      <c r="CG50" s="34"/>
      <c r="CH50" s="14"/>
      <c r="CJ50" s="34"/>
      <c r="CK50" s="14"/>
    </row>
    <row r="51" spans="1:89" x14ac:dyDescent="0.25">
      <c r="A51" s="2">
        <v>47149</v>
      </c>
      <c r="B51">
        <v>302761621</v>
      </c>
      <c r="C51"/>
      <c r="D51"/>
      <c r="E51"/>
      <c r="F51"/>
      <c r="G51" s="2">
        <v>44926</v>
      </c>
      <c r="H51" s="40">
        <v>173867178.02667272</v>
      </c>
      <c r="I51"/>
      <c r="J51" s="2">
        <v>44926</v>
      </c>
      <c r="K51" s="40">
        <v>216075633276.35715</v>
      </c>
      <c r="L51" s="40"/>
      <c r="M51" s="34">
        <v>44713</v>
      </c>
      <c r="N51" s="14">
        <v>297959601.43943882</v>
      </c>
      <c r="P51" s="34"/>
      <c r="Q51" s="14"/>
      <c r="S51" s="34">
        <v>44713</v>
      </c>
      <c r="T51" s="14">
        <v>549269369.81700754</v>
      </c>
      <c r="V51" s="34"/>
      <c r="W51" s="14"/>
      <c r="Y51" s="34"/>
      <c r="Z51" s="14"/>
      <c r="AB51" s="34"/>
      <c r="AC51" s="14"/>
      <c r="AE51" s="34"/>
      <c r="AF51" s="14"/>
      <c r="AH51" s="34"/>
      <c r="AI51" s="14"/>
      <c r="AK51" s="34"/>
      <c r="AL51" s="14"/>
      <c r="AN51" s="34"/>
      <c r="AO51" s="14"/>
      <c r="AQ51" s="34"/>
      <c r="AR51" s="14"/>
      <c r="AT51" s="34"/>
      <c r="AU51" s="14"/>
      <c r="AW51" s="34"/>
      <c r="AX51" s="14"/>
      <c r="AZ51" s="34"/>
      <c r="BA51" s="14"/>
      <c r="BC51" s="34"/>
      <c r="BD51" s="14"/>
      <c r="BF51" s="34"/>
      <c r="BG51" s="14"/>
      <c r="BI51" s="34"/>
      <c r="BJ51" s="14"/>
      <c r="CA51" s="34">
        <v>45931</v>
      </c>
      <c r="CB51" s="14">
        <v>984641</v>
      </c>
      <c r="CD51" s="34"/>
      <c r="CE51" s="14"/>
      <c r="CG51" s="34"/>
      <c r="CH51" s="14"/>
      <c r="CJ51" s="34"/>
      <c r="CK51" s="14"/>
    </row>
    <row r="52" spans="1:89" x14ac:dyDescent="0.25">
      <c r="A52" s="2">
        <v>47238</v>
      </c>
      <c r="B52">
        <v>294802797</v>
      </c>
      <c r="C52"/>
      <c r="D52"/>
      <c r="E52"/>
      <c r="F52"/>
      <c r="G52" s="2">
        <v>44957</v>
      </c>
      <c r="H52" s="40">
        <v>173867178.02667272</v>
      </c>
      <c r="I52"/>
      <c r="J52" s="2">
        <v>44957</v>
      </c>
      <c r="K52" s="40">
        <v>216075633276.35715</v>
      </c>
      <c r="L52" s="40"/>
      <c r="M52" s="34">
        <v>44743</v>
      </c>
      <c r="N52" s="14">
        <v>299130722.44478434</v>
      </c>
      <c r="P52" s="34"/>
      <c r="Q52" s="14"/>
      <c r="S52" s="34">
        <v>44743</v>
      </c>
      <c r="T52" s="14">
        <v>549461756.41573071</v>
      </c>
      <c r="V52" s="34"/>
      <c r="W52" s="14"/>
      <c r="Y52" s="34"/>
      <c r="Z52" s="14"/>
      <c r="AB52" s="34"/>
      <c r="AC52" s="14"/>
      <c r="AE52" s="34"/>
      <c r="AF52" s="14"/>
      <c r="AH52" s="34"/>
      <c r="AI52" s="14"/>
      <c r="AK52" s="34"/>
      <c r="AL52" s="14"/>
      <c r="AN52" s="34"/>
      <c r="AO52" s="14"/>
      <c r="AQ52" s="34"/>
      <c r="AR52" s="14"/>
      <c r="AT52" s="34"/>
      <c r="AU52" s="14"/>
      <c r="AW52" s="34"/>
      <c r="AX52" s="14"/>
      <c r="AZ52" s="34"/>
      <c r="BA52" s="14"/>
      <c r="BC52" s="34"/>
      <c r="BD52" s="14"/>
      <c r="BF52" s="34"/>
      <c r="BG52" s="14"/>
      <c r="BI52" s="34"/>
      <c r="BJ52" s="14"/>
      <c r="CA52" s="34">
        <v>46023</v>
      </c>
      <c r="CB52" s="14">
        <v>929030</v>
      </c>
      <c r="CD52" s="34"/>
      <c r="CE52" s="14"/>
      <c r="CG52" s="34"/>
      <c r="CH52" s="14"/>
      <c r="CJ52" s="34"/>
      <c r="CK52" s="14"/>
    </row>
    <row r="53" spans="1:89" x14ac:dyDescent="0.25">
      <c r="A53" s="2">
        <v>47330</v>
      </c>
      <c r="B53">
        <v>282987618</v>
      </c>
      <c r="C53"/>
      <c r="D53"/>
      <c r="E53"/>
      <c r="F53"/>
      <c r="G53" s="2">
        <v>44985</v>
      </c>
      <c r="H53" s="40">
        <v>173867178.02667272</v>
      </c>
      <c r="I53"/>
      <c r="J53" s="2">
        <v>44985</v>
      </c>
      <c r="K53" s="40">
        <v>216075633276.35715</v>
      </c>
      <c r="L53" s="40"/>
      <c r="M53" s="34">
        <v>44774</v>
      </c>
      <c r="N53" s="14">
        <v>300304081.28091913</v>
      </c>
      <c r="P53" s="34"/>
      <c r="Q53" s="14"/>
      <c r="S53" s="34">
        <v>44774</v>
      </c>
      <c r="T53" s="14">
        <v>549654510.63543594</v>
      </c>
      <c r="V53" s="34"/>
      <c r="W53" s="14"/>
      <c r="Y53" s="34"/>
      <c r="Z53" s="14"/>
      <c r="AB53" s="34"/>
      <c r="AC53" s="14"/>
      <c r="AE53" s="34"/>
      <c r="AF53" s="14"/>
      <c r="AH53" s="34"/>
      <c r="AI53" s="14"/>
      <c r="AK53" s="34"/>
      <c r="AL53" s="14"/>
      <c r="AN53" s="34"/>
      <c r="AO53" s="14"/>
      <c r="AQ53" s="34"/>
      <c r="AR53" s="14"/>
      <c r="AT53" s="34"/>
      <c r="AU53" s="14"/>
      <c r="AW53" s="34"/>
      <c r="AX53" s="14"/>
      <c r="AZ53" s="34"/>
      <c r="BA53" s="14"/>
      <c r="BC53" s="34"/>
      <c r="BD53" s="14"/>
      <c r="BF53" s="34"/>
      <c r="BG53" s="14"/>
      <c r="BI53" s="34"/>
      <c r="BJ53" s="14"/>
      <c r="CA53" s="34">
        <v>46113</v>
      </c>
      <c r="CB53" s="14">
        <v>872965</v>
      </c>
      <c r="CD53" s="34"/>
      <c r="CE53" s="14"/>
      <c r="CG53" s="34"/>
      <c r="CH53" s="14"/>
      <c r="CJ53" s="34"/>
      <c r="CK53" s="14"/>
    </row>
    <row r="54" spans="1:89" x14ac:dyDescent="0.25">
      <c r="A54" s="2">
        <v>47422</v>
      </c>
      <c r="B54">
        <v>275692179</v>
      </c>
      <c r="C54"/>
      <c r="D54"/>
      <c r="E54"/>
      <c r="F54"/>
      <c r="G54" s="2">
        <v>45016</v>
      </c>
      <c r="H54" s="40">
        <v>173867178.02667272</v>
      </c>
      <c r="I54"/>
      <c r="J54" s="2">
        <v>45016</v>
      </c>
      <c r="K54" s="40">
        <v>216075633276.35715</v>
      </c>
      <c r="L54" s="40"/>
      <c r="M54" s="34">
        <v>44805</v>
      </c>
      <c r="N54" s="14">
        <v>306455729.25593275</v>
      </c>
      <c r="P54" s="34"/>
      <c r="Q54" s="14"/>
      <c r="S54" s="34">
        <v>44805</v>
      </c>
      <c r="T54" s="14">
        <v>573554570.16432345</v>
      </c>
      <c r="V54" s="34"/>
      <c r="W54" s="14"/>
      <c r="Y54" s="34"/>
      <c r="Z54" s="14"/>
      <c r="AB54" s="34"/>
      <c r="AC54" s="14"/>
      <c r="AE54" s="34"/>
      <c r="AF54" s="14"/>
      <c r="AH54" s="34"/>
      <c r="AI54" s="14"/>
      <c r="AK54" s="34"/>
      <c r="AL54" s="14"/>
      <c r="AN54" s="34"/>
      <c r="AO54" s="14"/>
      <c r="AQ54" s="34"/>
      <c r="AR54" s="14"/>
      <c r="AT54" s="34"/>
      <c r="AU54" s="14"/>
      <c r="AW54" s="34"/>
      <c r="AX54" s="14"/>
      <c r="AZ54" s="34"/>
      <c r="BA54" s="14"/>
      <c r="BC54" s="34"/>
      <c r="BD54" s="14"/>
      <c r="BF54" s="34"/>
      <c r="BG54" s="14"/>
      <c r="BI54" s="34"/>
      <c r="BJ54" s="14"/>
      <c r="CA54" s="34">
        <v>46204</v>
      </c>
      <c r="CB54" s="14">
        <v>816441</v>
      </c>
      <c r="CD54" s="34"/>
      <c r="CE54" s="14"/>
      <c r="CG54" s="34"/>
      <c r="CH54" s="14"/>
      <c r="CJ54" s="34"/>
      <c r="CK54" s="14"/>
    </row>
    <row r="55" spans="1:89" x14ac:dyDescent="0.25">
      <c r="A55" s="2">
        <v>47514</v>
      </c>
      <c r="B55">
        <v>269809207</v>
      </c>
      <c r="C55"/>
      <c r="D55"/>
      <c r="E55"/>
      <c r="F55"/>
      <c r="G55" s="2">
        <v>45046</v>
      </c>
      <c r="H55" s="40">
        <v>173867178.02667272</v>
      </c>
      <c r="I55"/>
      <c r="J55" s="2">
        <v>45046</v>
      </c>
      <c r="K55" s="40">
        <v>216075633276.35715</v>
      </c>
      <c r="L55" s="40"/>
      <c r="M55" s="34">
        <v>44835</v>
      </c>
      <c r="N55" s="14">
        <v>307635658.39728439</v>
      </c>
      <c r="P55" s="34"/>
      <c r="Q55" s="14"/>
      <c r="S55" s="34">
        <v>44835</v>
      </c>
      <c r="T55" s="14">
        <v>573747169.04578269</v>
      </c>
      <c r="V55" s="34"/>
      <c r="W55" s="14"/>
      <c r="Y55" s="34"/>
      <c r="Z55" s="14"/>
      <c r="AB55" s="34"/>
      <c r="AC55" s="14"/>
      <c r="AE55" s="34"/>
      <c r="AF55" s="14"/>
      <c r="AH55" s="34"/>
      <c r="AI55" s="14"/>
      <c r="AK55" s="34"/>
      <c r="AL55" s="14"/>
      <c r="AN55" s="34"/>
      <c r="AO55" s="14"/>
      <c r="AQ55" s="34"/>
      <c r="AR55" s="14"/>
      <c r="AT55" s="34"/>
      <c r="AU55" s="14"/>
      <c r="AW55" s="34"/>
      <c r="AX55" s="14"/>
      <c r="AZ55" s="34"/>
      <c r="BA55" s="14"/>
      <c r="BC55" s="34"/>
      <c r="BD55" s="14"/>
      <c r="BF55" s="34"/>
      <c r="BG55" s="14"/>
      <c r="BI55" s="34"/>
      <c r="BJ55" s="14"/>
      <c r="CA55" s="34">
        <v>46296</v>
      </c>
      <c r="CB55" s="14">
        <v>759454</v>
      </c>
      <c r="CD55" s="34"/>
      <c r="CE55" s="14"/>
      <c r="CG55" s="34"/>
      <c r="CH55" s="14"/>
      <c r="CJ55" s="34"/>
      <c r="CK55" s="14"/>
    </row>
    <row r="56" spans="1:89" x14ac:dyDescent="0.25">
      <c r="A56" s="2">
        <v>47603</v>
      </c>
      <c r="B56">
        <v>261747541</v>
      </c>
      <c r="C56"/>
      <c r="D56"/>
      <c r="E56"/>
      <c r="F56"/>
      <c r="G56" s="2">
        <v>45077</v>
      </c>
      <c r="H56" s="40">
        <v>173867178.02667272</v>
      </c>
      <c r="I56"/>
      <c r="J56" s="2">
        <v>45077</v>
      </c>
      <c r="K56" s="40">
        <v>216075633276.35715</v>
      </c>
      <c r="L56" s="40"/>
      <c r="M56" s="34">
        <v>44866</v>
      </c>
      <c r="N56" s="14">
        <v>308817088.98975658</v>
      </c>
      <c r="P56" s="34"/>
      <c r="Q56" s="14"/>
      <c r="S56" s="34">
        <v>44866</v>
      </c>
      <c r="T56" s="14">
        <v>573940013.00789654</v>
      </c>
      <c r="V56" s="34"/>
      <c r="W56" s="14"/>
      <c r="Y56" s="34"/>
      <c r="Z56" s="14"/>
      <c r="AB56" s="34"/>
      <c r="AC56" s="14"/>
      <c r="AE56" s="34"/>
      <c r="AF56" s="14"/>
      <c r="AH56" s="34"/>
      <c r="AI56" s="14"/>
      <c r="AK56" s="34"/>
      <c r="AL56" s="14"/>
      <c r="AN56" s="34"/>
      <c r="AO56" s="14"/>
      <c r="AQ56" s="34"/>
      <c r="AR56" s="14"/>
      <c r="AT56" s="34"/>
      <c r="AU56" s="14"/>
      <c r="AW56" s="34"/>
      <c r="AX56" s="14"/>
      <c r="AZ56" s="34"/>
      <c r="BA56" s="14"/>
      <c r="BC56" s="34"/>
      <c r="BD56" s="14"/>
      <c r="BF56" s="34"/>
      <c r="BG56" s="14"/>
      <c r="BI56" s="34"/>
      <c r="BJ56" s="14"/>
      <c r="CA56" s="34">
        <v>46388</v>
      </c>
      <c r="CB56" s="14">
        <v>702002</v>
      </c>
      <c r="CD56" s="34"/>
      <c r="CE56" s="14"/>
      <c r="CG56" s="34"/>
      <c r="CH56" s="14"/>
      <c r="CJ56" s="34"/>
      <c r="CK56" s="14"/>
    </row>
    <row r="57" spans="1:89" x14ac:dyDescent="0.25">
      <c r="A57" s="2">
        <v>47695</v>
      </c>
      <c r="B57">
        <v>248353494</v>
      </c>
      <c r="C57"/>
      <c r="D57"/>
      <c r="E57"/>
      <c r="F57"/>
      <c r="G57" s="2">
        <v>45107</v>
      </c>
      <c r="H57" s="40">
        <v>173867178.02667272</v>
      </c>
      <c r="I57"/>
      <c r="J57" s="2">
        <v>45107</v>
      </c>
      <c r="K57" s="40">
        <v>216075633276.35715</v>
      </c>
      <c r="L57" s="40"/>
      <c r="M57" s="34">
        <v>44896</v>
      </c>
      <c r="N57" s="14">
        <v>399609932.46801496</v>
      </c>
      <c r="P57" s="34"/>
      <c r="Q57" s="14"/>
      <c r="S57" s="34">
        <v>44896</v>
      </c>
      <c r="T57" s="14">
        <v>648966905.00253689</v>
      </c>
      <c r="V57" s="34"/>
      <c r="W57" s="14"/>
      <c r="Y57" s="34"/>
      <c r="Z57" s="14"/>
      <c r="AB57" s="34"/>
      <c r="AC57" s="14"/>
      <c r="AK57" s="34"/>
      <c r="AL57" s="14"/>
      <c r="AN57" s="34"/>
      <c r="AO57" s="14"/>
      <c r="AQ57" s="34"/>
      <c r="AR57" s="14"/>
      <c r="AT57" s="34"/>
      <c r="AU57" s="14"/>
      <c r="AW57" s="34"/>
      <c r="AX57" s="14"/>
      <c r="AZ57" s="34"/>
      <c r="BA57" s="14"/>
      <c r="BC57" s="34"/>
      <c r="BD57" s="14"/>
      <c r="BF57" s="34"/>
      <c r="BG57" s="14"/>
      <c r="BI57" s="34"/>
      <c r="BJ57" s="14"/>
      <c r="CA57" s="34">
        <v>46478</v>
      </c>
      <c r="CB57" s="14">
        <v>644080</v>
      </c>
      <c r="CD57" s="34"/>
      <c r="CE57" s="14"/>
      <c r="CG57" s="34"/>
      <c r="CH57" s="14"/>
      <c r="CJ57" s="34"/>
      <c r="CK57" s="14"/>
    </row>
    <row r="58" spans="1:89" x14ac:dyDescent="0.25">
      <c r="A58" s="2">
        <v>47787</v>
      </c>
      <c r="B58">
        <v>238155996</v>
      </c>
      <c r="C58"/>
      <c r="D58"/>
      <c r="E58"/>
      <c r="F58"/>
      <c r="G58" s="2">
        <v>45138</v>
      </c>
      <c r="H58" s="40">
        <v>173867178.02667272</v>
      </c>
      <c r="I58"/>
      <c r="J58" s="2">
        <v>45138</v>
      </c>
      <c r="K58" s="40">
        <v>216075633276.35715</v>
      </c>
      <c r="L58" s="40"/>
      <c r="M58" s="34">
        <v>44927</v>
      </c>
      <c r="N58" s="14">
        <v>0</v>
      </c>
      <c r="P58" s="34"/>
      <c r="Q58" s="14"/>
      <c r="S58" s="34">
        <v>44927</v>
      </c>
      <c r="T58" s="14">
        <v>0</v>
      </c>
      <c r="V58" s="34"/>
      <c r="W58" s="14"/>
      <c r="Y58" s="34"/>
      <c r="Z58" s="14"/>
      <c r="AB58" s="34"/>
      <c r="AC58" s="14"/>
      <c r="AK58" s="34"/>
      <c r="AL58" s="14"/>
      <c r="AN58" s="34"/>
      <c r="AO58" s="14"/>
      <c r="AQ58" s="34"/>
      <c r="AR58" s="14"/>
      <c r="AT58" s="34"/>
      <c r="AU58" s="14"/>
      <c r="AW58" s="34"/>
      <c r="AX58" s="14"/>
      <c r="AZ58" s="34"/>
      <c r="BA58" s="14"/>
      <c r="BC58" s="34"/>
      <c r="BD58" s="14"/>
      <c r="BF58" s="34"/>
      <c r="BG58" s="14"/>
      <c r="BI58" s="34"/>
      <c r="BJ58" s="14"/>
      <c r="CA58" s="34">
        <v>46569</v>
      </c>
      <c r="CB58" s="14">
        <v>585684</v>
      </c>
      <c r="CD58" s="34"/>
      <c r="CE58" s="14"/>
      <c r="CG58" s="34"/>
      <c r="CH58" s="14"/>
      <c r="CJ58" s="34"/>
      <c r="CK58" s="14"/>
    </row>
    <row r="59" spans="1:89" x14ac:dyDescent="0.25">
      <c r="A59" s="2">
        <v>47879</v>
      </c>
      <c r="B59">
        <v>229314649</v>
      </c>
      <c r="C59"/>
      <c r="D59"/>
      <c r="E59"/>
      <c r="F59"/>
      <c r="G59" s="2">
        <v>45169</v>
      </c>
      <c r="H59" s="40">
        <v>173867178.02667272</v>
      </c>
      <c r="I59"/>
      <c r="J59" s="2">
        <v>45169</v>
      </c>
      <c r="K59" s="40">
        <v>216075633276.35715</v>
      </c>
      <c r="L59" s="40"/>
      <c r="M59" s="34"/>
      <c r="N59" s="14"/>
      <c r="P59" s="34"/>
      <c r="Q59" s="14"/>
      <c r="S59" s="34"/>
      <c r="T59" s="14"/>
      <c r="V59" s="34"/>
      <c r="W59" s="14"/>
      <c r="Y59" s="34"/>
      <c r="Z59" s="14"/>
      <c r="AB59" s="34"/>
      <c r="AC59" s="14"/>
      <c r="AK59" s="34"/>
      <c r="AL59" s="14"/>
      <c r="AN59" s="34"/>
      <c r="AO59" s="14"/>
      <c r="AQ59" s="34"/>
      <c r="AR59" s="14"/>
      <c r="AT59" s="34"/>
      <c r="AU59" s="14"/>
      <c r="AW59" s="34"/>
      <c r="AX59" s="14"/>
      <c r="AZ59" s="34"/>
      <c r="BA59" s="14"/>
      <c r="BC59" s="34"/>
      <c r="BD59" s="14"/>
      <c r="BF59" s="34"/>
      <c r="BG59" s="14"/>
      <c r="BI59" s="34"/>
      <c r="BJ59" s="14"/>
      <c r="CA59" s="34">
        <v>46661</v>
      </c>
      <c r="CB59" s="14">
        <v>526810</v>
      </c>
      <c r="CD59" s="34"/>
      <c r="CE59" s="14"/>
      <c r="CG59" s="34"/>
      <c r="CH59" s="14"/>
      <c r="CJ59" s="34"/>
      <c r="CK59" s="14"/>
    </row>
    <row r="60" spans="1:89" x14ac:dyDescent="0.25">
      <c r="A60" s="31">
        <v>47968</v>
      </c>
      <c r="B60" s="20">
        <v>0</v>
      </c>
      <c r="D60"/>
      <c r="E60"/>
      <c r="F60"/>
      <c r="G60" s="2">
        <v>45199</v>
      </c>
      <c r="H60" s="40">
        <v>167393937.2168014</v>
      </c>
      <c r="I60"/>
      <c r="J60" s="2">
        <v>45199</v>
      </c>
      <c r="K60" s="40">
        <v>215918078412.52789</v>
      </c>
      <c r="L60" s="40"/>
      <c r="M60" s="34"/>
      <c r="N60" s="14"/>
      <c r="P60" s="34"/>
      <c r="Q60" s="14"/>
      <c r="S60" s="34"/>
      <c r="T60" s="14"/>
      <c r="V60" s="34"/>
      <c r="W60" s="14"/>
      <c r="Y60" s="34"/>
      <c r="Z60" s="14"/>
      <c r="AB60" s="34"/>
      <c r="AC60" s="14"/>
      <c r="AK60" s="34"/>
      <c r="AL60" s="14"/>
      <c r="AN60" s="34"/>
      <c r="AO60" s="14"/>
      <c r="AQ60" s="34"/>
      <c r="AR60" s="14"/>
      <c r="AT60" s="34"/>
      <c r="AU60" s="14"/>
      <c r="AW60" s="34"/>
      <c r="AX60" s="14"/>
      <c r="AZ60" s="34"/>
      <c r="BA60" s="14"/>
      <c r="BC60" s="34"/>
      <c r="BD60" s="14"/>
      <c r="BF60" s="34"/>
      <c r="BG60" s="14"/>
      <c r="BI60" s="34"/>
      <c r="BJ60" s="14"/>
      <c r="CA60" s="34">
        <v>46753</v>
      </c>
      <c r="CB60" s="14">
        <v>467455</v>
      </c>
      <c r="CD60" s="34"/>
      <c r="CE60" s="14"/>
      <c r="CG60" s="34"/>
      <c r="CH60" s="14"/>
      <c r="CJ60" s="34"/>
      <c r="CK60" s="14"/>
    </row>
    <row r="61" spans="1:89" x14ac:dyDescent="0.25">
      <c r="D61"/>
      <c r="E61"/>
      <c r="F61"/>
      <c r="G61" s="2">
        <v>45230</v>
      </c>
      <c r="H61" s="40">
        <v>167393937.2168014</v>
      </c>
      <c r="I61"/>
      <c r="J61" s="2">
        <v>45230</v>
      </c>
      <c r="K61" s="40">
        <v>215918078412.52789</v>
      </c>
      <c r="L61" s="40"/>
      <c r="M61" s="34"/>
      <c r="N61" s="14"/>
      <c r="P61" s="34"/>
      <c r="Q61" s="14"/>
      <c r="S61" s="34"/>
      <c r="T61" s="14"/>
      <c r="V61" s="34"/>
      <c r="W61" s="14"/>
      <c r="Y61" s="34"/>
      <c r="Z61" s="14"/>
      <c r="AB61" s="34"/>
      <c r="AC61" s="14"/>
      <c r="AK61" s="34"/>
      <c r="AL61" s="14"/>
      <c r="AN61" s="34"/>
      <c r="AO61" s="14"/>
      <c r="AQ61" s="34"/>
      <c r="AR61" s="14"/>
      <c r="AT61" s="34"/>
      <c r="AU61" s="14"/>
      <c r="AW61" s="34"/>
      <c r="AX61" s="14"/>
      <c r="AZ61" s="34"/>
      <c r="BA61" s="14"/>
      <c r="BC61" s="34"/>
      <c r="BD61" s="14"/>
      <c r="BF61" s="34"/>
      <c r="BG61" s="14"/>
      <c r="BI61" s="34"/>
      <c r="BJ61" s="14"/>
      <c r="CA61" s="34">
        <v>46844</v>
      </c>
      <c r="CB61" s="14">
        <v>407615</v>
      </c>
      <c r="CD61" s="34"/>
      <c r="CE61" s="14"/>
      <c r="CG61" s="34"/>
      <c r="CH61" s="14"/>
      <c r="CJ61" s="34"/>
      <c r="CK61" s="14"/>
    </row>
    <row r="62" spans="1:89" x14ac:dyDescent="0.25">
      <c r="D62"/>
      <c r="E62"/>
      <c r="F62"/>
      <c r="G62" s="2">
        <v>45260</v>
      </c>
      <c r="H62" s="40">
        <v>167393937.2168014</v>
      </c>
      <c r="I62"/>
      <c r="J62" s="2">
        <v>45260</v>
      </c>
      <c r="K62" s="40">
        <v>215918078412.52789</v>
      </c>
      <c r="L62" s="40"/>
      <c r="M62" s="34"/>
      <c r="N62" s="14"/>
      <c r="P62" s="34"/>
      <c r="Q62" s="14"/>
      <c r="S62" s="34"/>
      <c r="T62" s="14"/>
      <c r="V62" s="34"/>
      <c r="W62" s="14"/>
      <c r="Y62" s="34"/>
      <c r="Z62" s="14"/>
      <c r="AB62" s="34"/>
      <c r="AC62" s="14"/>
      <c r="AK62" s="34"/>
      <c r="AL62" s="14"/>
      <c r="AN62" s="34"/>
      <c r="AO62" s="14"/>
      <c r="AQ62" s="34"/>
      <c r="AR62" s="14"/>
      <c r="AT62" s="34"/>
      <c r="AU62" s="14"/>
      <c r="AW62" s="34"/>
      <c r="AX62" s="14"/>
      <c r="AZ62" s="34"/>
      <c r="BA62" s="14"/>
      <c r="BC62" s="34"/>
      <c r="BD62" s="14"/>
      <c r="BF62" s="34"/>
      <c r="BG62" s="14"/>
      <c r="BI62" s="34"/>
      <c r="BJ62" s="14"/>
      <c r="CA62" s="34">
        <v>46935</v>
      </c>
      <c r="CB62" s="14">
        <v>347285</v>
      </c>
      <c r="CD62" s="34"/>
      <c r="CE62" s="14"/>
      <c r="CG62" s="34"/>
      <c r="CH62" s="14"/>
      <c r="CJ62" s="34"/>
      <c r="CK62" s="14"/>
    </row>
    <row r="63" spans="1:89" x14ac:dyDescent="0.25">
      <c r="D63" s="14"/>
      <c r="E63" s="14"/>
      <c r="F63" s="14"/>
      <c r="G63" s="2">
        <v>45291</v>
      </c>
      <c r="H63" s="40">
        <v>167393937.2168014</v>
      </c>
      <c r="I63" s="14"/>
      <c r="J63" s="2">
        <v>45291</v>
      </c>
      <c r="K63" s="40">
        <v>215918078412.52789</v>
      </c>
      <c r="L63" s="40"/>
      <c r="M63" s="34"/>
      <c r="N63" s="14"/>
      <c r="P63" s="34"/>
      <c r="Q63" s="14"/>
      <c r="S63" s="34"/>
      <c r="T63" s="14"/>
      <c r="V63" s="34"/>
      <c r="W63" s="14"/>
      <c r="Y63" s="34"/>
      <c r="Z63" s="14"/>
      <c r="AB63" s="34"/>
      <c r="AC63" s="14"/>
      <c r="AK63" s="34"/>
      <c r="AL63" s="14"/>
      <c r="AN63" s="34"/>
      <c r="AO63" s="14"/>
      <c r="AQ63" s="34"/>
      <c r="AR63" s="14"/>
      <c r="AT63" s="34"/>
      <c r="AU63" s="14"/>
      <c r="AW63" s="34"/>
      <c r="AX63" s="14"/>
      <c r="AZ63" s="34"/>
      <c r="BA63" s="14"/>
      <c r="BC63" s="34"/>
      <c r="BD63" s="14"/>
      <c r="BF63" s="34"/>
      <c r="BG63" s="14"/>
      <c r="BI63" s="34"/>
      <c r="BJ63" s="14"/>
      <c r="CA63" s="34">
        <v>47027</v>
      </c>
      <c r="CB63" s="14">
        <v>286461</v>
      </c>
      <c r="CD63" s="34"/>
      <c r="CE63" s="14"/>
      <c r="CG63" s="34"/>
      <c r="CH63" s="14"/>
      <c r="CJ63" s="34"/>
      <c r="CK63" s="14"/>
    </row>
    <row r="64" spans="1:89" x14ac:dyDescent="0.25">
      <c r="D64" s="14"/>
      <c r="E64" s="14"/>
      <c r="F64" s="14"/>
      <c r="G64" s="2">
        <v>45322</v>
      </c>
      <c r="H64" s="40">
        <v>167393937.2168014</v>
      </c>
      <c r="I64" s="14"/>
      <c r="J64" s="2">
        <v>45322</v>
      </c>
      <c r="K64" s="40">
        <v>215918078412.52789</v>
      </c>
      <c r="L64" s="40"/>
      <c r="M64" s="34"/>
      <c r="N64" s="14"/>
      <c r="P64" s="34"/>
      <c r="Q64" s="14"/>
      <c r="S64" s="34"/>
      <c r="T64" s="14"/>
      <c r="V64" s="34"/>
      <c r="W64" s="14"/>
      <c r="Y64" s="34"/>
      <c r="Z64" s="14"/>
      <c r="AB64" s="34"/>
      <c r="AC64" s="14"/>
      <c r="CA64" s="34">
        <v>47119</v>
      </c>
      <c r="CB64" s="14">
        <v>225141</v>
      </c>
      <c r="CD64" s="34"/>
      <c r="CE64" s="14"/>
      <c r="CG64" s="34"/>
      <c r="CH64" s="14"/>
      <c r="CJ64" s="34"/>
      <c r="CK64" s="14"/>
    </row>
    <row r="65" spans="4:89" x14ac:dyDescent="0.25">
      <c r="D65" s="14"/>
      <c r="E65" s="14"/>
      <c r="F65" s="14"/>
      <c r="G65" s="2">
        <v>45351</v>
      </c>
      <c r="H65" s="40">
        <v>167393937.2168014</v>
      </c>
      <c r="I65" s="14"/>
      <c r="J65" s="2">
        <v>45351</v>
      </c>
      <c r="K65" s="40">
        <v>215918078412.52789</v>
      </c>
      <c r="L65" s="40"/>
      <c r="M65" s="34"/>
      <c r="N65" s="14"/>
      <c r="P65" s="34"/>
      <c r="Q65" s="14"/>
      <c r="S65" s="34"/>
      <c r="T65" s="14"/>
      <c r="V65" s="34"/>
      <c r="W65" s="14"/>
      <c r="Y65" s="34"/>
      <c r="Z65" s="14"/>
      <c r="AB65" s="34"/>
      <c r="AC65" s="14"/>
      <c r="CA65" s="34">
        <v>47209</v>
      </c>
      <c r="CB65" s="14">
        <v>163318</v>
      </c>
      <c r="CD65" s="34"/>
      <c r="CE65" s="14"/>
      <c r="CG65" s="34"/>
      <c r="CH65" s="14"/>
      <c r="CJ65" s="34"/>
      <c r="CK65" s="14"/>
    </row>
    <row r="66" spans="4:89" x14ac:dyDescent="0.25">
      <c r="D66" s="14"/>
      <c r="E66" s="14"/>
      <c r="F66" s="14"/>
      <c r="G66" s="2">
        <v>45382</v>
      </c>
      <c r="H66" s="40">
        <v>164701545.06190607</v>
      </c>
      <c r="I66" s="14"/>
      <c r="J66" s="2">
        <v>45382</v>
      </c>
      <c r="K66" s="40">
        <v>213164911394.04895</v>
      </c>
      <c r="L66" s="40"/>
      <c r="M66" s="34"/>
      <c r="N66" s="14"/>
      <c r="P66" s="34"/>
      <c r="Q66" s="14"/>
      <c r="S66" s="34"/>
      <c r="T66" s="14"/>
      <c r="V66" s="34"/>
      <c r="W66" s="14"/>
      <c r="Y66" s="34"/>
      <c r="Z66" s="14"/>
      <c r="AB66" s="34"/>
      <c r="AC66" s="14"/>
      <c r="CA66" s="34">
        <v>47300</v>
      </c>
      <c r="CB66" s="14">
        <v>100990</v>
      </c>
      <c r="CD66" s="34"/>
      <c r="CE66" s="14"/>
      <c r="CG66" s="34"/>
      <c r="CH66" s="14"/>
      <c r="CJ66" s="34"/>
      <c r="CK66" s="14"/>
    </row>
    <row r="67" spans="4:89" x14ac:dyDescent="0.25">
      <c r="D67" s="14"/>
      <c r="E67" s="14"/>
      <c r="F67" s="14"/>
      <c r="G67" s="2">
        <v>45412</v>
      </c>
      <c r="H67" s="40">
        <v>164701545.06190607</v>
      </c>
      <c r="I67" s="14"/>
      <c r="J67" s="2">
        <v>45412</v>
      </c>
      <c r="K67" s="40">
        <v>213164911394.04895</v>
      </c>
      <c r="L67" s="40"/>
      <c r="M67" s="34"/>
      <c r="N67" s="14"/>
      <c r="P67" s="34"/>
      <c r="Q67" s="14"/>
      <c r="S67" s="34"/>
      <c r="T67" s="14"/>
      <c r="V67" s="34"/>
      <c r="W67" s="14"/>
      <c r="Y67" s="34"/>
      <c r="Z67" s="14"/>
      <c r="AB67" s="34"/>
      <c r="AC67" s="14"/>
      <c r="CA67" s="34">
        <v>47392</v>
      </c>
      <c r="CB67" s="14">
        <v>38152</v>
      </c>
      <c r="CD67" s="34"/>
      <c r="CE67" s="14"/>
      <c r="CG67" s="34"/>
      <c r="CH67" s="14"/>
      <c r="CJ67" s="34"/>
      <c r="CK67" s="14"/>
    </row>
    <row r="68" spans="4:89" x14ac:dyDescent="0.25">
      <c r="D68" s="14"/>
      <c r="E68" s="14"/>
      <c r="F68" s="14"/>
      <c r="G68" s="2">
        <v>45443</v>
      </c>
      <c r="H68" s="40">
        <v>164701545.06190607</v>
      </c>
      <c r="I68" s="14"/>
      <c r="J68" s="2">
        <v>45443</v>
      </c>
      <c r="K68" s="40">
        <v>213164911394.04895</v>
      </c>
      <c r="L68" s="40"/>
      <c r="CA68" s="34">
        <v>47484</v>
      </c>
      <c r="CB68" s="20">
        <v>0</v>
      </c>
    </row>
    <row r="69" spans="4:89" x14ac:dyDescent="0.25">
      <c r="G69" s="2">
        <v>45473</v>
      </c>
      <c r="H69" s="40">
        <v>164701545.06190607</v>
      </c>
      <c r="J69" s="2">
        <v>45473</v>
      </c>
      <c r="K69" s="40">
        <v>213164911394.04895</v>
      </c>
      <c r="L69" s="40"/>
    </row>
    <row r="70" spans="4:89" x14ac:dyDescent="0.25">
      <c r="G70" s="2">
        <v>45504</v>
      </c>
      <c r="H70" s="40">
        <v>164701545.06190607</v>
      </c>
      <c r="J70" s="2">
        <v>45504</v>
      </c>
      <c r="K70" s="40">
        <v>213164911394.04895</v>
      </c>
      <c r="L70" s="40"/>
    </row>
    <row r="71" spans="4:89" x14ac:dyDescent="0.25">
      <c r="G71" s="2">
        <v>45535</v>
      </c>
      <c r="H71" s="40">
        <v>164701545.06190607</v>
      </c>
      <c r="J71" s="2">
        <v>45535</v>
      </c>
      <c r="K71" s="40">
        <v>213164911394.04895</v>
      </c>
      <c r="L71" s="40"/>
    </row>
    <row r="72" spans="4:89" x14ac:dyDescent="0.25">
      <c r="G72" s="2">
        <v>45565</v>
      </c>
      <c r="H72" s="40">
        <v>159323097.35265806</v>
      </c>
      <c r="J72" s="2">
        <v>45565</v>
      </c>
      <c r="K72" s="40">
        <v>211702932393.26041</v>
      </c>
      <c r="L72" s="40"/>
    </row>
    <row r="73" spans="4:89" x14ac:dyDescent="0.25">
      <c r="G73" s="2">
        <v>45596</v>
      </c>
      <c r="H73" s="40">
        <v>159323097.35265806</v>
      </c>
      <c r="J73" s="2">
        <v>45596</v>
      </c>
      <c r="K73" s="40">
        <v>211702932393.26041</v>
      </c>
      <c r="L73" s="40"/>
    </row>
    <row r="74" spans="4:89" x14ac:dyDescent="0.25">
      <c r="G74" s="2">
        <v>45626</v>
      </c>
      <c r="H74" s="40">
        <v>159323097.35265806</v>
      </c>
      <c r="J74" s="2">
        <v>45626</v>
      </c>
      <c r="K74" s="40">
        <v>211702932393.26041</v>
      </c>
      <c r="L74" s="40"/>
    </row>
    <row r="75" spans="4:89" x14ac:dyDescent="0.25">
      <c r="G75" s="2">
        <v>45657</v>
      </c>
      <c r="H75" s="40">
        <v>159323097.35265806</v>
      </c>
      <c r="J75" s="2">
        <v>45657</v>
      </c>
      <c r="K75" s="40">
        <v>211702932393.26041</v>
      </c>
      <c r="L75" s="40"/>
    </row>
    <row r="76" spans="4:89" x14ac:dyDescent="0.25">
      <c r="G76" s="2">
        <v>45688</v>
      </c>
      <c r="H76" s="40">
        <v>159323097.35265806</v>
      </c>
      <c r="J76" s="2">
        <v>45688</v>
      </c>
      <c r="K76" s="40">
        <v>211702932393.26041</v>
      </c>
      <c r="L76" s="40"/>
    </row>
    <row r="77" spans="4:89" x14ac:dyDescent="0.25">
      <c r="G77" s="2">
        <v>45716</v>
      </c>
      <c r="H77" s="40">
        <v>159323097.35265806</v>
      </c>
      <c r="J77" s="2">
        <v>45716</v>
      </c>
      <c r="K77" s="40">
        <v>211702932393.26041</v>
      </c>
      <c r="L77" s="40"/>
    </row>
    <row r="78" spans="4:89" x14ac:dyDescent="0.25">
      <c r="G78" s="2">
        <v>45747</v>
      </c>
      <c r="H78" s="40">
        <v>154841029.60420728</v>
      </c>
      <c r="J78" s="2">
        <v>45747</v>
      </c>
      <c r="K78" s="40">
        <v>211299971778.99475</v>
      </c>
      <c r="L78" s="40"/>
    </row>
    <row r="79" spans="4:89" x14ac:dyDescent="0.25">
      <c r="G79" s="2">
        <v>45777</v>
      </c>
      <c r="H79" s="40">
        <v>154841029.60420728</v>
      </c>
      <c r="J79" s="2">
        <v>45777</v>
      </c>
      <c r="K79" s="40">
        <v>211299971778.99475</v>
      </c>
      <c r="L79" s="40"/>
    </row>
    <row r="80" spans="4:89" x14ac:dyDescent="0.25">
      <c r="G80" s="2">
        <v>45808</v>
      </c>
      <c r="H80" s="40">
        <v>154841029.60420728</v>
      </c>
      <c r="J80" s="2">
        <v>45808</v>
      </c>
      <c r="K80" s="40">
        <v>211299971778.99475</v>
      </c>
      <c r="L80" s="40"/>
    </row>
    <row r="81" spans="7:12" x14ac:dyDescent="0.25">
      <c r="G81" s="2">
        <v>45838</v>
      </c>
      <c r="H81" s="40">
        <v>154841029.60420728</v>
      </c>
      <c r="J81" s="2">
        <v>45838</v>
      </c>
      <c r="K81" s="40">
        <v>211299971778.99475</v>
      </c>
      <c r="L81" s="40"/>
    </row>
    <row r="82" spans="7:12" x14ac:dyDescent="0.25">
      <c r="G82" s="2">
        <v>45869</v>
      </c>
      <c r="H82" s="40">
        <v>154841029.60420728</v>
      </c>
      <c r="J82" s="2">
        <v>45869</v>
      </c>
      <c r="K82" s="40">
        <v>211299971778.99475</v>
      </c>
      <c r="L82" s="40"/>
    </row>
    <row r="83" spans="7:12" x14ac:dyDescent="0.25">
      <c r="G83" s="2">
        <v>45900</v>
      </c>
      <c r="H83" s="40">
        <v>154841029.60420728</v>
      </c>
      <c r="J83" s="2">
        <v>45900</v>
      </c>
      <c r="K83" s="40">
        <v>211299971778.99475</v>
      </c>
      <c r="L83" s="40"/>
    </row>
    <row r="84" spans="7:12" x14ac:dyDescent="0.25">
      <c r="G84" s="2">
        <v>45930</v>
      </c>
      <c r="H84" s="40">
        <v>146219782.20259881</v>
      </c>
      <c r="J84" s="2">
        <v>45930</v>
      </c>
      <c r="K84" s="40">
        <v>198457141675.21976</v>
      </c>
      <c r="L84" s="40"/>
    </row>
    <row r="85" spans="7:12" x14ac:dyDescent="0.25">
      <c r="G85" s="2">
        <v>45961</v>
      </c>
      <c r="H85" s="40">
        <v>146219782.20259881</v>
      </c>
      <c r="J85" s="2">
        <v>45961</v>
      </c>
      <c r="K85" s="40">
        <v>198457141675.21976</v>
      </c>
      <c r="L85" s="40"/>
    </row>
    <row r="86" spans="7:12" x14ac:dyDescent="0.25">
      <c r="G86" s="2">
        <v>45991</v>
      </c>
      <c r="H86" s="40">
        <v>146219782.20259881</v>
      </c>
      <c r="J86" s="2">
        <v>45991</v>
      </c>
      <c r="K86" s="40">
        <v>198457141675.21976</v>
      </c>
      <c r="L86" s="40"/>
    </row>
    <row r="87" spans="7:12" x14ac:dyDescent="0.25">
      <c r="G87" s="2">
        <v>46022</v>
      </c>
      <c r="H87" s="40">
        <v>146219782.20259881</v>
      </c>
      <c r="J87" s="2">
        <v>46022</v>
      </c>
      <c r="K87" s="40">
        <v>198457141675.21976</v>
      </c>
      <c r="L87" s="40"/>
    </row>
    <row r="88" spans="7:12" x14ac:dyDescent="0.25">
      <c r="G88" s="2">
        <v>46053</v>
      </c>
      <c r="H88" s="40">
        <v>146219782.20259881</v>
      </c>
      <c r="J88" s="2">
        <v>46053</v>
      </c>
      <c r="K88" s="40">
        <v>198457141675.21976</v>
      </c>
      <c r="L88" s="40"/>
    </row>
    <row r="89" spans="7:12" x14ac:dyDescent="0.25">
      <c r="G89" s="2">
        <v>46081</v>
      </c>
      <c r="H89" s="40">
        <v>146219782.20259881</v>
      </c>
      <c r="J89" s="2">
        <v>46081</v>
      </c>
      <c r="K89" s="40">
        <v>198457141675.21976</v>
      </c>
      <c r="L89" s="40"/>
    </row>
    <row r="90" spans="7:12" x14ac:dyDescent="0.25">
      <c r="G90" s="2">
        <v>46112</v>
      </c>
      <c r="H90" s="40">
        <v>144903839.32385752</v>
      </c>
      <c r="J90" s="2">
        <v>46112</v>
      </c>
      <c r="K90" s="40">
        <v>197295971911.90268</v>
      </c>
      <c r="L90" s="40"/>
    </row>
    <row r="91" spans="7:12" x14ac:dyDescent="0.25">
      <c r="G91" s="2">
        <v>46142</v>
      </c>
      <c r="H91" s="40">
        <v>144903839.32385752</v>
      </c>
      <c r="J91" s="2">
        <v>46142</v>
      </c>
      <c r="K91" s="40">
        <v>197295971911.90268</v>
      </c>
      <c r="L91" s="40"/>
    </row>
    <row r="92" spans="7:12" x14ac:dyDescent="0.25">
      <c r="G92" s="2">
        <v>46173</v>
      </c>
      <c r="H92" s="40">
        <v>144903839.32385752</v>
      </c>
      <c r="J92" s="2">
        <v>46173</v>
      </c>
      <c r="K92" s="40">
        <v>197295971911.90268</v>
      </c>
      <c r="L92" s="40"/>
    </row>
    <row r="93" spans="7:12" x14ac:dyDescent="0.25">
      <c r="G93" s="2">
        <v>46203</v>
      </c>
      <c r="H93" s="40">
        <v>144903839.32385752</v>
      </c>
      <c r="J93" s="2">
        <v>46203</v>
      </c>
      <c r="K93" s="40">
        <v>197295971911.90268</v>
      </c>
      <c r="L93" s="40"/>
    </row>
    <row r="94" spans="7:12" x14ac:dyDescent="0.25">
      <c r="G94" s="2">
        <v>46234</v>
      </c>
      <c r="H94" s="40">
        <v>144903839.32385752</v>
      </c>
      <c r="J94" s="2">
        <v>46234</v>
      </c>
      <c r="K94" s="40">
        <v>197295971911.90268</v>
      </c>
      <c r="L94" s="40"/>
    </row>
    <row r="95" spans="7:12" x14ac:dyDescent="0.25">
      <c r="G95" s="2">
        <v>46265</v>
      </c>
      <c r="H95" s="40">
        <v>144903839.32385752</v>
      </c>
      <c r="J95" s="2">
        <v>46265</v>
      </c>
      <c r="K95" s="40">
        <v>197295971911.90268</v>
      </c>
      <c r="L95" s="40"/>
    </row>
    <row r="96" spans="7:12" x14ac:dyDescent="0.25">
      <c r="G96" s="2">
        <v>46295</v>
      </c>
      <c r="H96" s="40">
        <v>135494356.55691931</v>
      </c>
      <c r="J96" s="2">
        <v>46295</v>
      </c>
      <c r="K96" s="40">
        <v>186566236768.30536</v>
      </c>
      <c r="L96" s="40"/>
    </row>
    <row r="97" spans="7:12" x14ac:dyDescent="0.25">
      <c r="G97" s="2">
        <v>46326</v>
      </c>
      <c r="H97" s="40">
        <v>135494356.55691931</v>
      </c>
      <c r="J97" s="2">
        <v>46326</v>
      </c>
      <c r="K97" s="40">
        <v>186566236768.30536</v>
      </c>
      <c r="L97" s="40"/>
    </row>
    <row r="98" spans="7:12" x14ac:dyDescent="0.25">
      <c r="G98" s="2">
        <v>46356</v>
      </c>
      <c r="H98" s="40">
        <v>135494356.55691931</v>
      </c>
      <c r="J98" s="2">
        <v>46356</v>
      </c>
      <c r="K98" s="40">
        <v>186566236768.30536</v>
      </c>
      <c r="L98" s="40"/>
    </row>
    <row r="99" spans="7:12" x14ac:dyDescent="0.25">
      <c r="G99" s="2">
        <v>46387</v>
      </c>
      <c r="H99" s="40">
        <v>135494356.55691931</v>
      </c>
      <c r="J99" s="2">
        <v>46387</v>
      </c>
      <c r="K99" s="40">
        <v>186566236768.30536</v>
      </c>
      <c r="L99" s="40"/>
    </row>
    <row r="100" spans="7:12" x14ac:dyDescent="0.25">
      <c r="G100" s="2">
        <v>46418</v>
      </c>
      <c r="H100" s="40">
        <v>135494356.55691931</v>
      </c>
      <c r="J100" s="2">
        <v>46418</v>
      </c>
      <c r="K100" s="40">
        <v>186566236768.30536</v>
      </c>
      <c r="L100" s="40"/>
    </row>
    <row r="101" spans="7:12" x14ac:dyDescent="0.25">
      <c r="G101" s="2">
        <v>46446</v>
      </c>
      <c r="H101" s="40">
        <v>135494356.55691931</v>
      </c>
      <c r="J101" s="2">
        <v>46446</v>
      </c>
      <c r="K101" s="40">
        <v>186566236768.30536</v>
      </c>
      <c r="L101" s="40"/>
    </row>
    <row r="102" spans="7:12" x14ac:dyDescent="0.25">
      <c r="G102" s="2">
        <v>46477</v>
      </c>
      <c r="H102" s="40">
        <v>132554458.69471331</v>
      </c>
      <c r="J102" s="2">
        <v>46477</v>
      </c>
      <c r="K102" s="40">
        <v>186562424720.94238</v>
      </c>
      <c r="L102" s="40"/>
    </row>
    <row r="103" spans="7:12" x14ac:dyDescent="0.25">
      <c r="G103" s="2">
        <v>46507</v>
      </c>
      <c r="H103" s="40">
        <v>132554458.69471331</v>
      </c>
      <c r="J103" s="2">
        <v>46507</v>
      </c>
      <c r="K103" s="40">
        <v>186562424720.94238</v>
      </c>
      <c r="L103" s="40"/>
    </row>
    <row r="104" spans="7:12" x14ac:dyDescent="0.25">
      <c r="G104" s="2">
        <v>46538</v>
      </c>
      <c r="H104" s="40">
        <v>132554458.69471331</v>
      </c>
      <c r="J104" s="2">
        <v>46538</v>
      </c>
      <c r="K104" s="40">
        <v>186562424720.94238</v>
      </c>
      <c r="L104" s="40"/>
    </row>
    <row r="105" spans="7:12" x14ac:dyDescent="0.25">
      <c r="G105" s="2">
        <v>46568</v>
      </c>
      <c r="H105" s="40">
        <v>132554458.69471331</v>
      </c>
      <c r="J105" s="2">
        <v>46568</v>
      </c>
      <c r="K105" s="40">
        <v>186562424720.94238</v>
      </c>
      <c r="L105" s="40"/>
    </row>
    <row r="106" spans="7:12" x14ac:dyDescent="0.25">
      <c r="G106" s="2">
        <v>46599</v>
      </c>
      <c r="H106" s="40">
        <v>132554458.69471331</v>
      </c>
      <c r="J106" s="2">
        <v>46599</v>
      </c>
      <c r="K106" s="40">
        <v>186562424720.94238</v>
      </c>
      <c r="L106" s="40"/>
    </row>
    <row r="107" spans="7:12" x14ac:dyDescent="0.25">
      <c r="G107" s="2">
        <v>46630</v>
      </c>
      <c r="H107" s="40">
        <v>132554458.69471331</v>
      </c>
      <c r="J107" s="2">
        <v>46630</v>
      </c>
      <c r="K107" s="40">
        <v>186562424720.94238</v>
      </c>
      <c r="L107" s="40"/>
    </row>
    <row r="108" spans="7:12" x14ac:dyDescent="0.25">
      <c r="G108" s="2">
        <v>46660</v>
      </c>
      <c r="H108" s="40">
        <v>125470118.39516546</v>
      </c>
      <c r="J108" s="2">
        <v>46660</v>
      </c>
      <c r="K108" s="40">
        <v>180030745313.86859</v>
      </c>
      <c r="L108" s="40"/>
    </row>
    <row r="109" spans="7:12" x14ac:dyDescent="0.25">
      <c r="G109" s="2">
        <v>46691</v>
      </c>
      <c r="H109" s="40">
        <v>125470118.39516546</v>
      </c>
      <c r="J109" s="2">
        <v>46691</v>
      </c>
      <c r="K109" s="40">
        <v>180030745313.86859</v>
      </c>
      <c r="L109" s="40"/>
    </row>
    <row r="110" spans="7:12" x14ac:dyDescent="0.25">
      <c r="G110" s="2">
        <v>46721</v>
      </c>
      <c r="H110" s="40">
        <v>125470118.39516546</v>
      </c>
      <c r="J110" s="2">
        <v>46721</v>
      </c>
      <c r="K110" s="40">
        <v>180030745313.86859</v>
      </c>
      <c r="L110" s="40"/>
    </row>
    <row r="111" spans="7:12" x14ac:dyDescent="0.25">
      <c r="G111" s="2">
        <v>46752</v>
      </c>
      <c r="H111" s="40">
        <v>125470118.39516546</v>
      </c>
      <c r="J111" s="2">
        <v>46752</v>
      </c>
      <c r="K111" s="40">
        <v>180030745313.86859</v>
      </c>
      <c r="L111" s="40"/>
    </row>
    <row r="112" spans="7:12" x14ac:dyDescent="0.25">
      <c r="G112" s="2">
        <v>46783</v>
      </c>
      <c r="H112" s="40">
        <v>125470118.39516546</v>
      </c>
      <c r="J112" s="2">
        <v>46783</v>
      </c>
      <c r="K112" s="40">
        <v>180030745313.86859</v>
      </c>
      <c r="L112" s="40"/>
    </row>
    <row r="113" spans="7:12" x14ac:dyDescent="0.25">
      <c r="G113" s="2">
        <v>46812</v>
      </c>
      <c r="H113" s="40">
        <v>125470118.39516546</v>
      </c>
      <c r="J113" s="2">
        <v>46812</v>
      </c>
      <c r="K113" s="40">
        <v>180030745313.86859</v>
      </c>
      <c r="L113" s="40"/>
    </row>
    <row r="114" spans="7:12" x14ac:dyDescent="0.25">
      <c r="G114" s="2">
        <v>46843</v>
      </c>
      <c r="H114" s="40">
        <v>120786890.00690114</v>
      </c>
      <c r="J114" s="2">
        <v>46843</v>
      </c>
      <c r="K114" s="40">
        <v>176468956040.08752</v>
      </c>
      <c r="L114" s="40"/>
    </row>
    <row r="115" spans="7:12" x14ac:dyDescent="0.25">
      <c r="G115" s="2">
        <v>46873</v>
      </c>
      <c r="H115" s="40">
        <v>120786890.00690114</v>
      </c>
      <c r="J115" s="2">
        <v>46873</v>
      </c>
      <c r="K115" s="40">
        <v>176468956040.08752</v>
      </c>
      <c r="L115" s="40"/>
    </row>
    <row r="116" spans="7:12" x14ac:dyDescent="0.25">
      <c r="G116" s="2">
        <v>46904</v>
      </c>
      <c r="H116" s="40">
        <v>120786890.00690114</v>
      </c>
      <c r="J116" s="2">
        <v>46904</v>
      </c>
      <c r="K116" s="40">
        <v>176468956040.08752</v>
      </c>
      <c r="L116" s="40"/>
    </row>
    <row r="117" spans="7:12" x14ac:dyDescent="0.25">
      <c r="G117" s="2">
        <v>46934</v>
      </c>
      <c r="H117" s="40">
        <v>120786890.00690114</v>
      </c>
      <c r="J117" s="2">
        <v>46934</v>
      </c>
      <c r="K117" s="40">
        <v>176468956040.08752</v>
      </c>
      <c r="L117" s="40"/>
    </row>
    <row r="118" spans="7:12" x14ac:dyDescent="0.25">
      <c r="G118" s="2">
        <v>46965</v>
      </c>
      <c r="H118" s="40">
        <v>120786890.00690114</v>
      </c>
      <c r="J118" s="2">
        <v>46965</v>
      </c>
      <c r="K118" s="40">
        <v>176468956040.08752</v>
      </c>
      <c r="L118" s="40"/>
    </row>
    <row r="119" spans="7:12" x14ac:dyDescent="0.25">
      <c r="G119" s="2">
        <v>46996</v>
      </c>
      <c r="H119" s="40">
        <v>120786890.00690114</v>
      </c>
      <c r="J119" s="2">
        <v>46996</v>
      </c>
      <c r="K119" s="40">
        <v>176468956040.08752</v>
      </c>
      <c r="L119" s="40"/>
    </row>
    <row r="120" spans="7:12" x14ac:dyDescent="0.25">
      <c r="G120" s="2">
        <v>47026</v>
      </c>
      <c r="H120" s="40">
        <v>110785077.66198249</v>
      </c>
      <c r="J120" s="2">
        <v>47026</v>
      </c>
      <c r="K120" s="40">
        <v>166296147758.6792</v>
      </c>
      <c r="L120" s="40"/>
    </row>
    <row r="121" spans="7:12" x14ac:dyDescent="0.25">
      <c r="G121" s="2">
        <v>47057</v>
      </c>
      <c r="H121" s="40">
        <v>110785077.66198249</v>
      </c>
      <c r="J121" s="2">
        <v>47057</v>
      </c>
      <c r="K121" s="40">
        <v>166296147758.6792</v>
      </c>
      <c r="L121" s="40"/>
    </row>
    <row r="122" spans="7:12" x14ac:dyDescent="0.25">
      <c r="G122" s="2">
        <v>47087</v>
      </c>
      <c r="H122" s="40">
        <v>110785077.66198249</v>
      </c>
      <c r="J122" s="2">
        <v>47087</v>
      </c>
      <c r="K122" s="40">
        <v>166296147758.6792</v>
      </c>
      <c r="L122" s="40"/>
    </row>
    <row r="123" spans="7:12" x14ac:dyDescent="0.25">
      <c r="G123" s="2">
        <v>47118</v>
      </c>
      <c r="H123" s="40">
        <v>110785077.66198249</v>
      </c>
      <c r="J123" s="2">
        <v>47118</v>
      </c>
      <c r="K123" s="40">
        <v>166296147758.6792</v>
      </c>
      <c r="L123" s="40"/>
    </row>
    <row r="124" spans="7:12" x14ac:dyDescent="0.25">
      <c r="G124" s="2">
        <v>47149</v>
      </c>
      <c r="H124" s="40">
        <v>110785077.66198249</v>
      </c>
      <c r="J124" s="2">
        <v>47149</v>
      </c>
      <c r="K124" s="40">
        <v>166296147758.6792</v>
      </c>
      <c r="L124" s="40"/>
    </row>
    <row r="125" spans="7:12" x14ac:dyDescent="0.25">
      <c r="G125" s="2">
        <v>47177</v>
      </c>
      <c r="H125" s="40">
        <v>110785077.66198249</v>
      </c>
      <c r="J125" s="2">
        <v>47177</v>
      </c>
      <c r="K125" s="40">
        <v>166296147758.6792</v>
      </c>
      <c r="L125" s="40"/>
    </row>
    <row r="126" spans="7:12" x14ac:dyDescent="0.25">
      <c r="G126" s="2">
        <v>47208</v>
      </c>
      <c r="H126" s="40">
        <v>106618437.12709193</v>
      </c>
      <c r="J126" s="2">
        <v>47208</v>
      </c>
      <c r="K126" s="40">
        <v>165908274816.22711</v>
      </c>
      <c r="L126" s="40"/>
    </row>
    <row r="127" spans="7:12" x14ac:dyDescent="0.25">
      <c r="G127" s="2">
        <v>47238</v>
      </c>
      <c r="H127" s="40">
        <v>106618437.12709193</v>
      </c>
      <c r="J127" s="2">
        <v>47238</v>
      </c>
      <c r="K127" s="40">
        <v>165908274816.22711</v>
      </c>
      <c r="L127" s="40"/>
    </row>
    <row r="128" spans="7:12" x14ac:dyDescent="0.25">
      <c r="G128" s="2">
        <v>47269</v>
      </c>
      <c r="H128" s="40">
        <v>106618437.12709193</v>
      </c>
      <c r="J128" s="2">
        <v>47269</v>
      </c>
      <c r="K128" s="40">
        <v>165908274816.22711</v>
      </c>
      <c r="L128" s="40"/>
    </row>
    <row r="129" spans="7:12" x14ac:dyDescent="0.25">
      <c r="G129" s="2">
        <v>47299</v>
      </c>
      <c r="H129" s="40">
        <v>106618437.12709193</v>
      </c>
      <c r="J129" s="2">
        <v>47299</v>
      </c>
      <c r="K129" s="40">
        <v>165908274816.22711</v>
      </c>
      <c r="L129" s="40"/>
    </row>
    <row r="130" spans="7:12" x14ac:dyDescent="0.25">
      <c r="G130" s="2">
        <v>47330</v>
      </c>
      <c r="H130" s="40">
        <v>106618437.12709193</v>
      </c>
      <c r="J130" s="2">
        <v>47330</v>
      </c>
      <c r="K130" s="40">
        <v>165908274816.22711</v>
      </c>
      <c r="L130" s="40"/>
    </row>
    <row r="131" spans="7:12" x14ac:dyDescent="0.25">
      <c r="G131" s="2">
        <v>47361</v>
      </c>
      <c r="H131" s="40">
        <v>106618437.12709193</v>
      </c>
      <c r="J131" s="2">
        <v>47361</v>
      </c>
      <c r="K131" s="40">
        <v>165908274816.22711</v>
      </c>
      <c r="L131" s="40"/>
    </row>
    <row r="132" spans="7:12" x14ac:dyDescent="0.25">
      <c r="G132" s="2">
        <v>47391</v>
      </c>
      <c r="H132" s="40">
        <v>97226393.844513029</v>
      </c>
      <c r="J132" s="2">
        <v>47391</v>
      </c>
      <c r="K132" s="40">
        <v>155014509015.06961</v>
      </c>
      <c r="L132" s="40"/>
    </row>
    <row r="133" spans="7:12" x14ac:dyDescent="0.25">
      <c r="G133" s="2">
        <v>47422</v>
      </c>
      <c r="H133" s="40">
        <v>97226393.844513029</v>
      </c>
      <c r="J133" s="2">
        <v>47422</v>
      </c>
      <c r="K133" s="40">
        <v>155014509015.06961</v>
      </c>
      <c r="L133" s="40"/>
    </row>
    <row r="134" spans="7:12" x14ac:dyDescent="0.25">
      <c r="G134" s="2">
        <v>47452</v>
      </c>
      <c r="H134" s="40">
        <v>97226393.844513029</v>
      </c>
      <c r="J134" s="2">
        <v>47452</v>
      </c>
      <c r="K134" s="40">
        <v>155014509015.06961</v>
      </c>
      <c r="L134" s="40"/>
    </row>
    <row r="135" spans="7:12" x14ac:dyDescent="0.25">
      <c r="G135" s="2">
        <v>47483</v>
      </c>
      <c r="H135" s="40">
        <v>97226393.844513029</v>
      </c>
      <c r="J135" s="2">
        <v>47483</v>
      </c>
      <c r="K135" s="40">
        <v>155014509015.06961</v>
      </c>
      <c r="L135" s="40"/>
    </row>
    <row r="136" spans="7:12" x14ac:dyDescent="0.25">
      <c r="G136" s="2">
        <v>47514</v>
      </c>
      <c r="H136" s="40">
        <v>97226393.844513029</v>
      </c>
      <c r="J136" s="2">
        <v>47514</v>
      </c>
      <c r="K136" s="40">
        <v>155014509015.06961</v>
      </c>
      <c r="L136" s="40"/>
    </row>
    <row r="137" spans="7:12" x14ac:dyDescent="0.25">
      <c r="G137" s="2">
        <v>47542</v>
      </c>
      <c r="H137" s="40">
        <v>97226393.844513029</v>
      </c>
      <c r="J137" s="2">
        <v>47542</v>
      </c>
      <c r="K137" s="40">
        <v>155014509015.06961</v>
      </c>
      <c r="L137" s="40"/>
    </row>
    <row r="138" spans="7:12" x14ac:dyDescent="0.25">
      <c r="G138" s="2">
        <v>47573</v>
      </c>
      <c r="H138" s="40">
        <v>91843718.429022044</v>
      </c>
      <c r="J138" s="2">
        <v>47573</v>
      </c>
      <c r="K138" s="40">
        <v>148843414421.89218</v>
      </c>
      <c r="L138" s="40"/>
    </row>
    <row r="139" spans="7:12" x14ac:dyDescent="0.25">
      <c r="G139" s="2">
        <v>47603</v>
      </c>
      <c r="H139" s="40">
        <v>91843718.429022044</v>
      </c>
      <c r="J139" s="2">
        <v>47603</v>
      </c>
      <c r="K139" s="40">
        <v>148843414421.89218</v>
      </c>
      <c r="L139" s="40"/>
    </row>
    <row r="140" spans="7:12" x14ac:dyDescent="0.25">
      <c r="G140" s="2">
        <v>47634</v>
      </c>
      <c r="H140" s="40">
        <v>91843718.429022044</v>
      </c>
      <c r="J140" s="2">
        <v>47634</v>
      </c>
      <c r="K140" s="40">
        <v>148843414421.89218</v>
      </c>
      <c r="L140" s="40"/>
    </row>
    <row r="141" spans="7:12" x14ac:dyDescent="0.25">
      <c r="G141" s="2">
        <v>47664</v>
      </c>
      <c r="H141" s="40">
        <v>91843718.429022044</v>
      </c>
      <c r="J141" s="2">
        <v>47664</v>
      </c>
      <c r="K141" s="40">
        <v>148843414421.89218</v>
      </c>
      <c r="L141" s="40"/>
    </row>
    <row r="142" spans="7:12" x14ac:dyDescent="0.25">
      <c r="G142" s="2">
        <v>47695</v>
      </c>
      <c r="H142" s="40">
        <v>91843718.429022044</v>
      </c>
      <c r="J142" s="2">
        <v>47695</v>
      </c>
      <c r="K142" s="40">
        <v>148843414421.89218</v>
      </c>
      <c r="L142" s="40"/>
    </row>
    <row r="143" spans="7:12" x14ac:dyDescent="0.25">
      <c r="G143" s="2">
        <v>47726</v>
      </c>
      <c r="H143" s="40">
        <v>91843718.429022044</v>
      </c>
      <c r="J143" s="2">
        <v>47726</v>
      </c>
      <c r="K143" s="40">
        <v>148843414421.89218</v>
      </c>
      <c r="L143" s="40"/>
    </row>
    <row r="144" spans="7:12" x14ac:dyDescent="0.25">
      <c r="G144" s="2">
        <v>47756</v>
      </c>
      <c r="H144" s="40">
        <v>81387309.780474544</v>
      </c>
      <c r="J144" s="2">
        <v>47756</v>
      </c>
      <c r="K144" s="40">
        <v>132253571496.1752</v>
      </c>
      <c r="L144" s="40"/>
    </row>
    <row r="145" spans="7:12" x14ac:dyDescent="0.25">
      <c r="G145" s="2">
        <v>47787</v>
      </c>
      <c r="H145" s="40">
        <v>81387309.780474544</v>
      </c>
      <c r="J145" s="2">
        <v>47787</v>
      </c>
      <c r="K145" s="40">
        <v>132253571496.1752</v>
      </c>
      <c r="L145" s="40"/>
    </row>
    <row r="146" spans="7:12" x14ac:dyDescent="0.25">
      <c r="G146" s="2">
        <v>47817</v>
      </c>
      <c r="H146" s="40">
        <v>81387309.780474544</v>
      </c>
      <c r="J146" s="2">
        <v>47817</v>
      </c>
      <c r="K146" s="40">
        <v>132253571496.1752</v>
      </c>
      <c r="L146" s="40"/>
    </row>
    <row r="147" spans="7:12" x14ac:dyDescent="0.25">
      <c r="G147" s="2">
        <v>47848</v>
      </c>
      <c r="H147" s="40">
        <v>81387309.780474544</v>
      </c>
      <c r="J147" s="2">
        <v>47848</v>
      </c>
      <c r="K147" s="40">
        <v>132253571496.1752</v>
      </c>
      <c r="L147" s="40"/>
    </row>
    <row r="148" spans="7:12" x14ac:dyDescent="0.25">
      <c r="G148" s="2">
        <v>47879</v>
      </c>
      <c r="H148" s="40">
        <v>81387309.780474544</v>
      </c>
      <c r="J148" s="2">
        <v>47879</v>
      </c>
      <c r="K148" s="40">
        <v>132253571496.1752</v>
      </c>
      <c r="L148" s="40"/>
    </row>
    <row r="149" spans="7:12" x14ac:dyDescent="0.25">
      <c r="G149" s="2">
        <v>47907</v>
      </c>
      <c r="H149" s="40">
        <v>81387309.780474544</v>
      </c>
      <c r="J149" s="2">
        <v>47907</v>
      </c>
      <c r="K149" s="40">
        <v>132253571496.1752</v>
      </c>
      <c r="L149" s="40"/>
    </row>
    <row r="150" spans="7:12" x14ac:dyDescent="0.25">
      <c r="G150" s="2">
        <v>47938</v>
      </c>
      <c r="H150" s="40">
        <v>73604451.892322451</v>
      </c>
      <c r="J150" s="2">
        <v>47938</v>
      </c>
      <c r="K150" s="40">
        <v>120052297754.18709</v>
      </c>
      <c r="L150" s="40"/>
    </row>
    <row r="151" spans="7:12" x14ac:dyDescent="0.25">
      <c r="G151" s="2">
        <v>47968</v>
      </c>
      <c r="H151" s="40">
        <v>73604451.892322451</v>
      </c>
      <c r="J151" s="2">
        <v>47968</v>
      </c>
      <c r="K151" s="40">
        <v>120052297754.18709</v>
      </c>
      <c r="L151" s="40"/>
    </row>
    <row r="152" spans="7:12" x14ac:dyDescent="0.25">
      <c r="G152" s="2">
        <v>47999</v>
      </c>
      <c r="H152" s="40">
        <v>73604451.892322451</v>
      </c>
      <c r="J152" s="2">
        <v>47999</v>
      </c>
      <c r="K152" s="40">
        <v>120052297754.18709</v>
      </c>
      <c r="L152" s="40"/>
    </row>
    <row r="153" spans="7:12" x14ac:dyDescent="0.25">
      <c r="G153" s="2">
        <v>48029</v>
      </c>
      <c r="H153" s="40">
        <v>73604451.892322451</v>
      </c>
      <c r="J153" s="2">
        <v>48029</v>
      </c>
      <c r="K153" s="40">
        <v>120052297754.18709</v>
      </c>
      <c r="L153" s="40"/>
    </row>
    <row r="154" spans="7:12" x14ac:dyDescent="0.25">
      <c r="G154" s="2">
        <v>48060</v>
      </c>
      <c r="H154" s="40">
        <v>73604451.892322451</v>
      </c>
      <c r="J154" s="2">
        <v>48060</v>
      </c>
      <c r="K154" s="40">
        <v>120052297754.18709</v>
      </c>
      <c r="L154" s="40"/>
    </row>
    <row r="155" spans="7:12" x14ac:dyDescent="0.25">
      <c r="G155" s="2">
        <v>48091</v>
      </c>
      <c r="H155" s="40">
        <v>73604451.892322451</v>
      </c>
      <c r="J155" s="2">
        <v>48091</v>
      </c>
      <c r="K155" s="40">
        <v>120052297754.18709</v>
      </c>
      <c r="L155" s="40"/>
    </row>
    <row r="156" spans="7:12" x14ac:dyDescent="0.25">
      <c r="G156" s="2">
        <v>48121</v>
      </c>
      <c r="H156" s="40">
        <v>62527758.858285919</v>
      </c>
      <c r="J156" s="2">
        <v>48121</v>
      </c>
      <c r="K156" s="40">
        <v>99551797058.206345</v>
      </c>
      <c r="L156" s="40"/>
    </row>
    <row r="157" spans="7:12" x14ac:dyDescent="0.25">
      <c r="G157" s="2">
        <v>48152</v>
      </c>
      <c r="H157" s="40">
        <v>62527758.858285919</v>
      </c>
      <c r="J157" s="2">
        <v>48152</v>
      </c>
      <c r="K157" s="40">
        <v>99551797058.206345</v>
      </c>
      <c r="L157" s="40"/>
    </row>
    <row r="158" spans="7:12" x14ac:dyDescent="0.25">
      <c r="G158" s="2">
        <v>48182</v>
      </c>
      <c r="H158" s="40">
        <v>62527758.858285919</v>
      </c>
      <c r="J158" s="2">
        <v>48182</v>
      </c>
      <c r="K158" s="40">
        <v>99551797058.206345</v>
      </c>
      <c r="L158" s="40"/>
    </row>
    <row r="159" spans="7:12" x14ac:dyDescent="0.25">
      <c r="G159" s="2">
        <v>48213</v>
      </c>
      <c r="H159" s="40">
        <v>62527758.858285919</v>
      </c>
      <c r="J159" s="2">
        <v>48213</v>
      </c>
      <c r="K159" s="40">
        <v>99551797058.206345</v>
      </c>
      <c r="L159" s="40"/>
    </row>
    <row r="160" spans="7:12" x14ac:dyDescent="0.25">
      <c r="G160" s="2">
        <v>48244</v>
      </c>
      <c r="H160" s="40">
        <v>62527758.858285919</v>
      </c>
      <c r="J160" s="2">
        <v>48244</v>
      </c>
      <c r="K160" s="40">
        <v>99551797058.206345</v>
      </c>
      <c r="L160" s="40"/>
    </row>
    <row r="161" spans="7:12" x14ac:dyDescent="0.25">
      <c r="G161" s="2">
        <v>48273</v>
      </c>
      <c r="H161" s="40">
        <v>62527758.858285919</v>
      </c>
      <c r="J161" s="2">
        <v>48273</v>
      </c>
      <c r="K161" s="40">
        <v>99551797058.206345</v>
      </c>
      <c r="L161" s="40"/>
    </row>
    <row r="162" spans="7:12" x14ac:dyDescent="0.25">
      <c r="G162" s="2">
        <v>48304</v>
      </c>
      <c r="H162" s="40">
        <v>54814521.148332946</v>
      </c>
      <c r="J162" s="2">
        <v>48304</v>
      </c>
      <c r="K162" s="40">
        <v>87828462530.750778</v>
      </c>
      <c r="L162" s="40"/>
    </row>
    <row r="163" spans="7:12" x14ac:dyDescent="0.25">
      <c r="G163" s="2">
        <v>48334</v>
      </c>
      <c r="H163" s="40">
        <v>54814521.148332946</v>
      </c>
      <c r="J163" s="2">
        <v>48334</v>
      </c>
      <c r="K163" s="40">
        <v>87828462530.750778</v>
      </c>
      <c r="L163" s="40"/>
    </row>
    <row r="164" spans="7:12" x14ac:dyDescent="0.25">
      <c r="G164" s="2">
        <v>48365</v>
      </c>
      <c r="H164" s="40">
        <v>54814521.148332946</v>
      </c>
      <c r="J164" s="2">
        <v>48365</v>
      </c>
      <c r="K164" s="40">
        <v>87828462530.750778</v>
      </c>
      <c r="L164" s="40"/>
    </row>
    <row r="165" spans="7:12" x14ac:dyDescent="0.25">
      <c r="G165" s="2">
        <v>48395</v>
      </c>
      <c r="H165" s="40">
        <v>54814521.148332946</v>
      </c>
      <c r="J165" s="2">
        <v>48395</v>
      </c>
      <c r="K165" s="40">
        <v>87828462530.750778</v>
      </c>
      <c r="L165" s="40"/>
    </row>
    <row r="166" spans="7:12" x14ac:dyDescent="0.25">
      <c r="G166" s="2">
        <v>48426</v>
      </c>
      <c r="H166" s="40">
        <v>54814521.148332946</v>
      </c>
      <c r="J166" s="2">
        <v>48426</v>
      </c>
      <c r="K166" s="40">
        <v>87828462530.750778</v>
      </c>
      <c r="L166" s="40"/>
    </row>
    <row r="167" spans="7:12" x14ac:dyDescent="0.25">
      <c r="G167" s="2">
        <v>48457</v>
      </c>
      <c r="H167" s="40">
        <v>54814521.148332946</v>
      </c>
      <c r="J167" s="2">
        <v>48457</v>
      </c>
      <c r="K167" s="40">
        <v>87828462530.750778</v>
      </c>
      <c r="L167" s="40"/>
    </row>
    <row r="168" spans="7:12" x14ac:dyDescent="0.25">
      <c r="G168" s="2">
        <v>48487</v>
      </c>
      <c r="H168" s="40">
        <v>44330308.671568066</v>
      </c>
      <c r="J168" s="2">
        <v>48487</v>
      </c>
      <c r="K168" s="40">
        <v>73782411640.979752</v>
      </c>
      <c r="L168" s="40"/>
    </row>
    <row r="169" spans="7:12" x14ac:dyDescent="0.25">
      <c r="G169" s="2">
        <v>48518</v>
      </c>
      <c r="H169" s="40">
        <v>44330308.671568066</v>
      </c>
      <c r="J169" s="2">
        <v>48518</v>
      </c>
      <c r="K169" s="40">
        <v>73782411640.979752</v>
      </c>
      <c r="L169" s="40"/>
    </row>
    <row r="170" spans="7:12" x14ac:dyDescent="0.25">
      <c r="G170" s="2">
        <v>48548</v>
      </c>
      <c r="H170" s="40">
        <v>44330308.671568066</v>
      </c>
      <c r="J170" s="2">
        <v>48548</v>
      </c>
      <c r="K170" s="40">
        <v>73782411640.979752</v>
      </c>
      <c r="L170" s="40"/>
    </row>
    <row r="171" spans="7:12" x14ac:dyDescent="0.25">
      <c r="G171" s="2">
        <v>48579</v>
      </c>
      <c r="H171" s="40">
        <v>44330308.671568066</v>
      </c>
      <c r="J171" s="2">
        <v>48579</v>
      </c>
      <c r="K171" s="40">
        <v>73782411640.979752</v>
      </c>
      <c r="L171" s="40"/>
    </row>
    <row r="172" spans="7:12" x14ac:dyDescent="0.25">
      <c r="G172" s="2">
        <v>48610</v>
      </c>
      <c r="H172" s="40">
        <v>44330308.671568066</v>
      </c>
      <c r="J172" s="2">
        <v>48610</v>
      </c>
      <c r="K172" s="40">
        <v>73782411640.979752</v>
      </c>
      <c r="L172" s="40"/>
    </row>
    <row r="173" spans="7:12" x14ac:dyDescent="0.25">
      <c r="G173" s="2">
        <v>48638</v>
      </c>
      <c r="H173" s="40">
        <v>44330308.671568066</v>
      </c>
      <c r="J173" s="2">
        <v>48638</v>
      </c>
      <c r="K173" s="40">
        <v>73782411640.979752</v>
      </c>
      <c r="L173" s="40"/>
    </row>
    <row r="174" spans="7:12" x14ac:dyDescent="0.25">
      <c r="G174" s="2">
        <v>48669</v>
      </c>
      <c r="H174" s="40">
        <v>34643068.390100226</v>
      </c>
      <c r="J174" s="2">
        <v>48669</v>
      </c>
      <c r="K174" s="40">
        <v>56324876922.89222</v>
      </c>
      <c r="L174" s="40"/>
    </row>
    <row r="175" spans="7:12" x14ac:dyDescent="0.25">
      <c r="G175" s="2">
        <v>48699</v>
      </c>
      <c r="H175" s="40">
        <v>34643068.390100226</v>
      </c>
      <c r="J175" s="2">
        <v>48699</v>
      </c>
      <c r="K175" s="40">
        <v>56324876922.89222</v>
      </c>
      <c r="L175" s="40"/>
    </row>
    <row r="176" spans="7:12" x14ac:dyDescent="0.25">
      <c r="G176" s="2">
        <v>48730</v>
      </c>
      <c r="H176" s="40">
        <v>34643068.390100226</v>
      </c>
      <c r="J176" s="2">
        <v>48730</v>
      </c>
      <c r="K176" s="40">
        <v>56324876922.89222</v>
      </c>
      <c r="L176" s="40"/>
    </row>
    <row r="177" spans="7:12" x14ac:dyDescent="0.25">
      <c r="G177" s="2">
        <v>48760</v>
      </c>
      <c r="H177" s="40">
        <v>34643068.390100226</v>
      </c>
      <c r="J177" s="2">
        <v>48760</v>
      </c>
      <c r="K177" s="40">
        <v>56324876922.89222</v>
      </c>
      <c r="L177" s="40"/>
    </row>
    <row r="178" spans="7:12" x14ac:dyDescent="0.25">
      <c r="G178" s="2">
        <v>48791</v>
      </c>
      <c r="H178" s="40">
        <v>34643068.390100226</v>
      </c>
      <c r="J178" s="2">
        <v>48791</v>
      </c>
      <c r="K178" s="40">
        <v>56324876922.89222</v>
      </c>
      <c r="L178" s="40"/>
    </row>
    <row r="179" spans="7:12" x14ac:dyDescent="0.25">
      <c r="G179" s="2">
        <v>48822</v>
      </c>
      <c r="H179" s="40">
        <v>34643068.390100226</v>
      </c>
      <c r="J179" s="2">
        <v>48822</v>
      </c>
      <c r="K179" s="40">
        <v>56324876922.89222</v>
      </c>
      <c r="L179" s="40"/>
    </row>
    <row r="180" spans="7:12" x14ac:dyDescent="0.25">
      <c r="G180" s="2">
        <v>48852</v>
      </c>
      <c r="H180" s="40">
        <v>22704302.091434192</v>
      </c>
      <c r="J180" s="2">
        <v>48852</v>
      </c>
      <c r="K180" s="40">
        <v>37467095371.487724</v>
      </c>
      <c r="L180" s="40"/>
    </row>
    <row r="181" spans="7:12" x14ac:dyDescent="0.25">
      <c r="G181" s="2">
        <v>48883</v>
      </c>
      <c r="H181" s="40">
        <v>22704302.091434192</v>
      </c>
      <c r="J181" s="2">
        <v>48883</v>
      </c>
      <c r="K181" s="40">
        <v>37467095371.487724</v>
      </c>
      <c r="L181" s="40"/>
    </row>
    <row r="182" spans="7:12" x14ac:dyDescent="0.25">
      <c r="G182" s="2">
        <v>48913</v>
      </c>
      <c r="H182" s="40">
        <v>22704302.091434192</v>
      </c>
      <c r="J182" s="2">
        <v>48913</v>
      </c>
      <c r="K182" s="40">
        <v>37467095371.487724</v>
      </c>
      <c r="L182" s="40"/>
    </row>
    <row r="183" spans="7:12" x14ac:dyDescent="0.25">
      <c r="G183" s="2">
        <v>48944</v>
      </c>
      <c r="H183" s="40">
        <v>22704302.091434192</v>
      </c>
      <c r="J183" s="2">
        <v>48944</v>
      </c>
      <c r="K183" s="40">
        <v>37467095371.487724</v>
      </c>
      <c r="L183" s="40"/>
    </row>
    <row r="184" spans="7:12" x14ac:dyDescent="0.25">
      <c r="G184" s="2">
        <v>48975</v>
      </c>
      <c r="H184" s="40">
        <v>22704302.091434192</v>
      </c>
      <c r="J184" s="2">
        <v>48975</v>
      </c>
      <c r="K184" s="40">
        <v>37467095371.487724</v>
      </c>
      <c r="L184" s="40"/>
    </row>
    <row r="185" spans="7:12" x14ac:dyDescent="0.25">
      <c r="G185" s="2">
        <v>49003</v>
      </c>
      <c r="H185" s="40">
        <v>22704302.091434192</v>
      </c>
      <c r="J185" s="2">
        <v>49003</v>
      </c>
      <c r="K185" s="40">
        <v>37467095371.487724</v>
      </c>
      <c r="L185" s="40"/>
    </row>
    <row r="186" spans="7:12" x14ac:dyDescent="0.25">
      <c r="G186" s="2">
        <v>49034</v>
      </c>
      <c r="H186" s="40">
        <v>11926586.971630281</v>
      </c>
      <c r="J186" s="2">
        <v>49034</v>
      </c>
      <c r="K186" s="40">
        <v>17155628711.617952</v>
      </c>
      <c r="L186" s="40"/>
    </row>
    <row r="187" spans="7:12" x14ac:dyDescent="0.25">
      <c r="G187" s="2">
        <v>49064</v>
      </c>
      <c r="H187" s="40">
        <v>11926586.971630281</v>
      </c>
      <c r="J187" s="2">
        <v>49064</v>
      </c>
      <c r="K187" s="40">
        <v>17155628711.617952</v>
      </c>
      <c r="L187" s="40"/>
    </row>
    <row r="188" spans="7:12" x14ac:dyDescent="0.25">
      <c r="G188" s="2">
        <v>49095</v>
      </c>
      <c r="H188" s="40">
        <v>11926586.971630281</v>
      </c>
      <c r="J188" s="2">
        <v>49095</v>
      </c>
      <c r="K188" s="40">
        <v>17155628711.617952</v>
      </c>
      <c r="L188" s="40"/>
    </row>
    <row r="189" spans="7:12" x14ac:dyDescent="0.25">
      <c r="G189" s="2">
        <v>49125</v>
      </c>
      <c r="H189" s="40">
        <v>11926586.971630281</v>
      </c>
      <c r="J189" s="2">
        <v>49125</v>
      </c>
      <c r="K189" s="40">
        <v>17155628711.617952</v>
      </c>
      <c r="L189" s="40"/>
    </row>
    <row r="190" spans="7:12" x14ac:dyDescent="0.25">
      <c r="G190" s="2">
        <v>49156</v>
      </c>
      <c r="H190" s="40">
        <v>11926586.971630281</v>
      </c>
      <c r="J190" s="2">
        <v>49156</v>
      </c>
      <c r="K190" s="40">
        <v>17155628711.617952</v>
      </c>
      <c r="L190" s="40"/>
    </row>
    <row r="191" spans="7:12" x14ac:dyDescent="0.25">
      <c r="G191" s="2">
        <v>49187</v>
      </c>
      <c r="H191" s="40">
        <v>11926586.971630281</v>
      </c>
      <c r="J191" s="2">
        <v>49187</v>
      </c>
      <c r="K191" s="40">
        <v>17155628711.617952</v>
      </c>
      <c r="L191" s="40"/>
    </row>
    <row r="192" spans="7:12" x14ac:dyDescent="0.25">
      <c r="G192" s="2">
        <v>49217</v>
      </c>
      <c r="H192" s="40">
        <v>0</v>
      </c>
      <c r="J192" s="2">
        <v>49217</v>
      </c>
      <c r="K192" s="40">
        <v>0</v>
      </c>
      <c r="L192" s="40"/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1D0FC-6518-47AF-B3E8-D494277BEFD1}">
  <dimension ref="A1:AH81"/>
  <sheetViews>
    <sheetView topLeftCell="A52" workbookViewId="0">
      <selection activeCell="B80" sqref="B80"/>
    </sheetView>
  </sheetViews>
  <sheetFormatPr defaultRowHeight="15" x14ac:dyDescent="0.25"/>
  <cols>
    <col min="1" max="1" width="18.5703125" customWidth="1"/>
    <col min="2" max="2" width="16.5703125" customWidth="1"/>
  </cols>
  <sheetData>
    <row r="1" spans="1:34" x14ac:dyDescent="0.25">
      <c r="A1" t="s">
        <v>795</v>
      </c>
      <c r="B1" t="s">
        <v>796</v>
      </c>
      <c r="C1" s="79" t="s">
        <v>797</v>
      </c>
      <c r="D1" s="79"/>
      <c r="E1" s="79"/>
      <c r="F1" s="79"/>
      <c r="V1" s="11"/>
    </row>
    <row r="2" spans="1:34" x14ac:dyDescent="0.25">
      <c r="A2" s="31">
        <f ca="1">Pre_Date</f>
        <v>43550</v>
      </c>
      <c r="B2" t="s">
        <v>798</v>
      </c>
      <c r="C2" t="s">
        <v>799</v>
      </c>
      <c r="D2" t="s">
        <v>800</v>
      </c>
      <c r="E2" t="s">
        <v>801</v>
      </c>
      <c r="F2" t="s">
        <v>802</v>
      </c>
      <c r="G2" t="s">
        <v>803</v>
      </c>
      <c r="H2" t="s">
        <v>804</v>
      </c>
      <c r="I2" t="s">
        <v>805</v>
      </c>
      <c r="J2" t="s">
        <v>806</v>
      </c>
      <c r="K2" t="s">
        <v>807</v>
      </c>
      <c r="L2" t="s">
        <v>808</v>
      </c>
      <c r="M2" t="s">
        <v>809</v>
      </c>
      <c r="V2" s="11"/>
      <c r="W2" t="s">
        <v>830</v>
      </c>
    </row>
    <row r="3" spans="1:34" x14ac:dyDescent="0.25">
      <c r="A3" t="s">
        <v>810</v>
      </c>
      <c r="B3" s="68">
        <v>2.5000000000000001E-3</v>
      </c>
      <c r="C3" s="68">
        <v>5.0000000000000001E-3</v>
      </c>
      <c r="D3" s="68">
        <v>7.4999999999999997E-3</v>
      </c>
      <c r="E3" s="68">
        <v>0.01</v>
      </c>
      <c r="F3" s="68">
        <v>1.4999999999999999E-2</v>
      </c>
      <c r="G3" s="68">
        <v>0.02</v>
      </c>
      <c r="H3" s="68">
        <v>2.5000000000000001E-2</v>
      </c>
      <c r="I3" s="68">
        <v>0.03</v>
      </c>
      <c r="J3" s="68">
        <v>0.04</v>
      </c>
      <c r="K3" s="68">
        <v>0.05</v>
      </c>
      <c r="L3" s="68">
        <v>0.06</v>
      </c>
      <c r="M3" s="68">
        <v>7.0000000000000007E-2</v>
      </c>
      <c r="N3" t="s">
        <v>811</v>
      </c>
      <c r="O3" t="s">
        <v>811</v>
      </c>
      <c r="P3" t="s">
        <v>811</v>
      </c>
      <c r="Q3" t="s">
        <v>811</v>
      </c>
      <c r="R3" t="s">
        <v>811</v>
      </c>
      <c r="S3" t="s">
        <v>811</v>
      </c>
      <c r="T3" t="s">
        <v>811</v>
      </c>
      <c r="U3" t="s">
        <v>811</v>
      </c>
      <c r="V3" s="11" t="s">
        <v>811</v>
      </c>
    </row>
    <row r="4" spans="1:34" x14ac:dyDescent="0.25">
      <c r="A4">
        <v>1</v>
      </c>
      <c r="B4">
        <f ca="1">(_xll.BDH(B$2&amp;"0"&amp;$A4&amp;" ICPL curncy","PX_LAST",Pre_Date))+47.38</f>
        <v>126.78</v>
      </c>
      <c r="C4">
        <f ca="1">(_xll.BDH(C$2&amp;"0"&amp;$A4&amp;" ICPL curncy","PX_LAST",Pre_Date))+44.99</f>
        <v>119.89000000000001</v>
      </c>
      <c r="D4">
        <f ca="1">(_xll.BDH(D$2&amp;"0"&amp;$A4&amp;" ICPL curncy","PX_LAST",Pre_Date))+41.31</f>
        <v>112.01</v>
      </c>
      <c r="E4">
        <f ca="1">(_xll.BDH(E$2&amp;$A4&amp;" ICPL curncy","PX_LAST",Pre_Date))+35.21</f>
        <v>101.61000000000001</v>
      </c>
      <c r="F4">
        <f ca="1">(_xll.BDH(F$2&amp;$A4&amp;" ICPL curncy","PX_LAST",Pre_Date))+22.11</f>
        <v>79.31</v>
      </c>
      <c r="G4">
        <f ca="1">(_xll.BDH(G$2&amp;$A4&amp;" ICPL curncy","PX_LAST",Pre_Date))+8.37</f>
        <v>55.37</v>
      </c>
      <c r="H4">
        <f ca="1">(_xll.BDH(H$2&amp;$A4&amp;" ICPL curncy","PX_LAST",Pre_Date))+-2.11</f>
        <v>33.89</v>
      </c>
      <c r="I4">
        <f ca="1">(_xll.BDH(I$2&amp;$A4&amp;" ICPL curncy","PX_LAST",Pre_Date))+23.08</f>
        <v>64.180000000000007</v>
      </c>
      <c r="J4">
        <f ca="1">(_xll.BDH(J$2&amp;$A4&amp;" ICPL curncy","PX_LAST",Pre_Date))+73.55</f>
        <v>132.15</v>
      </c>
      <c r="K4">
        <f ca="1">(_xll.BDH(K$2&amp;$A4&amp;" ICPL curncy","PX_LAST",Pre_Date))+105.95</f>
        <v>194.65</v>
      </c>
      <c r="L4">
        <f ca="1">(_xll.BDH(L$2&amp;"0"&amp;$A4&amp;" ICPL curncy","PX_LAST",Pre_Date))+0</f>
        <v>118.6</v>
      </c>
      <c r="M4">
        <f ca="1">(_xll.BDH(M$2&amp;"0"&amp;$A4&amp;" ICPL curncy","PX_LAST",Pre_Date))+0</f>
        <v>122.7</v>
      </c>
      <c r="V4" s="11"/>
      <c r="W4">
        <v>47.379999999999995</v>
      </c>
      <c r="X4">
        <v>44.990000000000009</v>
      </c>
      <c r="Y4">
        <v>41.31</v>
      </c>
      <c r="Z4">
        <v>35.209999999999994</v>
      </c>
      <c r="AA4">
        <v>22.11</v>
      </c>
      <c r="AB4">
        <v>8.3699999999999974</v>
      </c>
      <c r="AC4">
        <v>-2.110000000000003</v>
      </c>
      <c r="AD4">
        <v>23.08</v>
      </c>
      <c r="AE4">
        <v>73.55</v>
      </c>
      <c r="AF4">
        <v>105.95</v>
      </c>
      <c r="AG4">
        <v>0</v>
      </c>
      <c r="AH4">
        <v>0</v>
      </c>
    </row>
    <row r="5" spans="1:34" x14ac:dyDescent="0.25">
      <c r="A5">
        <v>2</v>
      </c>
      <c r="B5">
        <f ca="1">(_xll.BDH(B$2&amp;"0"&amp;$A5&amp;" ICPL curncy","PX_LAST",Pre_Date))+5.53999999999999</f>
        <v>83.44</v>
      </c>
      <c r="C5">
        <f ca="1">(_xll.BDH(C$2&amp;"0"&amp;$A5&amp;" ICPL curncy","PX_LAST",Pre_Date))+3.88</f>
        <v>79.179999999999993</v>
      </c>
      <c r="D5">
        <f ca="1">(_xll.BDH(D$2&amp;"0"&amp;$A5&amp;" ICPL curncy","PX_LAST",Pre_Date))+2.52</f>
        <v>75.02</v>
      </c>
      <c r="E5">
        <f ca="1">(_xll.BDH(E$2&amp;$A5&amp;" ICPL curncy","PX_LAST",Pre_Date))+1.46000000000001</f>
        <v>70.960000000000008</v>
      </c>
      <c r="F5">
        <f ca="1">(_xll.BDH(F$2&amp;$A5&amp;" ICPL curncy","PX_LAST",Pre_Date))+0.150000000000006</f>
        <v>63.050000000000004</v>
      </c>
      <c r="G5">
        <f ca="1">(_xll.BDH(G$2&amp;$A5&amp;" ICPL curncy","PX_LAST",Pre_Date))+-0.219999999999999</f>
        <v>55.08</v>
      </c>
      <c r="H5">
        <f ca="1">(_xll.BDH(H$2&amp;$A5&amp;" ICPL curncy","PX_LAST",Pre_Date))+-0.120000000000005</f>
        <v>46.58</v>
      </c>
      <c r="I5">
        <f ca="1">(_xll.BDH(I$2&amp;$A5&amp;" ICPL curncy","PX_LAST",Pre_Date))+9</f>
        <v>57.8</v>
      </c>
      <c r="J5">
        <f ca="1">(_xll.BDH(J$2&amp;$A5&amp;" ICPL curncy","PX_LAST",Pre_Date))+28.93</f>
        <v>85.83</v>
      </c>
      <c r="K5">
        <f ca="1">(_xll.BDH(K$2&amp;$A5&amp;" ICPL curncy","PX_LAST",Pre_Date))+50.19</f>
        <v>118.28999999999999</v>
      </c>
      <c r="L5">
        <f ca="1">(_xll.BDH(L$2&amp;"0"&amp;$A5&amp;" ICPL curncy","PX_LAST",Pre_Date))+0</f>
        <v>90.7</v>
      </c>
      <c r="M5">
        <f ca="1">(_xll.BDH(M$2&amp;"0"&amp;$A5&amp;" ICPL curncy","PX_LAST",Pre_Date))+0</f>
        <v>112.8</v>
      </c>
      <c r="V5" s="11"/>
      <c r="W5">
        <v>5.539999999999992</v>
      </c>
      <c r="X5">
        <v>3.8799999999999955</v>
      </c>
      <c r="Y5">
        <v>2.519999999999996</v>
      </c>
      <c r="Z5">
        <v>1.460000000000008</v>
      </c>
      <c r="AA5">
        <v>0.15000000000000568</v>
      </c>
      <c r="AB5">
        <v>-0.21999999999999886</v>
      </c>
      <c r="AC5">
        <v>-0.12000000000000455</v>
      </c>
      <c r="AD5">
        <v>9</v>
      </c>
      <c r="AE5">
        <v>28.930000000000007</v>
      </c>
      <c r="AF5">
        <v>50.190000000000005</v>
      </c>
      <c r="AG5">
        <v>0</v>
      </c>
      <c r="AH5">
        <v>0</v>
      </c>
    </row>
    <row r="6" spans="1:34" x14ac:dyDescent="0.25">
      <c r="A6">
        <v>3</v>
      </c>
      <c r="B6">
        <f ca="1">(_xll.BDH(B$2&amp;"0"&amp;$A6&amp;" ICPL curncy","PX_LAST",Pre_Date))+1.56999999999999</f>
        <v>80.27</v>
      </c>
      <c r="C6">
        <f ca="1">(_xll.BDH(C$2&amp;"0"&amp;$A6&amp;" ICPL curncy","PX_LAST",Pre_Date))+0.739999999999995</f>
        <v>77.539999999999992</v>
      </c>
      <c r="D6">
        <f ca="1">(_xll.BDH(D$2&amp;"0"&amp;$A6&amp;" ICPL curncy","PX_LAST",Pre_Date))+0.100000000000009</f>
        <v>74.600000000000009</v>
      </c>
      <c r="E6">
        <f ca="1">(_xll.BDH(E$2&amp;$A6&amp;" ICPL curncy","PX_LAST",Pre_Date))+-0.340000000000003</f>
        <v>71.66</v>
      </c>
      <c r="F6">
        <f ca="1">(_xll.BDH(F$2&amp;$A6&amp;" ICPL curncy","PX_LAST",Pre_Date))+-0.769999999999996</f>
        <v>65.430000000000007</v>
      </c>
      <c r="G6">
        <f ca="1">(_xll.BDH(G$2&amp;$A6&amp;" ICPL curncy","PX_LAST",Pre_Date))+-0.520000000000003</f>
        <v>59.279999999999994</v>
      </c>
      <c r="H6">
        <f ca="1">(_xll.BDH(H$2&amp;$A6&amp;" ICPL curncy","PX_LAST",Pre_Date))+0.0500000000000043</f>
        <v>53.550000000000004</v>
      </c>
      <c r="I6">
        <f ca="1">(_xll.BDH(I$2&amp;$A6&amp;" ICPL curncy","PX_LAST",Pre_Date))+5.08</f>
        <v>61.28</v>
      </c>
      <c r="J6">
        <f ca="1">(_xll.BDH(J$2&amp;$A6&amp;" ICPL curncy","PX_LAST",Pre_Date))+8.59999999999999</f>
        <v>76.899999999999991</v>
      </c>
      <c r="K6">
        <f ca="1">(_xll.BDH(K$2&amp;$A6&amp;" ICPL curncy","PX_LAST",Pre_Date))+12.38</f>
        <v>95.179999999999993</v>
      </c>
      <c r="L6">
        <f ca="1">(_xll.BDH(L$2&amp;"0"&amp;$A6&amp;" ICPL curncy","PX_LAST",Pre_Date))+0</f>
        <v>97.9</v>
      </c>
      <c r="M6">
        <f ca="1">(_xll.BDH(M$2&amp;"0"&amp;$A6&amp;" ICPL curncy","PX_LAST",Pre_Date))+0</f>
        <v>113.1</v>
      </c>
      <c r="V6" s="11"/>
      <c r="W6">
        <v>1.5699999999999932</v>
      </c>
      <c r="X6">
        <v>0.73999999999999488</v>
      </c>
      <c r="Y6">
        <v>0.10000000000000853</v>
      </c>
      <c r="Z6">
        <v>-0.34000000000000341</v>
      </c>
      <c r="AA6">
        <v>-0.76999999999999602</v>
      </c>
      <c r="AB6">
        <v>-0.52000000000000313</v>
      </c>
      <c r="AC6">
        <v>5.0000000000004263E-2</v>
      </c>
      <c r="AD6">
        <v>5.0799999999999983</v>
      </c>
      <c r="AE6">
        <v>8.5999999999999943</v>
      </c>
      <c r="AF6">
        <v>12.38000000000001</v>
      </c>
      <c r="AG6">
        <v>0</v>
      </c>
      <c r="AH6">
        <v>0</v>
      </c>
    </row>
    <row r="7" spans="1:34" x14ac:dyDescent="0.25">
      <c r="A7">
        <v>4</v>
      </c>
      <c r="B7">
        <f ca="1">(_xll.BDH(B$2&amp;"0"&amp;$A7&amp;" ICPL curncy","PX_LAST",Pre_Date))+-0.189999999999998</f>
        <v>79.210000000000008</v>
      </c>
      <c r="C7">
        <f ca="1">(_xll.BDH(C$2&amp;"0"&amp;$A7&amp;" ICPL curncy","PX_LAST",Pre_Date))+-0.760000000000005</f>
        <v>76.94</v>
      </c>
      <c r="D7">
        <f ca="1">(_xll.BDH(D$2&amp;"0"&amp;$A7&amp;" ICPL curncy","PX_LAST",Pre_Date))+-1.05</f>
        <v>74.55</v>
      </c>
      <c r="E7">
        <f ca="1">(_xll.BDH(E$2&amp;$A7&amp;" ICPL curncy","PX_LAST",Pre_Date))+-1.26000000000001</f>
        <v>72.039999999999992</v>
      </c>
      <c r="F7">
        <f ca="1">(_xll.BDH(F$2&amp;$A7&amp;" ICPL curncy","PX_LAST",Pre_Date))+-1.05</f>
        <v>67.05</v>
      </c>
      <c r="G7">
        <f ca="1">(_xll.BDH(G$2&amp;$A7&amp;" ICPL curncy","PX_LAST",Pre_Date))+-0.429999999999993</f>
        <v>62.070000000000007</v>
      </c>
      <c r="H7">
        <f ca="1">(_xll.BDH(H$2&amp;$A7&amp;" ICPL curncy","PX_LAST",Pre_Date))+0.460000000000001</f>
        <v>58.160000000000004</v>
      </c>
      <c r="I7">
        <f ca="1">(_xll.BDH(I$2&amp;$A7&amp;" ICPL curncy","PX_LAST",Pre_Date))+3.83000000000001</f>
        <v>64.330000000000013</v>
      </c>
      <c r="J7">
        <f ca="1">(_xll.BDH(J$2&amp;$A7&amp;" ICPL curncy","PX_LAST",Pre_Date))+4.41000000000001</f>
        <v>76.610000000000014</v>
      </c>
      <c r="K7">
        <f ca="1">(_xll.BDH(K$2&amp;$A7&amp;" ICPL curncy","PX_LAST",Pre_Date))+3.73</f>
        <v>90.23</v>
      </c>
      <c r="L7">
        <f ca="1">(_xll.BDH(L$2&amp;"0"&amp;$A7&amp;" ICPL curncy","PX_LAST",Pre_Date))+0</f>
        <v>101.4</v>
      </c>
      <c r="M7">
        <f ca="1">(_xll.BDH(M$2&amp;"0"&amp;$A7&amp;" ICPL curncy","PX_LAST",Pre_Date))+0</f>
        <v>116.5</v>
      </c>
      <c r="V7" s="11"/>
      <c r="W7">
        <v>-0.18999999999999773</v>
      </c>
      <c r="X7">
        <v>-0.76000000000000512</v>
      </c>
      <c r="Y7">
        <v>-1.0499999999999972</v>
      </c>
      <c r="Z7">
        <v>-1.2600000000000051</v>
      </c>
      <c r="AA7">
        <v>-1.0499999999999972</v>
      </c>
      <c r="AB7">
        <v>-0.42999999999999261</v>
      </c>
      <c r="AC7">
        <v>0.46000000000000085</v>
      </c>
      <c r="AD7">
        <v>3.8300000000000054</v>
      </c>
      <c r="AE7">
        <v>4.4100000000000108</v>
      </c>
      <c r="AF7">
        <v>3.730000000000004</v>
      </c>
      <c r="AG7">
        <v>0</v>
      </c>
      <c r="AH7">
        <v>0</v>
      </c>
    </row>
    <row r="8" spans="1:34" x14ac:dyDescent="0.25">
      <c r="A8">
        <v>5</v>
      </c>
      <c r="B8">
        <f ca="1">(_xll.BDH(B$2&amp;"0"&amp;$A8&amp;" ICPL curncy","PX_LAST",Pre_Date))+-0.939999999999998</f>
        <v>77.760000000000005</v>
      </c>
      <c r="C8">
        <f ca="1">(_xll.BDH(C$2&amp;"0"&amp;$A8&amp;" ICPL curncy","PX_LAST",Pre_Date))+-1.37</f>
        <v>75.929999999999993</v>
      </c>
      <c r="D8">
        <f ca="1">(_xll.BDH(D$2&amp;"0"&amp;$A8&amp;" ICPL curncy","PX_LAST",Pre_Date))+-1.61</f>
        <v>73.989999999999995</v>
      </c>
      <c r="E8">
        <f ca="1">(_xll.BDH(E$2&amp;$A8&amp;" ICPL curncy","PX_LAST",Pre_Date))+-1.66000000000001</f>
        <v>71.939999999999984</v>
      </c>
      <c r="F8">
        <f ca="1">(_xll.BDH(F$2&amp;$A8&amp;" ICPL curncy","PX_LAST",Pre_Date))+-1.20999999999999</f>
        <v>67.89</v>
      </c>
      <c r="G8">
        <f ca="1">(_xll.BDH(G$2&amp;$A8&amp;" ICPL curncy","PX_LAST",Pre_Date))+-0.469999999999999</f>
        <v>63.83</v>
      </c>
      <c r="H8">
        <f ca="1">(_xll.BDH(H$2&amp;$A8&amp;" ICPL curncy","PX_LAST",Pre_Date))+0.609999999999999</f>
        <v>61.11</v>
      </c>
      <c r="I8">
        <f ca="1">(_xll.BDH(I$2&amp;$A8&amp;" ICPL curncy","PX_LAST",Pre_Date))+3.31</f>
        <v>66.209999999999994</v>
      </c>
      <c r="J8">
        <f ca="1">(_xll.BDH(J$2&amp;$A8&amp;" ICPL curncy","PX_LAST",Pre_Date))+3.50999999999999</f>
        <v>76.41</v>
      </c>
      <c r="K8">
        <f ca="1">(_xll.BDH(K$2&amp;$A8&amp;" ICPL curncy","PX_LAST",Pre_Date))+2.13</f>
        <v>87.53</v>
      </c>
      <c r="L8">
        <f ca="1">(_xll.BDH(L$2&amp;"0"&amp;$A8&amp;" ICPL curncy","PX_LAST",Pre_Date))+0</f>
        <v>98.7</v>
      </c>
      <c r="M8">
        <f ca="1">(_xll.BDH(M$2&amp;"0"&amp;$A8&amp;" ICPL curncy","PX_LAST",Pre_Date))+0</f>
        <v>112.4</v>
      </c>
      <c r="V8" s="11"/>
      <c r="W8">
        <v>-0.93999999999999773</v>
      </c>
      <c r="X8">
        <v>-1.3700000000000045</v>
      </c>
      <c r="Y8">
        <v>-1.6099999999999994</v>
      </c>
      <c r="Z8">
        <v>-1.6600000000000108</v>
      </c>
      <c r="AA8">
        <v>-1.2099999999999937</v>
      </c>
      <c r="AB8">
        <v>-0.46999999999999886</v>
      </c>
      <c r="AC8">
        <v>0.60999999999999943</v>
      </c>
      <c r="AD8">
        <v>3.3100000000000023</v>
      </c>
      <c r="AE8">
        <v>3.5099999999999909</v>
      </c>
      <c r="AF8">
        <v>2.1299999999999955</v>
      </c>
      <c r="AG8">
        <v>0</v>
      </c>
      <c r="AH8">
        <v>0</v>
      </c>
    </row>
    <row r="9" spans="1:34" x14ac:dyDescent="0.25">
      <c r="A9">
        <v>7</v>
      </c>
      <c r="B9">
        <f ca="1">(_xll.BDH(B$2&amp;"0"&amp;$A9&amp;" ICPL curncy","PX_LAST",Pre_Date))+-1.19</f>
        <v>75.710000000000008</v>
      </c>
      <c r="C9">
        <f ca="1">(_xll.BDH(C$2&amp;"0"&amp;$A9&amp;" ICPL curncy","PX_LAST",Pre_Date))+-1.5</f>
        <v>74.5</v>
      </c>
      <c r="D9">
        <f ca="1">(_xll.BDH(D$2&amp;"0"&amp;$A9&amp;" ICPL curncy","PX_LAST",Pre_Date))+-1.5</f>
        <v>73.3</v>
      </c>
      <c r="E9">
        <f ca="1">(_xll.BDH(E$2&amp;$A9&amp;" ICPL curncy","PX_LAST",Pre_Date))+-1.48</f>
        <v>71.819999999999993</v>
      </c>
      <c r="F9">
        <f ca="1">(_xll.BDH(F$2&amp;$A9&amp;" ICPL curncy","PX_LAST",Pre_Date))+-0.829999999999998</f>
        <v>69.070000000000007</v>
      </c>
      <c r="G9">
        <f ca="1">(_xll.BDH(G$2&amp;$A9&amp;" ICPL curncy","PX_LAST",Pre_Date))+0.170000000000002</f>
        <v>66.47</v>
      </c>
      <c r="H9">
        <f ca="1">(_xll.BDH(H$2&amp;$A9&amp;" ICPL curncy","PX_LAST",Pre_Date))+1.38</f>
        <v>65.179999999999993</v>
      </c>
      <c r="I9">
        <f ca="1">(_xll.BDH(I$2&amp;$A9&amp;" ICPL curncy","PX_LAST",Pre_Date))+3.56</f>
        <v>69.260000000000005</v>
      </c>
      <c r="J9">
        <f ca="1">(_xll.BDH(J$2&amp;$A9&amp;" ICPL curncy","PX_LAST",Pre_Date))+3.98999999999999</f>
        <v>77.489999999999995</v>
      </c>
      <c r="K9">
        <f ca="1">(_xll.BDH(K$2&amp;$A9&amp;" ICPL curncy","PX_LAST",Pre_Date))+2.55</f>
        <v>86.45</v>
      </c>
      <c r="L9">
        <f ca="1">(_xll.BDH(L$2&amp;"0"&amp;$A9&amp;" ICPL curncy","PX_LAST",Pre_Date))+0</f>
        <v>95.5</v>
      </c>
      <c r="M9">
        <f ca="1">(_xll.BDH(M$2&amp;"0"&amp;$A9&amp;" ICPL curncy","PX_LAST",Pre_Date))+0</f>
        <v>107.6</v>
      </c>
      <c r="V9" s="11"/>
      <c r="W9">
        <v>-1.1899999999999977</v>
      </c>
      <c r="X9">
        <v>-1.5</v>
      </c>
      <c r="Y9">
        <v>-1.5</v>
      </c>
      <c r="Z9">
        <v>-1.480000000000004</v>
      </c>
      <c r="AA9">
        <v>-0.82999999999999829</v>
      </c>
      <c r="AB9">
        <v>0.17000000000000171</v>
      </c>
      <c r="AC9">
        <v>1.3799999999999955</v>
      </c>
      <c r="AD9">
        <v>3.5600000000000023</v>
      </c>
      <c r="AE9">
        <v>3.9899999999999949</v>
      </c>
      <c r="AF9">
        <v>2.5499999999999972</v>
      </c>
      <c r="AG9">
        <v>0</v>
      </c>
      <c r="AH9">
        <v>0</v>
      </c>
    </row>
    <row r="10" spans="1:34" x14ac:dyDescent="0.25">
      <c r="A10">
        <v>10</v>
      </c>
      <c r="B10">
        <f ca="1">(_xll.BDH(B$2&amp;$A10&amp;" ICPL curncy","PX_LAST",Pre_Date))+-0.890000000000001</f>
        <v>74.010000000000005</v>
      </c>
      <c r="C10">
        <f ca="1">(_xll.BDH(C$2&amp;$A10&amp;" ICPL curncy","PX_LAST",Pre_Date))+-1.23</f>
        <v>73.069999999999993</v>
      </c>
      <c r="D10">
        <f ca="1">(_xll.BDH(D$2&amp;$A10&amp;" ICPL curncy","PX_LAST",Pre_Date))+-1.34</f>
        <v>72.16</v>
      </c>
      <c r="E10">
        <f ca="1">(_xll.BDH(E$2&amp;$A10&amp;" ICPL curncy","PX_LAST",Pre_Date))+-1.3</f>
        <v>71.100000000000009</v>
      </c>
      <c r="F10">
        <f ca="1">(_xll.BDH(F$2&amp;$A10&amp;" ICPL curncy","PX_LAST",Pre_Date))+-0.819999999999993</f>
        <v>69.080000000000013</v>
      </c>
      <c r="G10">
        <f ca="1">(_xll.BDH(G$2&amp;$A10&amp;" ICPL curncy","PX_LAST",Pre_Date))+0.0400000000000063</f>
        <v>67.240000000000009</v>
      </c>
      <c r="H10">
        <f ca="1">(_xll.BDH(H$2&amp;$A10&amp;" ICPL curncy","PX_LAST",Pre_Date))+1.09999999999999</f>
        <v>66.599999999999994</v>
      </c>
      <c r="I10">
        <f ca="1">(_xll.BDH(I$2&amp;$A10&amp;" ICPL curncy","PX_LAST",Pre_Date))+2.62</f>
        <v>69.52000000000001</v>
      </c>
      <c r="J10">
        <f ca="1">(_xll.BDH(J$2&amp;$A10&amp;" ICPL curncy","PX_LAST",Pre_Date))+2.94000000000001</f>
        <v>76.140000000000015</v>
      </c>
      <c r="K10">
        <f ca="1">(_xll.BDH(K$2&amp;$A10&amp;" ICPL curncy","PX_LAST",Pre_Date))+1.45</f>
        <v>83.75</v>
      </c>
      <c r="L10">
        <f ca="1">(_xll.BDH(L$2&amp;$A10&amp;" ICPL curncy","PX_LAST",Pre_Date))+0</f>
        <v>92.9</v>
      </c>
      <c r="M10">
        <f ca="1">(_xll.BDH(M$2&amp;$A10&amp;" ICPL curncy","PX_LAST",Pre_Date))+0</f>
        <v>104</v>
      </c>
      <c r="V10" s="11"/>
      <c r="W10">
        <v>-0.89000000000000057</v>
      </c>
      <c r="X10">
        <v>-1.230000000000004</v>
      </c>
      <c r="Y10">
        <v>-1.3400000000000034</v>
      </c>
      <c r="Z10">
        <v>-1.2999999999999972</v>
      </c>
      <c r="AA10">
        <v>-0.81999999999999318</v>
      </c>
      <c r="AB10">
        <v>4.0000000000006253E-2</v>
      </c>
      <c r="AC10">
        <v>1.0999999999999943</v>
      </c>
      <c r="AD10">
        <v>2.6200000000000045</v>
      </c>
      <c r="AE10">
        <v>2.9400000000000119</v>
      </c>
      <c r="AF10">
        <v>1.4500000000000028</v>
      </c>
      <c r="AG10">
        <v>0</v>
      </c>
      <c r="AH10">
        <v>0</v>
      </c>
    </row>
    <row r="11" spans="1:34" x14ac:dyDescent="0.25">
      <c r="A11">
        <v>12</v>
      </c>
      <c r="B11">
        <f ca="1">(_xll.BDH(B$2&amp;$A11&amp;" ICPL curncy","PX_LAST",Pre_Date))+-1.33999999999999</f>
        <v>72.260000000000005</v>
      </c>
      <c r="C11">
        <f ca="1">(_xll.BDH(C$2&amp;$A11&amp;" ICPL curncy","PX_LAST",Pre_Date))+-1.77</f>
        <v>71.430000000000007</v>
      </c>
      <c r="D11">
        <f ca="1">(_xll.BDH(D$2&amp;$A11&amp;" ICPL curncy","PX_LAST",Pre_Date))+-1.95999999999999</f>
        <v>70.540000000000006</v>
      </c>
      <c r="E11">
        <f ca="1">(_xll.BDH(E$2&amp;$A11&amp;" ICPL curncy","PX_LAST",Pre_Date))+-1.98999999999999</f>
        <v>69.61</v>
      </c>
      <c r="F11">
        <f ca="1">(_xll.BDH(F$2&amp;$A11&amp;" ICPL curncy","PX_LAST",Pre_Date))+-1.63</f>
        <v>67.77000000000001</v>
      </c>
      <c r="G11">
        <f ca="1">(_xll.BDH(G$2&amp;$A11&amp;" ICPL curncy","PX_LAST",Pre_Date))+-0.939999999999998</f>
        <v>66.16</v>
      </c>
      <c r="H11">
        <f ca="1">(_xll.BDH(H$2&amp;$A11&amp;" ICPL curncy","PX_LAST",Pre_Date))+-0.019999999999996</f>
        <v>65.58</v>
      </c>
      <c r="I11">
        <f ca="1">(_xll.BDH(I$2&amp;$A11&amp;" ICPL curncy","PX_LAST",Pre_Date))+1.22</f>
        <v>68.02</v>
      </c>
      <c r="J11">
        <f ca="1">(_xll.BDH(J$2&amp;$A11&amp;" ICPL curncy","PX_LAST",Pre_Date))+1.45999999999999</f>
        <v>73.86</v>
      </c>
      <c r="K11">
        <f ca="1">(_xll.BDH(K$2&amp;$A11&amp;" ICPL curncy","PX_LAST",Pre_Date))+0.340000000000003</f>
        <v>81.240000000000009</v>
      </c>
      <c r="L11">
        <f ca="1">(_xll.BDH(L$2&amp;$A11&amp;" ICPL curncy","PX_LAST",Pre_Date))+0</f>
        <v>90.9</v>
      </c>
      <c r="M11">
        <f ca="1">(_xll.BDH(M$2&amp;$A11&amp;" ICPL curncy","PX_LAST",Pre_Date))+0</f>
        <v>101.6</v>
      </c>
      <c r="V11" s="11"/>
      <c r="W11">
        <v>-1.3399999999999892</v>
      </c>
      <c r="X11">
        <v>-1.769999999999996</v>
      </c>
      <c r="Y11">
        <v>-1.9599999999999937</v>
      </c>
      <c r="Z11">
        <v>-1.9899999999999949</v>
      </c>
      <c r="AA11">
        <v>-1.6299999999999955</v>
      </c>
      <c r="AB11">
        <v>-0.93999999999999773</v>
      </c>
      <c r="AC11">
        <v>-1.9999999999996021E-2</v>
      </c>
      <c r="AD11">
        <v>1.2199999999999989</v>
      </c>
      <c r="AE11">
        <v>1.4599999999999937</v>
      </c>
      <c r="AF11">
        <v>0.34000000000000341</v>
      </c>
      <c r="AG11">
        <v>0</v>
      </c>
      <c r="AH11">
        <v>0</v>
      </c>
    </row>
    <row r="12" spans="1:34" x14ac:dyDescent="0.25">
      <c r="A12">
        <v>15</v>
      </c>
      <c r="B12">
        <f ca="1">(_xll.BDH(B$2&amp;$A12&amp;" ICPL curncy","PX_LAST",Pre_Date))+-0.689999999999998</f>
        <v>71.31</v>
      </c>
      <c r="C12">
        <f ca="1">(_xll.BDH(C$2&amp;$A12&amp;" ICPL curncy","PX_LAST",Pre_Date))+-1.14</f>
        <v>70.459999999999994</v>
      </c>
      <c r="D12">
        <f ca="1">(_xll.BDH(D$2&amp;$A12&amp;" ICPL curncy","PX_LAST",Pre_Date))+-1.44</f>
        <v>69.66</v>
      </c>
      <c r="E12">
        <f ca="1">(_xll.BDH(E$2&amp;$A12&amp;" ICPL curncy","PX_LAST",Pre_Date))+-1.58</f>
        <v>68.820000000000007</v>
      </c>
      <c r="F12">
        <f ca="1">(_xll.BDH(F$2&amp;$A12&amp;" ICPL curncy","PX_LAST",Pre_Date))+-1.48</f>
        <v>67.02</v>
      </c>
      <c r="G12">
        <f ca="1">(_xll.BDH(G$2&amp;$A12&amp;" ICPL curncy","PX_LAST",Pre_Date))+-0.909999999999997</f>
        <v>65.69</v>
      </c>
      <c r="H12">
        <f ca="1">(_xll.BDH(H$2&amp;$A12&amp;" ICPL curncy","PX_LAST",Pre_Date))+-0.160000000000011</f>
        <v>65.239999999999995</v>
      </c>
      <c r="I12">
        <f ca="1">(_xll.BDH(I$2&amp;$A12&amp;" ICPL curncy","PX_LAST",Pre_Date))+0.859999999999999</f>
        <v>67.260000000000005</v>
      </c>
      <c r="J12">
        <f ca="1">(_xll.BDH(J$2&amp;$A12&amp;" ICPL curncy","PX_LAST",Pre_Date))+1.06</f>
        <v>72.460000000000008</v>
      </c>
      <c r="K12">
        <f ca="1">(_xll.BDH(K$2&amp;$A12&amp;" ICPL curncy","PX_LAST",Pre_Date))+0.150000000000006</f>
        <v>79.550000000000011</v>
      </c>
      <c r="L12">
        <f ca="1">(_xll.BDH(L$2&amp;$A12&amp;" ICPL curncy","PX_LAST",Pre_Date))+0</f>
        <v>89.1</v>
      </c>
      <c r="M12">
        <f ca="1">(_xll.BDH(M$2&amp;$A12&amp;" ICPL curncy","PX_LAST",Pre_Date))+0</f>
        <v>99.4</v>
      </c>
      <c r="V12" s="11"/>
      <c r="W12">
        <v>-0.68999999999999773</v>
      </c>
      <c r="X12">
        <v>-1.1400000000000006</v>
      </c>
      <c r="Y12">
        <v>-1.4399999999999977</v>
      </c>
      <c r="Z12">
        <v>-1.5799999999999983</v>
      </c>
      <c r="AA12">
        <v>-1.480000000000004</v>
      </c>
      <c r="AB12">
        <v>-0.90999999999999659</v>
      </c>
      <c r="AC12">
        <v>-0.1600000000000108</v>
      </c>
      <c r="AD12">
        <v>0.85999999999999943</v>
      </c>
      <c r="AE12">
        <v>1.0600000000000023</v>
      </c>
      <c r="AF12">
        <v>0.15000000000000568</v>
      </c>
      <c r="AG12">
        <v>0</v>
      </c>
      <c r="AH12">
        <v>0</v>
      </c>
    </row>
    <row r="13" spans="1:34" x14ac:dyDescent="0.25">
      <c r="A13">
        <v>20</v>
      </c>
      <c r="B13">
        <f ca="1">(_xll.BDH(B$2&amp;$A13&amp;" ICPL curncy","PX_LAST",Pre_Date))+-1.03999999999999</f>
        <v>68.06</v>
      </c>
      <c r="C13">
        <f ca="1">(_xll.BDH(C$2&amp;$A13&amp;" ICPL curncy","PX_LAST",Pre_Date))+-1.44</f>
        <v>67.460000000000008</v>
      </c>
      <c r="D13">
        <f ca="1">(_xll.BDH(D$2&amp;$A13&amp;" ICPL curncy","PX_LAST",Pre_Date))+-1.8</f>
        <v>66.7</v>
      </c>
      <c r="E13">
        <f ca="1">(_xll.BDH(E$2&amp;$A13&amp;" ICPL curncy","PX_LAST",Pre_Date))+-1.92</f>
        <v>66.08</v>
      </c>
      <c r="F13">
        <f ca="1">(_xll.BDH(F$2&amp;$A13&amp;" ICPL curncy","PX_LAST",Pre_Date))+-1.78</f>
        <v>64.819999999999993</v>
      </c>
      <c r="G13">
        <f ca="1">(_xll.BDH(G$2&amp;$A13&amp;" ICPL curncy","PX_LAST",Pre_Date))+-1.19</f>
        <v>63.91</v>
      </c>
      <c r="H13">
        <f ca="1">(_xll.BDH(H$2&amp;$A13&amp;" ICPL curncy","PX_LAST",Pre_Date))+-0.450000000000003</f>
        <v>63.649999999999991</v>
      </c>
      <c r="I13">
        <f ca="1">(_xll.BDH(I$2&amp;$A13&amp;" ICPL curncy","PX_LAST",Pre_Date))+0.650000000000006</f>
        <v>65.550000000000011</v>
      </c>
      <c r="J13">
        <f ca="1">(_xll.BDH(J$2&amp;$A13&amp;" ICPL curncy","PX_LAST",Pre_Date))+1.50999999999999</f>
        <v>71.009999999999991</v>
      </c>
      <c r="K13">
        <f ca="1">(_xll.BDH(K$2&amp;$A13&amp;" ICPL curncy","PX_LAST",Pre_Date))+1.34999999999999</f>
        <v>78.55</v>
      </c>
      <c r="L13">
        <f ca="1">(_xll.BDH(L$2&amp;$A13&amp;" ICPL curncy","PX_LAST",Pre_Date))+0</f>
        <v>86.4</v>
      </c>
      <c r="M13">
        <f ca="1">(_xll.BDH(M$2&amp;$A13&amp;" ICPL curncy","PX_LAST",Pre_Date))+0</f>
        <v>96.4</v>
      </c>
      <c r="V13" s="11"/>
      <c r="W13">
        <v>-1.039999999999992</v>
      </c>
      <c r="X13">
        <v>-1.4399999999999977</v>
      </c>
      <c r="Y13">
        <v>-1.7999999999999972</v>
      </c>
      <c r="Z13">
        <v>-1.9200000000000017</v>
      </c>
      <c r="AA13">
        <v>-1.7800000000000011</v>
      </c>
      <c r="AB13">
        <v>-1.1899999999999977</v>
      </c>
      <c r="AC13">
        <v>-0.45000000000000284</v>
      </c>
      <c r="AD13">
        <v>0.65000000000000568</v>
      </c>
      <c r="AE13">
        <v>1.5099999999999909</v>
      </c>
      <c r="AF13">
        <v>1.3499999999999943</v>
      </c>
      <c r="AG13">
        <v>0</v>
      </c>
      <c r="AH13">
        <v>0</v>
      </c>
    </row>
    <row r="21" spans="1:33" x14ac:dyDescent="0.25">
      <c r="A21" t="s">
        <v>812</v>
      </c>
      <c r="B21" t="s">
        <v>796</v>
      </c>
      <c r="V21" s="11"/>
    </row>
    <row r="22" spans="1:33" x14ac:dyDescent="0.25">
      <c r="A22" s="2"/>
      <c r="B22" t="s">
        <v>813</v>
      </c>
      <c r="C22" t="s">
        <v>814</v>
      </c>
      <c r="D22" t="s">
        <v>815</v>
      </c>
      <c r="E22" t="s">
        <v>816</v>
      </c>
      <c r="F22" t="s">
        <v>817</v>
      </c>
      <c r="G22" t="s">
        <v>818</v>
      </c>
      <c r="H22" t="s">
        <v>819</v>
      </c>
      <c r="I22" t="s">
        <v>820</v>
      </c>
      <c r="J22" t="s">
        <v>821</v>
      </c>
      <c r="K22" t="s">
        <v>822</v>
      </c>
      <c r="L22" t="s">
        <v>823</v>
      </c>
      <c r="V22" s="11"/>
    </row>
    <row r="23" spans="1:33" x14ac:dyDescent="0.25">
      <c r="A23" t="s">
        <v>810</v>
      </c>
      <c r="B23" s="68">
        <v>-5.0000000000000001E-3</v>
      </c>
      <c r="C23" s="68">
        <v>-2.5000000000000001E-3</v>
      </c>
      <c r="D23" s="68">
        <v>-1.2999999999999999E-3</v>
      </c>
      <c r="E23" s="68">
        <v>0</v>
      </c>
      <c r="F23" s="68">
        <v>2.5000000000000001E-3</v>
      </c>
      <c r="G23" s="68">
        <v>5.0000000000000001E-3</v>
      </c>
      <c r="H23" s="68">
        <v>0.01</v>
      </c>
      <c r="I23" s="68">
        <v>1.4999999999999999E-2</v>
      </c>
      <c r="J23" s="68">
        <v>0.02</v>
      </c>
      <c r="K23" s="68">
        <v>0.03</v>
      </c>
      <c r="L23" s="68">
        <v>0.05</v>
      </c>
      <c r="M23" t="s">
        <v>811</v>
      </c>
      <c r="N23" t="s">
        <v>811</v>
      </c>
      <c r="O23" t="s">
        <v>811</v>
      </c>
      <c r="P23" t="s">
        <v>811</v>
      </c>
      <c r="Q23" t="s">
        <v>811</v>
      </c>
      <c r="R23" t="s">
        <v>811</v>
      </c>
      <c r="S23" t="s">
        <v>811</v>
      </c>
      <c r="T23" t="s">
        <v>811</v>
      </c>
      <c r="U23" t="s">
        <v>811</v>
      </c>
      <c r="V23" s="11" t="s">
        <v>811</v>
      </c>
    </row>
    <row r="24" spans="1:33" x14ac:dyDescent="0.25">
      <c r="A24">
        <v>1</v>
      </c>
      <c r="B24">
        <f ca="1">(_xll.BDH(B$22&amp;"0"&amp;$A24&amp;" ICPL Curncy","PX_LAST",Pre_Date))+1.15</f>
        <v>9.0500000000000007</v>
      </c>
      <c r="C24">
        <f ca="1">(_xll.BDH(C$22&amp;"0"&amp;$A24&amp;" ICPL Curncy","PX_LAST",Pre_Date))+0.860000000000001</f>
        <v>14.260000000000002</v>
      </c>
      <c r="D24">
        <f ca="1">(_xll.BDH(D$22&amp;"0"&amp;$A24&amp;" ICPL Curncy","PX_LAST",Pre_Date))+0.370000000000001</f>
        <v>18.970000000000002</v>
      </c>
      <c r="E24">
        <f ca="1">(_xll.BDH(E$22&amp;$A24&amp;" ICPL Curncy","PX_LAST",Pre_Date))+10</f>
        <v>33.4</v>
      </c>
      <c r="F24">
        <f ca="1">(_xll.BDH(F$22&amp;$A24&amp;" ICPL Curncy","PX_LAST",Pre_Date))+-0.199999999999999</f>
        <v>31.400000000000002</v>
      </c>
      <c r="G24">
        <f ca="1">(_xll.BDH(G$22&amp;$A24&amp;" ICPL Curncy","PX_LAST",Pre_Date))+-0.219999999999999</f>
        <v>38.78</v>
      </c>
      <c r="H24">
        <f ca="1">(_xll.BDH(H$22&amp;$A24&amp;" ICPL Curncy","PX_LAST",Pre_Date))+-0.0999999999999943</f>
        <v>52.400000000000006</v>
      </c>
      <c r="I24">
        <f ca="1">(_xll.BDH(I$22&amp;$A24&amp;" ICPL Curncy","PX_LAST",Pre_Date))+0.0200000000000031</f>
        <v>65.22</v>
      </c>
      <c r="J24">
        <f ca="1">(_xll.BDH(J$22&amp;$A24&amp;" ICPL Curncy","PX_LAST",Pre_Date))+-4.47999999999999</f>
        <v>75.920000000000016</v>
      </c>
      <c r="K24">
        <f ca="1">(_xll.BDH(K$22&amp;$A24&amp;" ICPL Curncy","PX_LAST",Pre_Date))+-14.53</f>
        <v>97.47</v>
      </c>
      <c r="L24">
        <f ca="1">(_xll.BDH(L$22&amp;$A24&amp;" ICPL Curncy","PX_LAST",Pre_Date))+-38.4</f>
        <v>139</v>
      </c>
      <c r="V24" s="11"/>
      <c r="W24">
        <v>1.1499999999999986</v>
      </c>
      <c r="X24">
        <v>0.86000000000000121</v>
      </c>
      <c r="Y24">
        <v>0.37000000000000099</v>
      </c>
      <c r="Z24">
        <v>-0.10999999999999943</v>
      </c>
      <c r="AA24">
        <v>-0.19999999999999929</v>
      </c>
      <c r="AB24">
        <v>-0.21999999999999886</v>
      </c>
      <c r="AC24">
        <v>-9.9999999999994316E-2</v>
      </c>
      <c r="AD24">
        <v>2.0000000000003126E-2</v>
      </c>
      <c r="AE24">
        <v>-4.4799999999999898</v>
      </c>
      <c r="AF24">
        <v>-14.530000000000001</v>
      </c>
      <c r="AG24">
        <v>-38.400000000000006</v>
      </c>
    </row>
    <row r="25" spans="1:33" x14ac:dyDescent="0.25">
      <c r="A25">
        <v>2</v>
      </c>
      <c r="B25">
        <f ca="1">(_xll.BDH(B$22&amp;"0"&amp;$A25&amp;" ICPL Curncy","PX_LAST",Pre_Date))+1.07</f>
        <v>14.17</v>
      </c>
      <c r="C25">
        <f ca="1">(_xll.BDH(C$22&amp;"0"&amp;$A25&amp;" ICPL Curncy","PX_LAST",Pre_Date))+0.579999999999998</f>
        <v>16.579999999999998</v>
      </c>
      <c r="D25">
        <f ca="1">(_xll.BDH(D$22&amp;"0"&amp;$A25&amp;" ICPL Curncy","PX_LAST",Pre_Date))+0.350000000000001</f>
        <v>20.350000000000001</v>
      </c>
      <c r="E25">
        <f ca="1">(_xll.BDH(E$22&amp;$A25&amp;" ICPL Curncy","PX_LAST",Pre_Date))+4</f>
        <v>27.6</v>
      </c>
      <c r="F25">
        <f ca="1">(_xll.BDH(F$22&amp;$A25&amp;" ICPL Curncy","PX_LAST",Pre_Date))+0.600000000000001</f>
        <v>30</v>
      </c>
      <c r="G25">
        <f ca="1">(_xll.BDH(G$22&amp;$A25&amp;" ICPL Curncy","PX_LAST",Pre_Date))+1.2</f>
        <v>35.800000000000004</v>
      </c>
      <c r="H25">
        <f ca="1">(_xll.BDH(H$22&amp;$A25&amp;" ICPL Curncy","PX_LAST",Pre_Date))+2.54</f>
        <v>46.54</v>
      </c>
      <c r="I25">
        <f ca="1">(_xll.BDH(I$22&amp;$A25&amp;" ICPL Curncy","PX_LAST",Pre_Date))+4.01</f>
        <v>56.809999999999995</v>
      </c>
      <c r="J25">
        <f ca="1">(_xll.BDH(J$22&amp;$A25&amp;" ICPL Curncy","PX_LAST",Pre_Date))+5.34</f>
        <v>66.540000000000006</v>
      </c>
      <c r="K25">
        <f ca="1">(_xll.BDH(K$22&amp;$A25&amp;" ICPL Curncy","PX_LAST",Pre_Date))+6.58</f>
        <v>84.88</v>
      </c>
      <c r="L25">
        <f ca="1">(_xll.BDH(L$22&amp;$A25&amp;" ICPL Curncy","PX_LAST",Pre_Date))+-2.42999999999999</f>
        <v>117.37</v>
      </c>
      <c r="V25" s="11"/>
      <c r="W25">
        <v>1.0700000000000003</v>
      </c>
      <c r="X25">
        <v>0.57999999999999829</v>
      </c>
      <c r="Y25">
        <v>0.35000000000000142</v>
      </c>
      <c r="Z25">
        <v>0.25999999999999801</v>
      </c>
      <c r="AA25">
        <v>0.60000000000000142</v>
      </c>
      <c r="AB25">
        <v>1.2000000000000028</v>
      </c>
      <c r="AC25">
        <v>2.5399999999999991</v>
      </c>
      <c r="AD25">
        <v>4.009999999999998</v>
      </c>
      <c r="AE25">
        <v>5.3399999999999963</v>
      </c>
      <c r="AF25">
        <v>6.5799999999999983</v>
      </c>
      <c r="AG25">
        <v>-2.4299999999999926</v>
      </c>
    </row>
    <row r="26" spans="1:33" x14ac:dyDescent="0.25">
      <c r="A26">
        <v>3</v>
      </c>
      <c r="B26">
        <f ca="1">(_xll.BDH(B$22&amp;"0"&amp;$A26&amp;" ICPL Curncy","PX_LAST",Pre_Date))+-0.32</f>
        <v>20.079999999999998</v>
      </c>
      <c r="C26">
        <f ca="1">(_xll.BDH(C$22&amp;"0"&amp;$A26&amp;" ICPL Curncy","PX_LAST",Pre_Date))+-0.43</f>
        <v>19.170000000000002</v>
      </c>
      <c r="D26">
        <f ca="1">(_xll.BDH(D$22&amp;"0"&amp;$A26&amp;" ICPL Curncy","PX_LAST",Pre_Date))+-0.52</f>
        <v>22.18</v>
      </c>
      <c r="E26">
        <f ca="1">(_xll.BDH(E$22&amp;$A26&amp;" ICPL Curncy","PX_LAST",Pre_Date))</f>
        <v>25.9</v>
      </c>
      <c r="F26">
        <f ca="1">(_xll.BDH(F$22&amp;$A26&amp;" ICPL Curncy","PX_LAST",Pre_Date))+-0.0700000000000003</f>
        <v>30.73</v>
      </c>
      <c r="G26">
        <f ca="1">(_xll.BDH(G$22&amp;$A26&amp;" ICPL Curncy","PX_LAST",Pre_Date))+0.590000000000003</f>
        <v>35.39</v>
      </c>
      <c r="H26">
        <f ca="1">(_xll.BDH(H$22&amp;$A26&amp;" ICPL Curncy","PX_LAST",Pre_Date))+2.18</f>
        <v>43.98</v>
      </c>
      <c r="I26">
        <f ca="1">(_xll.BDH(I$22&amp;$A26&amp;" ICPL Curncy","PX_LAST",Pre_Date))+3.8</f>
        <v>52</v>
      </c>
      <c r="J26">
        <f ca="1">(_xll.BDH(J$22&amp;$A26&amp;" ICPL Curncy","PX_LAST",Pre_Date))+5.5</f>
        <v>60</v>
      </c>
      <c r="K26">
        <f ca="1">(_xll.BDH(K$22&amp;$A26&amp;" ICPL Curncy","PX_LAST",Pre_Date))+8.52000000000001</f>
        <v>75.12</v>
      </c>
      <c r="L26">
        <f ca="1">(_xll.BDH(L$22&amp;$A26&amp;" ICPL Curncy","PX_LAST",Pre_Date))+9.23</f>
        <v>105.43</v>
      </c>
      <c r="V26" s="11"/>
      <c r="W26">
        <v>-0.32000000000000028</v>
      </c>
      <c r="X26">
        <v>-0.42999999999999972</v>
      </c>
      <c r="Y26">
        <v>-0.51999999999999957</v>
      </c>
      <c r="Z26">
        <v>-0.60000000000000142</v>
      </c>
      <c r="AA26">
        <v>-7.0000000000000284E-2</v>
      </c>
      <c r="AB26">
        <v>0.59000000000000341</v>
      </c>
      <c r="AC26">
        <v>2.1799999999999997</v>
      </c>
      <c r="AD26">
        <v>3.7999999999999972</v>
      </c>
      <c r="AE26">
        <v>5.5</v>
      </c>
      <c r="AF26">
        <v>8.5200000000000102</v>
      </c>
      <c r="AG26">
        <v>9.230000000000004</v>
      </c>
    </row>
    <row r="27" spans="1:33" x14ac:dyDescent="0.25">
      <c r="A27">
        <v>4</v>
      </c>
      <c r="B27">
        <f ca="1">(_xll.BDH(B$22&amp;"0"&amp;$A27&amp;" ICPL Curncy","PX_LAST",Pre_Date))+-0.66</f>
        <v>25.04</v>
      </c>
      <c r="C27">
        <f ca="1">(_xll.BDH(C$22&amp;"0"&amp;$A27&amp;" ICPL Curncy","PX_LAST",Pre_Date))+-0.440000000000001</f>
        <v>23.959999999999997</v>
      </c>
      <c r="D27">
        <f ca="1">(_xll.BDH(D$22&amp;"0"&amp;$A27&amp;" ICPL Curncy","PX_LAST",Pre_Date))+-0.420000000000002</f>
        <v>26.38</v>
      </c>
      <c r="E27">
        <f ca="1">(_xll.BDH(E$22&amp;$A27&amp;" ICPL Curncy","PX_LAST",Pre_Date))+-0.419999999999998</f>
        <v>29.080000000000002</v>
      </c>
      <c r="F27">
        <f ca="1">(_xll.BDH(F$22&amp;$A27&amp;" ICPL Curncy","PX_LAST",Pre_Date))+0.0200000000000031</f>
        <v>33.92</v>
      </c>
      <c r="G27">
        <f ca="1">(_xll.BDH(G$22&amp;$A27&amp;" ICPL Curncy","PX_LAST",Pre_Date))+0.600000000000001</f>
        <v>38.200000000000003</v>
      </c>
      <c r="H27">
        <f ca="1">(_xll.BDH(H$22&amp;$A27&amp;" ICPL Curncy","PX_LAST",Pre_Date))+1.74</f>
        <v>45.74</v>
      </c>
      <c r="I27">
        <f ca="1">(_xll.BDH(I$22&amp;$A27&amp;" ICPL Curncy","PX_LAST",Pre_Date))+2.8</f>
        <v>52.9</v>
      </c>
      <c r="J27">
        <f ca="1">(_xll.BDH(J$22&amp;$A27&amp;" ICPL Curncy","PX_LAST",Pre_Date))+3.75</f>
        <v>59.65</v>
      </c>
      <c r="K27">
        <f ca="1">(_xll.BDH(K$22&amp;$A27&amp;" ICPL Curncy","PX_LAST",Pre_Date))+5.43000000000001</f>
        <v>72.53</v>
      </c>
      <c r="L27">
        <f ca="1">(_xll.BDH(L$22&amp;$A27&amp;" ICPL Curncy","PX_LAST",Pre_Date))+8.45999999999999</f>
        <v>97.16</v>
      </c>
      <c r="V27" s="11"/>
      <c r="W27">
        <v>-0.66000000000000014</v>
      </c>
      <c r="X27">
        <v>-0.44000000000000128</v>
      </c>
      <c r="Y27">
        <v>-0.42000000000000171</v>
      </c>
      <c r="Z27">
        <v>-0.41999999999999815</v>
      </c>
      <c r="AA27">
        <v>2.0000000000003126E-2</v>
      </c>
      <c r="AB27">
        <v>0.60000000000000142</v>
      </c>
      <c r="AC27">
        <v>1.740000000000002</v>
      </c>
      <c r="AD27">
        <v>2.7999999999999972</v>
      </c>
      <c r="AE27">
        <v>3.75</v>
      </c>
      <c r="AF27">
        <v>5.4300000000000068</v>
      </c>
      <c r="AG27">
        <v>8.4599999999999937</v>
      </c>
    </row>
    <row r="28" spans="1:33" x14ac:dyDescent="0.25">
      <c r="A28">
        <v>5</v>
      </c>
      <c r="B28">
        <f ca="1">(_xll.BDH(B$22&amp;"0"&amp;$A28&amp;" ICPL Curncy","PX_LAST",Pre_Date))+-0.649999999999999</f>
        <v>28.85</v>
      </c>
      <c r="C28">
        <f ca="1">(_xll.BDH(C$22&amp;"0"&amp;$A28&amp;" ICPL Curncy","PX_LAST",Pre_Date))+-0.340000000000003</f>
        <v>27.859999999999996</v>
      </c>
      <c r="D28">
        <f ca="1">(_xll.BDH(D$22&amp;"0"&amp;$A28&amp;" ICPL Curncy","PX_LAST",Pre_Date))+-0.200000000000003</f>
        <v>29.999999999999996</v>
      </c>
      <c r="E28">
        <f ca="1">(_xll.BDH(E$22&amp;$A28&amp;" ICPL Curncy","PX_LAST",Pre_Date))+-0.170000000000002</f>
        <v>32.43</v>
      </c>
      <c r="F28">
        <f ca="1">(_xll.BDH(F$22&amp;$A28&amp;" ICPL Curncy","PX_LAST",Pre_Date))+0.369999999999997</f>
        <v>37.07</v>
      </c>
      <c r="G28">
        <f ca="1">(_xll.BDH(G$22&amp;$A28&amp;" ICPL Curncy","PX_LAST",Pre_Date))+0.839999999999996</f>
        <v>40.94</v>
      </c>
      <c r="H28">
        <f ca="1">(_xll.BDH(H$22&amp;$A28&amp;" ICPL Curncy","PX_LAST",Pre_Date))+1.66</f>
        <v>48.059999999999995</v>
      </c>
      <c r="I28">
        <f ca="1">(_xll.BDH(I$22&amp;$A28&amp;" ICPL Curncy","PX_LAST",Pre_Date))+2.18</f>
        <v>54.48</v>
      </c>
      <c r="J28">
        <f ca="1">(_xll.BDH(J$22&amp;$A28&amp;" ICPL Curncy","PX_LAST",Pre_Date))+2.5</f>
        <v>60.6</v>
      </c>
      <c r="K28">
        <f ca="1">(_xll.BDH(K$22&amp;$A28&amp;" ICPL Curncy","PX_LAST",Pre_Date))+2.78</f>
        <v>71.98</v>
      </c>
      <c r="L28">
        <f ca="1">(_xll.BDH(L$22&amp;$A28&amp;" ICPL Curncy","PX_LAST",Pre_Date))+2.62</f>
        <v>93.02000000000001</v>
      </c>
      <c r="V28" s="11"/>
      <c r="W28">
        <v>-0.64999999999999858</v>
      </c>
      <c r="X28">
        <v>-0.34000000000000341</v>
      </c>
      <c r="Y28">
        <v>-0.20000000000000284</v>
      </c>
      <c r="Z28">
        <v>-0.17000000000000171</v>
      </c>
      <c r="AA28">
        <v>0.36999999999999744</v>
      </c>
      <c r="AB28">
        <v>0.83999999999999631</v>
      </c>
      <c r="AC28">
        <v>1.6600000000000037</v>
      </c>
      <c r="AD28">
        <v>2.1799999999999997</v>
      </c>
      <c r="AE28">
        <v>2.5</v>
      </c>
      <c r="AF28">
        <v>2.7800000000000011</v>
      </c>
      <c r="AG28">
        <v>2.6200000000000045</v>
      </c>
    </row>
    <row r="29" spans="1:33" x14ac:dyDescent="0.25">
      <c r="A29">
        <v>7</v>
      </c>
      <c r="B29">
        <f ca="1">(_xll.BDH(B$22&amp;"0"&amp;$A29&amp;" ICPL Curncy","PX_LAST",Pre_Date))+-0.600000000000001</f>
        <v>34.1</v>
      </c>
      <c r="C29">
        <f ca="1">(_xll.BDH(C$22&amp;"0"&amp;$A29&amp;" ICPL Curncy","PX_LAST",Pre_Date))+-0.25</f>
        <v>33.549999999999997</v>
      </c>
      <c r="D29">
        <f ca="1">(_xll.BDH(D$22&amp;"0"&amp;$A29&amp;" ICPL Curncy","PX_LAST",Pre_Date))+0.5</f>
        <v>35.700000000000003</v>
      </c>
      <c r="E29">
        <f ca="1">(_xll.BDH(E$22&amp;$A29&amp;" ICPL Curncy","PX_LAST",Pre_Date))</f>
        <v>37.200000000000003</v>
      </c>
      <c r="F29">
        <f ca="1">(_xll.BDH(F$22&amp;$A29&amp;" ICPL Curncy","PX_LAST",Pre_Date))+0.32</f>
        <v>41.02</v>
      </c>
      <c r="G29">
        <f ca="1">(_xll.BDH(G$22&amp;$A29&amp;" ICPL Curncy","PX_LAST",Pre_Date))+0.719999999999999</f>
        <v>44.519999999999996</v>
      </c>
      <c r="H29">
        <f ca="1">(_xll.BDH(H$22&amp;$A29&amp;" ICPL Curncy","PX_LAST",Pre_Date))+1.11</f>
        <v>50.51</v>
      </c>
      <c r="I29">
        <f ca="1">(_xll.BDH(I$22&amp;$A29&amp;" ICPL Curncy","PX_LAST",Pre_Date))+1.26</f>
        <v>55.96</v>
      </c>
      <c r="J29">
        <f ca="1">(_xll.BDH(J$22&amp;$A29&amp;" ICPL Curncy","PX_LAST",Pre_Date))+1.23999999999999</f>
        <v>61.139999999999986</v>
      </c>
      <c r="K29">
        <f ca="1">(_xll.BDH(K$22&amp;$A29&amp;" ICPL Curncy","PX_LAST",Pre_Date))+1.10000000000001</f>
        <v>71.000000000000014</v>
      </c>
      <c r="L29">
        <f ca="1">(_xll.BDH(L$22&amp;$A29&amp;" ICPL Curncy","PX_LAST",Pre_Date))+0.640000000000001</f>
        <v>89.64</v>
      </c>
      <c r="V29" s="11"/>
      <c r="W29">
        <v>-0.60000000000000142</v>
      </c>
      <c r="X29">
        <v>-0.25</v>
      </c>
      <c r="Y29">
        <v>0.5</v>
      </c>
      <c r="Z29">
        <v>-7.0000000000000284E-2</v>
      </c>
      <c r="AA29">
        <v>0.32000000000000028</v>
      </c>
      <c r="AB29">
        <v>0.71999999999999886</v>
      </c>
      <c r="AC29">
        <v>1.1099999999999994</v>
      </c>
      <c r="AD29">
        <v>1.259999999999998</v>
      </c>
      <c r="AE29">
        <v>1.2399999999999949</v>
      </c>
      <c r="AF29">
        <v>1.1000000000000085</v>
      </c>
      <c r="AG29">
        <v>0.64000000000000057</v>
      </c>
    </row>
    <row r="30" spans="1:33" x14ac:dyDescent="0.25">
      <c r="A30">
        <v>10</v>
      </c>
      <c r="B30">
        <f ca="1">(_xll.BDH(B$22&amp;$A30&amp;" ICPL Curncy","PX_LAST",Pre_Date))+-0.530000000000001</f>
        <v>39.17</v>
      </c>
      <c r="C30">
        <f ca="1">(_xll.BDH(C$22&amp;$A30&amp;" ICPL Curncy","PX_LAST",Pre_Date))+-0.0200000000000031</f>
        <v>38.979999999999997</v>
      </c>
      <c r="D30">
        <f ca="1">(_xll.BDH(D$22&amp;$A30&amp;" ICPL Curncy","PX_LAST",Pre_Date))+0.109999999999999</f>
        <v>40.11</v>
      </c>
      <c r="E30">
        <f ca="1">(_xll.BDH(E$22&amp;$A30&amp;" ICPL Curncy","PX_LAST",Pre_Date))</f>
        <v>41.5</v>
      </c>
      <c r="F30">
        <f ca="1">(_xll.BDH(F$22&amp;$A30&amp;" ICPL Curncy","PX_LAST",Pre_Date))+0.619999999999997</f>
        <v>44.82</v>
      </c>
      <c r="G30">
        <f ca="1">(_xll.BDH(G$22&amp;$A30&amp;" ICPL Curncy","PX_LAST",Pre_Date))+0.950000000000003</f>
        <v>47.650000000000006</v>
      </c>
      <c r="H30">
        <f ca="1">(_xll.BDH(H$22&amp;$A30&amp;" ICPL Curncy","PX_LAST",Pre_Date))+1.22</f>
        <v>52.32</v>
      </c>
      <c r="I30">
        <f ca="1">(_xll.BDH(I$22&amp;$A30&amp;" ICPL Curncy","PX_LAST",Pre_Date))+1.26000000000001</f>
        <v>56.460000000000015</v>
      </c>
      <c r="J30">
        <f ca="1">(_xll.BDH(J$22&amp;$A30&amp;" ICPL Curncy","PX_LAST",Pre_Date))+1.11</f>
        <v>60.21</v>
      </c>
      <c r="K30">
        <f ca="1">(_xll.BDH(K$22&amp;$A30&amp;" ICPL Curncy","PX_LAST",Pre_Date))+0.239999999999995</f>
        <v>67.039999999999992</v>
      </c>
      <c r="L30">
        <f ca="1">(_xll.BDH(L$22&amp;$A30&amp;" ICPL Curncy","PX_LAST",Pre_Date))+-2.00999999999999</f>
        <v>79.990000000000009</v>
      </c>
      <c r="V30" s="11"/>
      <c r="W30">
        <v>-0.53000000000000114</v>
      </c>
      <c r="X30">
        <v>-2.0000000000003126E-2</v>
      </c>
      <c r="Y30">
        <v>0.10999999999999943</v>
      </c>
      <c r="Z30">
        <v>0.24000000000000199</v>
      </c>
      <c r="AA30">
        <v>0.61999999999999744</v>
      </c>
      <c r="AB30">
        <v>0.95000000000000284</v>
      </c>
      <c r="AC30">
        <v>1.2199999999999989</v>
      </c>
      <c r="AD30">
        <v>1.2600000000000051</v>
      </c>
      <c r="AE30">
        <v>1.1099999999999994</v>
      </c>
      <c r="AF30">
        <v>0.23999999999999488</v>
      </c>
      <c r="AG30">
        <v>-2.0099999999999909</v>
      </c>
    </row>
    <row r="31" spans="1:33" x14ac:dyDescent="0.25">
      <c r="A31">
        <v>12</v>
      </c>
      <c r="B31">
        <f ca="1">(_xll.BDH(B$22&amp;$A31&amp;" ICPL Curncy","PX_LAST",Pre_Date))+-0.469999999999999</f>
        <v>41.53</v>
      </c>
      <c r="C31">
        <f ca="1">(_xll.BDH(C$22&amp;$A31&amp;" ICPL Curncy","PX_LAST",Pre_Date))+-0.229999999999997</f>
        <v>41.17</v>
      </c>
      <c r="D31">
        <f ca="1">(_xll.BDH(D$22&amp;$A31&amp;" ICPL Curncy","PX_LAST",Pre_Date))+-0.109999999999999</f>
        <v>42.19</v>
      </c>
      <c r="E31">
        <f ca="1">(_xll.BDH(E$22&amp;$A31&amp;" ICPL Curncy","PX_LAST",Pre_Date))+0.0200000000000031</f>
        <v>43.52</v>
      </c>
      <c r="F31">
        <f ca="1">(_xll.BDH(F$22&amp;$A31&amp;" ICPL Curncy","PX_LAST",Pre_Date))+0.210000000000001</f>
        <v>46.11</v>
      </c>
      <c r="G31">
        <f ca="1">(_xll.BDH(G$22&amp;$A31&amp;" ICPL Curncy","PX_LAST",Pre_Date))+0.300000000000004</f>
        <v>48.400000000000006</v>
      </c>
      <c r="H31">
        <f ca="1">(_xll.BDH(H$22&amp;$A31&amp;" ICPL Curncy","PX_LAST",Pre_Date))+0.329999999999998</f>
        <v>52.33</v>
      </c>
      <c r="I31">
        <f ca="1">(_xll.BDH(I$22&amp;$A31&amp;" ICPL Curncy","PX_LAST",Pre_Date))+0.149999999999999</f>
        <v>55.75</v>
      </c>
      <c r="J31">
        <f ca="1">(_xll.BDH(J$22&amp;$A31&amp;" ICPL Curncy","PX_LAST",Pre_Date))+-0.140000000000001</f>
        <v>58.76</v>
      </c>
      <c r="K31">
        <f ca="1">(_xll.BDH(K$22&amp;$A31&amp;" ICPL Curncy","PX_LAST",Pre_Date))+-0.679999999999993</f>
        <v>64.92</v>
      </c>
      <c r="L31">
        <f ca="1">(_xll.BDH(L$22&amp;$A31&amp;" ICPL Curncy","PX_LAST",Pre_Date))+-0.879999999999995</f>
        <v>77.92</v>
      </c>
      <c r="V31" s="11"/>
      <c r="W31">
        <v>-0.46999999999999886</v>
      </c>
      <c r="X31">
        <v>-0.22999999999999687</v>
      </c>
      <c r="Y31">
        <v>-0.10999999999999943</v>
      </c>
      <c r="Z31">
        <v>2.0000000000003126E-2</v>
      </c>
      <c r="AA31">
        <v>0.21000000000000085</v>
      </c>
      <c r="AB31">
        <v>0.30000000000000426</v>
      </c>
      <c r="AC31">
        <v>0.32999999999999829</v>
      </c>
      <c r="AD31">
        <v>0.14999999999999858</v>
      </c>
      <c r="AE31">
        <v>-0.14000000000000057</v>
      </c>
      <c r="AF31">
        <v>-0.67999999999999261</v>
      </c>
      <c r="AG31">
        <v>-0.87999999999999545</v>
      </c>
    </row>
    <row r="32" spans="1:33" x14ac:dyDescent="0.25">
      <c r="A32">
        <v>15</v>
      </c>
      <c r="B32">
        <f ca="1">(_xll.BDH(B$22&amp;$A32&amp;" ICPL Curncy","PX_LAST",Pre_Date))+-0.399999999999999</f>
        <v>43.6</v>
      </c>
      <c r="C32">
        <f ca="1">(_xll.BDH(C$22&amp;$A32&amp;" ICPL Curncy","PX_LAST",Pre_Date))+-0.0300000000000011</f>
        <v>43.57</v>
      </c>
      <c r="D32">
        <f ca="1">(_xll.BDH(D$22&amp;$A32&amp;" ICPL Curncy","PX_LAST",Pre_Date))+0.0799999999999983</f>
        <v>44.379999999999995</v>
      </c>
      <c r="E32">
        <f ca="1">(_xll.BDH(E$22&amp;$A32&amp;" ICPL Curncy","PX_LAST",Pre_Date))+0.0899999999999963</f>
        <v>45.389999999999993</v>
      </c>
      <c r="F32">
        <f ca="1">(_xll.BDH(F$22&amp;$A32&amp;" ICPL Curncy","PX_LAST",Pre_Date))+0.300000000000004</f>
        <v>47.6</v>
      </c>
      <c r="G32">
        <f ca="1">(_xll.BDH(G$22&amp;$A32&amp;" ICPL Curncy","PX_LAST",Pre_Date))+0.479999999999997</f>
        <v>49.58</v>
      </c>
      <c r="H32">
        <f ca="1">(_xll.BDH(H$22&amp;$A32&amp;" ICPL Curncy","PX_LAST",Pre_Date))+0.5</f>
        <v>52.9</v>
      </c>
      <c r="I32">
        <f ca="1">(_xll.BDH(I$22&amp;$A32&amp;" ICPL Curncy","PX_LAST",Pre_Date))+0.280000000000001</f>
        <v>55.68</v>
      </c>
      <c r="J32">
        <f ca="1">(_xll.BDH(J$22&amp;$A32&amp;" ICPL Curncy","PX_LAST",Pre_Date))+-0.0600000000000023</f>
        <v>58.14</v>
      </c>
      <c r="K32">
        <f ca="1">(_xll.BDH(K$22&amp;$A32&amp;" ICPL Curncy","PX_LAST",Pre_Date))+-1</f>
        <v>62.8</v>
      </c>
      <c r="L32">
        <f ca="1">(_xll.BDH(L$22&amp;$A32&amp;" ICPL Curncy","PX_LAST",Pre_Date))+-2.93000000000001</f>
        <v>72.069999999999993</v>
      </c>
      <c r="V32" s="11"/>
      <c r="W32">
        <v>-0.39999999999999858</v>
      </c>
      <c r="X32">
        <v>-3.0000000000001137E-2</v>
      </c>
      <c r="Y32">
        <v>7.9999999999998295E-2</v>
      </c>
      <c r="Z32">
        <v>8.9999999999996305E-2</v>
      </c>
      <c r="AA32">
        <v>0.30000000000000426</v>
      </c>
      <c r="AB32">
        <v>0.47999999999999687</v>
      </c>
      <c r="AC32">
        <v>0.5</v>
      </c>
      <c r="AD32">
        <v>0.28000000000000114</v>
      </c>
      <c r="AE32">
        <v>-6.0000000000002274E-2</v>
      </c>
      <c r="AF32">
        <v>-1</v>
      </c>
      <c r="AG32">
        <v>-2.9300000000000068</v>
      </c>
    </row>
    <row r="33" spans="1:33" x14ac:dyDescent="0.25">
      <c r="A33">
        <v>20</v>
      </c>
      <c r="B33">
        <f ca="1">(_xll.BDH(B$22&amp;$A33&amp;" ICPL Curncy","PX_LAST",Pre_Date))+-0.600000000000001</f>
        <v>44.8</v>
      </c>
      <c r="C33">
        <f ca="1">(_xll.BDH(C$22&amp;$A33&amp;" ICPL Curncy","PX_LAST",Pre_Date))+-0.0700000000000003</f>
        <v>45.13</v>
      </c>
      <c r="D33">
        <f ca="1">(_xll.BDH(D$22&amp;$A33&amp;" ICPL Curncy","PX_LAST",Pre_Date))+0.0600000000000023</f>
        <v>45.760000000000005</v>
      </c>
      <c r="E33">
        <f ca="1">(_xll.BDH(E$22&amp;$A33&amp;" ICPL Curncy","PX_LAST",Pre_Date))+0.150000000000006</f>
        <v>46.650000000000006</v>
      </c>
      <c r="F33">
        <f ca="1">(_xll.BDH(F$22&amp;$A33&amp;" ICPL Curncy","PX_LAST",Pre_Date))+0.410000000000004</f>
        <v>48.410000000000004</v>
      </c>
      <c r="G33">
        <f ca="1">(_xll.BDH(G$22&amp;$A33&amp;" ICPL Curncy","PX_LAST",Pre_Date))+0.600000000000001</f>
        <v>50</v>
      </c>
      <c r="H33">
        <f ca="1">(_xll.BDH(H$22&amp;$A33&amp;" ICPL Curncy","PX_LAST",Pre_Date))+0.759999999999998</f>
        <v>52.86</v>
      </c>
      <c r="I33">
        <f ca="1">(_xll.BDH(I$22&amp;$A33&amp;" ICPL Curncy","PX_LAST",Pre_Date))+0.75</f>
        <v>55.25</v>
      </c>
      <c r="J33">
        <f ca="1">(_xll.BDH(J$22&amp;$A33&amp;" ICPL Curncy","PX_LAST",Pre_Date))+0.609999999999999</f>
        <v>57.51</v>
      </c>
      <c r="K33">
        <f ca="1">(_xll.BDH(K$22&amp;$A33&amp;" ICPL Curncy","PX_LAST",Pre_Date))+0.0999999999999943</f>
        <v>61.699999999999996</v>
      </c>
      <c r="L33">
        <f ca="1">(_xll.BDH(L$22&amp;$A33&amp;" ICPL Curncy","PX_LAST",Pre_Date))+-0.799999999999997</f>
        <v>70.3</v>
      </c>
      <c r="V33" s="11"/>
      <c r="W33">
        <v>-0.60000000000000142</v>
      </c>
      <c r="X33">
        <v>-7.0000000000000284E-2</v>
      </c>
      <c r="Y33">
        <v>6.0000000000002274E-2</v>
      </c>
      <c r="Z33">
        <v>0.15000000000000568</v>
      </c>
      <c r="AA33">
        <v>0.41000000000000369</v>
      </c>
      <c r="AB33">
        <v>0.60000000000000142</v>
      </c>
      <c r="AC33">
        <v>0.75999999999999801</v>
      </c>
      <c r="AD33">
        <v>0.75</v>
      </c>
      <c r="AE33">
        <v>0.60999999999999943</v>
      </c>
      <c r="AF33">
        <v>9.9999999999994316E-2</v>
      </c>
      <c r="AG33">
        <v>-0.79999999999999716</v>
      </c>
    </row>
    <row r="41" spans="1:33" x14ac:dyDescent="0.25">
      <c r="A41" t="s">
        <v>824</v>
      </c>
      <c r="B41" t="s">
        <v>825</v>
      </c>
      <c r="C41" t="s">
        <v>826</v>
      </c>
      <c r="U41" s="11"/>
      <c r="V41" s="11"/>
    </row>
    <row r="42" spans="1:33" x14ac:dyDescent="0.25">
      <c r="A42" s="2"/>
      <c r="C42" t="s">
        <v>826</v>
      </c>
      <c r="U42" s="11"/>
      <c r="V42" s="11"/>
    </row>
    <row r="43" spans="1:33" x14ac:dyDescent="0.25">
      <c r="A43" t="s">
        <v>827</v>
      </c>
      <c r="B43" s="69">
        <v>1</v>
      </c>
      <c r="C43" s="69">
        <v>2</v>
      </c>
      <c r="D43" s="69">
        <v>3</v>
      </c>
      <c r="E43" s="69">
        <v>4</v>
      </c>
      <c r="F43" s="69">
        <v>5</v>
      </c>
      <c r="G43" s="69">
        <v>6</v>
      </c>
      <c r="H43" s="69">
        <v>7</v>
      </c>
      <c r="I43" s="69">
        <v>8</v>
      </c>
      <c r="J43" s="69">
        <v>9</v>
      </c>
      <c r="K43" s="69">
        <v>10</v>
      </c>
      <c r="L43" s="69">
        <v>15</v>
      </c>
      <c r="M43" s="69">
        <v>20</v>
      </c>
      <c r="N43" s="69">
        <v>25</v>
      </c>
      <c r="O43" s="69">
        <v>30</v>
      </c>
      <c r="P43" s="70" t="s">
        <v>811</v>
      </c>
      <c r="Q43" s="70" t="s">
        <v>811</v>
      </c>
      <c r="R43" s="70" t="s">
        <v>811</v>
      </c>
      <c r="S43" s="70" t="s">
        <v>811</v>
      </c>
      <c r="T43" s="70" t="s">
        <v>811</v>
      </c>
      <c r="U43" s="11" t="s">
        <v>811</v>
      </c>
    </row>
    <row r="44" spans="1:33" x14ac:dyDescent="0.25">
      <c r="A44" s="2">
        <f ca="1">EDATE(Pre_Date,1)</f>
        <v>43581</v>
      </c>
      <c r="B44">
        <f ca="1">_xll.BDH($C$42&amp;"0A"&amp;B$43&amp;" CMPN Curncy","PX_LAST",Pre_Date)</f>
        <v>30.128599999999999</v>
      </c>
      <c r="C44">
        <f ca="1">_xll.BDH($C$42&amp;"0A"&amp;C$43&amp;" CMPN Curncy","PX_LAST",Pre_Date)</f>
        <v>51.185000000000002</v>
      </c>
      <c r="D44">
        <f ca="1">_xll.BDH($C$42&amp;"0A"&amp;D$43&amp;" CMPN Curncy","PX_LAST",Pre_Date)</f>
        <v>54.076000000000001</v>
      </c>
      <c r="E44">
        <f ca="1">_xll.BDH($C$42&amp;"0A"&amp;E$43&amp;" CMPN Curncy","PX_LAST",Pre_Date)</f>
        <v>56.923900000000003</v>
      </c>
      <c r="F44">
        <f ca="1">_xll.BDH($C$42&amp;"0A"&amp;F$43&amp;" CMPN Curncy","PX_LAST",Pre_Date)</f>
        <v>60.914999999999999</v>
      </c>
      <c r="G44">
        <f ca="1">_xll.BDH($C$42&amp;"0A"&amp;G$43&amp;" CMPN Curncy","PX_LAST",Pre_Date)</f>
        <v>58.37</v>
      </c>
      <c r="H44">
        <f ca="1">_xll.BDH($C$42&amp;"0A"&amp;H$43&amp;" CMPN Curncy","PX_LAST",Pre_Date)</f>
        <v>57.974899999999998</v>
      </c>
      <c r="I44">
        <f ca="1">_xll.BDH($C$42&amp;"0A"&amp;I$43&amp;" CMPN Curncy","PX_LAST",Pre_Date)</f>
        <v>58.42</v>
      </c>
      <c r="J44">
        <f ca="1">_xll.BDH($C$42&amp;"0A"&amp;J$43&amp;" CMPN Curncy","PX_LAST",Pre_Date)</f>
        <v>58.08</v>
      </c>
      <c r="K44">
        <f ca="1">_xll.BDH($C$42&amp;"0A"&amp;K$43&amp;" CMPN Curncy","PX_LAST",Pre_Date)</f>
        <v>58.835000000000001</v>
      </c>
      <c r="L44">
        <f ca="1">_xll.BDH($C$42&amp;"0A"&amp;L$43&amp;" CMPN Curncy","PX_LAST",Pre_Date)</f>
        <v>56.575000000000003</v>
      </c>
      <c r="M44">
        <f ca="1">_xll.BDH($C$42&amp;"0A"&amp;M$43&amp;" CMPN Curncy","PX_LAST",Pre_Date)</f>
        <v>56.051499999999997</v>
      </c>
      <c r="N44">
        <f ca="1">_xll.BDH($C$42&amp;"0A"&amp;N$43&amp;" CMPN Curncy","PX_LAST",Pre_Date)</f>
        <v>53.95</v>
      </c>
      <c r="O44">
        <f ca="1">_xll.BDH($C$42&amp;"0A"&amp;O$43&amp;" CMPN Curncy","PX_LAST",Pre_Date)</f>
        <v>53.125</v>
      </c>
      <c r="U44" s="11"/>
    </row>
    <row r="45" spans="1:33" x14ac:dyDescent="0.25">
      <c r="A45" s="2">
        <f ca="1">EDATE(Pre_Date,3)</f>
        <v>43642</v>
      </c>
      <c r="B45">
        <f ca="1">_xll.BDH($C$42&amp;"0C"&amp;B$43&amp;" CMPN Curncy","PX_LAST",Pre_Date)</f>
        <v>35.572000000000003</v>
      </c>
      <c r="C45">
        <f ca="1">_xll.BDH($C$42&amp;"0C"&amp;C$43&amp;" CMPN Curncy","PX_LAST",Pre_Date)</f>
        <v>53.314999999999998</v>
      </c>
      <c r="D45">
        <f ca="1">_xll.BDH($C$42&amp;"0C"&amp;D$43&amp;" CMPN Curncy","PX_LAST",Pre_Date)</f>
        <v>56.2926</v>
      </c>
      <c r="E45">
        <f ca="1">_xll.BDH($C$42&amp;"0C"&amp;E$43&amp;" CMPN Curncy","PX_LAST",Pre_Date)</f>
        <v>57.278799999999997</v>
      </c>
      <c r="F45">
        <f ca="1">_xll.BDH($C$42&amp;"0C"&amp;F$43&amp;" CMPN Curncy","PX_LAST",Pre_Date)</f>
        <v>58.814999999999998</v>
      </c>
      <c r="G45">
        <f ca="1">_xll.BDH($C$42&amp;"0C"&amp;G$43&amp;" CMPN Curncy","PX_LAST",Pre_Date)</f>
        <v>57.564999999999998</v>
      </c>
      <c r="H45">
        <f ca="1">_xll.BDH($C$42&amp;"0C"&amp;H$43&amp;" CMPN Curncy","PX_LAST",Pre_Date)</f>
        <v>56.835700000000003</v>
      </c>
      <c r="I45">
        <f ca="1">_xll.BDH($C$42&amp;"0C"&amp;I$43&amp;" CMPN Curncy","PX_LAST",Pre_Date)</f>
        <v>57.04</v>
      </c>
      <c r="J45">
        <f ca="1">_xll.BDH($C$42&amp;"0C"&amp;J$43&amp;" CMPN Curncy","PX_LAST",Pre_Date)</f>
        <v>56.604999999999997</v>
      </c>
      <c r="K45">
        <f ca="1">_xll.BDH($C$42&amp;"0C"&amp;K$43&amp;" CMPN Curncy","PX_LAST",Pre_Date)</f>
        <v>56.655000000000001</v>
      </c>
      <c r="L45">
        <f ca="1">_xll.BDH($C$42&amp;"0C"&amp;L$43&amp;" CMPN Curncy","PX_LAST",Pre_Date)</f>
        <v>54.555</v>
      </c>
      <c r="M45">
        <f ca="1">_xll.BDH($C$42&amp;"0C"&amp;M$43&amp;" CMPN Curncy","PX_LAST",Pre_Date)</f>
        <v>52.9345</v>
      </c>
      <c r="N45">
        <f ca="1">_xll.BDH($C$42&amp;"0C"&amp;N$43&amp;" CMPN Curncy","PX_LAST",Pre_Date)</f>
        <v>51.63</v>
      </c>
      <c r="O45">
        <f ca="1">_xll.BDH($C$42&amp;"0C"&amp;O$43&amp;" CMPN Curncy","PX_LAST",Pre_Date)</f>
        <v>50.914999999999999</v>
      </c>
      <c r="U45" s="11"/>
    </row>
    <row r="46" spans="1:33" x14ac:dyDescent="0.25">
      <c r="A46" s="2">
        <f ca="1">EDATE(Pre_Date,6)</f>
        <v>43734</v>
      </c>
      <c r="B46">
        <f ca="1">_xll.BDH($C$42&amp;"0F"&amp;B$43&amp;" CMPN Curncy","PX_LAST",Pre_Date)</f>
        <v>44.956400000000002</v>
      </c>
      <c r="C46">
        <f ca="1">_xll.BDH($C$42&amp;"0F"&amp;C$43&amp;" CMPN Curncy","PX_LAST",Pre_Date)</f>
        <v>56.274999999999999</v>
      </c>
      <c r="D46">
        <f ca="1">_xll.BDH($C$42&amp;"0F"&amp;D$43&amp;" CMPN Curncy","PX_LAST",Pre_Date)</f>
        <v>57.347999999999999</v>
      </c>
      <c r="E46">
        <f ca="1">_xll.BDH($C$42&amp;"0F"&amp;E$43&amp;" CMPN Curncy","PX_LAST",Pre_Date)</f>
        <v>57.846299999999999</v>
      </c>
      <c r="F46">
        <f ca="1">_xll.BDH($C$42&amp;"0F"&amp;F$43&amp;" CMPN Curncy","PX_LAST",Pre_Date)</f>
        <v>59.125</v>
      </c>
      <c r="G46">
        <f ca="1">_xll.BDH($C$42&amp;"0F"&amp;G$43&amp;" CMPN Curncy","PX_LAST",Pre_Date)</f>
        <v>58.17</v>
      </c>
      <c r="H46">
        <f ca="1">_xll.BDH($C$42&amp;"0F"&amp;H$43&amp;" CMPN Curncy","PX_LAST",Pre_Date)</f>
        <v>56.744500000000002</v>
      </c>
      <c r="I46">
        <f ca="1">_xll.BDH($C$42&amp;"0F"&amp;I$43&amp;" CMPN Curncy","PX_LAST",Pre_Date)</f>
        <v>57.82</v>
      </c>
      <c r="J46">
        <f ca="1">_xll.BDH($C$42&amp;"0F"&amp;J$43&amp;" CMPN Curncy","PX_LAST",Pre_Date)</f>
        <v>57.4</v>
      </c>
      <c r="K46">
        <f ca="1">_xll.BDH($C$42&amp;"0F"&amp;K$43&amp;" CMPN Curncy","PX_LAST",Pre_Date)</f>
        <v>56.664999999999999</v>
      </c>
      <c r="L46">
        <f ca="1">_xll.BDH($C$42&amp;"0F"&amp;L$43&amp;" CMPN Curncy","PX_LAST",Pre_Date)</f>
        <v>55.445</v>
      </c>
      <c r="M46">
        <f ca="1">_xll.BDH($C$42&amp;"0F"&amp;M$43&amp;" CMPN Curncy","PX_LAST",Pre_Date)</f>
        <v>53.057499999999997</v>
      </c>
      <c r="N46">
        <f ca="1">_xll.BDH($C$42&amp;"0F"&amp;N$43&amp;" CMPN Curncy","PX_LAST",Pre_Date)</f>
        <v>52.76</v>
      </c>
      <c r="O46">
        <f ca="1">_xll.BDH($C$42&amp;"0F"&amp;O$43&amp;" CMPN Curncy","PX_LAST",Pre_Date)</f>
        <v>50.594999999999999</v>
      </c>
      <c r="U46" s="11"/>
    </row>
    <row r="47" spans="1:33" x14ac:dyDescent="0.25">
      <c r="A47" s="2">
        <f ca="1">EDATE(Pre_Date,9)</f>
        <v>43825</v>
      </c>
      <c r="B47">
        <f ca="1">_xll.BDH($C$42&amp;"0I"&amp;B$43&amp;" CMPN Curncy","PX_LAST",Pre_Date)</f>
        <v>50.645000000000003</v>
      </c>
      <c r="C47">
        <f ca="1">_xll.BDH($C$42&amp;"0I"&amp;C$43&amp;" CMPN Curncy","PX_LAST",Pre_Date)</f>
        <v>56.77</v>
      </c>
      <c r="D47">
        <f ca="1">_xll.BDH($C$42&amp;"0I"&amp;D$43&amp;" CMPN Curncy","PX_LAST",Pre_Date)</f>
        <v>58.76</v>
      </c>
      <c r="E47">
        <f ca="1">_xll.BDH($C$42&amp;"0I"&amp;E$43&amp;" CMPN Curncy","PX_LAST",Pre_Date)</f>
        <v>58.46</v>
      </c>
      <c r="F47">
        <f ca="1">_xll.BDH($C$42&amp;"0I"&amp;F$43&amp;" CMPN Curncy","PX_LAST",Pre_Date)</f>
        <v>58.37</v>
      </c>
      <c r="G47">
        <f ca="1">_xll.BDH($C$42&amp;"0I"&amp;G$43&amp;" CMPN Curncy","PX_LAST",Pre_Date)</f>
        <v>58.555</v>
      </c>
      <c r="H47">
        <f ca="1">_xll.BDH($C$42&amp;"0I"&amp;H$43&amp;" CMPN Curncy","PX_LAST",Pre_Date)</f>
        <v>58.29</v>
      </c>
      <c r="I47">
        <f ca="1">_xll.BDH($C$42&amp;"0I"&amp;I$43&amp;" CMPN Curncy","PX_LAST",Pre_Date)</f>
        <v>57.994999999999997</v>
      </c>
      <c r="J47">
        <f ca="1">_xll.BDH($C$42&amp;"0I"&amp;J$43&amp;" CMPN Curncy","PX_LAST",Pre_Date)</f>
        <v>57.704999999999998</v>
      </c>
      <c r="K47">
        <f ca="1">_xll.BDH($C$42&amp;"0I"&amp;K$43&amp;" CMPN Curncy","PX_LAST",Pre_Date)</f>
        <v>57.4</v>
      </c>
      <c r="L47">
        <f ca="1">_xll.BDH($C$42&amp;"0I"&amp;L$43&amp;" CMPN Curncy","PX_LAST",Pre_Date)</f>
        <v>56</v>
      </c>
      <c r="M47">
        <f ca="1">_xll.BDH($C$42&amp;"0I"&amp;M$43&amp;" CMPN Curncy","PX_LAST",Pre_Date)</f>
        <v>54.46</v>
      </c>
      <c r="N47">
        <f ca="1">_xll.BDH($C$42&amp;"0I"&amp;N$43&amp;" CMPN Curncy","PX_LAST",Pre_Date)</f>
        <v>53.475000000000001</v>
      </c>
      <c r="O47">
        <f ca="1">_xll.BDH($C$42&amp;"0I"&amp;O$43&amp;" CMPN Curncy","PX_LAST",Pre_Date)</f>
        <v>52.61</v>
      </c>
      <c r="U47" s="11"/>
    </row>
    <row r="48" spans="1:33" x14ac:dyDescent="0.25">
      <c r="A48" s="2">
        <f ca="1">EDATE(Pre_Date,12)</f>
        <v>43916</v>
      </c>
      <c r="B48">
        <f ca="1">_xll.BDH($C$42&amp;"01"&amp;B$43&amp;" CMPN Curncy","PX_LAST",Pre_Date)</f>
        <v>56.195</v>
      </c>
      <c r="C48">
        <f ca="1">_xll.BDH($C$42&amp;"01"&amp;C$43&amp;" CMPN Curncy","PX_LAST",Pre_Date)</f>
        <v>61.145000000000003</v>
      </c>
      <c r="D48">
        <f ca="1">_xll.BDH($C$42&amp;"01"&amp;D$43&amp;" CMPN Curncy","PX_LAST",Pre_Date)</f>
        <v>60.071300000000001</v>
      </c>
      <c r="E48">
        <f ca="1">_xll.BDH($C$42&amp;"01"&amp;E$43&amp;" CMPN Curncy","PX_LAST",Pre_Date)</f>
        <v>59.8</v>
      </c>
      <c r="F48">
        <f ca="1">_xll.BDH($C$42&amp;"01"&amp;F$43&amp;" CMPN Curncy","PX_LAST",Pre_Date)</f>
        <v>61.174999999999997</v>
      </c>
      <c r="G48">
        <f ca="1">_xll.BDH($C$42&amp;"01"&amp;G$43&amp;" CMPN Curncy","PX_LAST",Pre_Date)</f>
        <v>59.6</v>
      </c>
      <c r="H48">
        <f ca="1">_xll.BDH($C$42&amp;"01"&amp;H$43&amp;" CMPN Curncy","PX_LAST",Pre_Date)</f>
        <v>59.1633</v>
      </c>
      <c r="I48">
        <f ca="1">_xll.BDH($C$42&amp;"01"&amp;I$43&amp;" CMPN Curncy","PX_LAST",Pre_Date)</f>
        <v>58.65</v>
      </c>
      <c r="J48">
        <f ca="1">_xll.BDH($C$42&amp;"01"&amp;J$43&amp;" CMPN Curncy","PX_LAST",Pre_Date)</f>
        <v>58.27</v>
      </c>
      <c r="K48">
        <f ca="1">_xll.BDH($C$42&amp;"01"&amp;K$43&amp;" CMPN Curncy","PX_LAST",Pre_Date)</f>
        <v>58.515000000000001</v>
      </c>
      <c r="L48">
        <f ca="1">_xll.BDH($C$42&amp;"01"&amp;L$43&amp;" CMPN Curncy","PX_LAST",Pre_Date)</f>
        <v>55.81</v>
      </c>
      <c r="M48">
        <f ca="1">_xll.BDH($C$42&amp;"01"&amp;M$43&amp;" CMPN Curncy","PX_LAST",Pre_Date)</f>
        <v>54.432699999999997</v>
      </c>
      <c r="N48">
        <f ca="1">_xll.BDH($C$42&amp;"01"&amp;N$43&amp;" CMPN Curncy","PX_LAST",Pre_Date)</f>
        <v>53.34</v>
      </c>
      <c r="O48">
        <f ca="1">_xll.BDH($C$42&amp;"01"&amp;O$43&amp;" CMPN Curncy","PX_LAST",Pre_Date)</f>
        <v>52.604999999999997</v>
      </c>
      <c r="U48" s="11"/>
    </row>
    <row r="49" spans="1:22" x14ac:dyDescent="0.25">
      <c r="A49" s="2">
        <f ca="1">EDATE(Pre_Date,24)</f>
        <v>44281</v>
      </c>
      <c r="B49">
        <f ca="1">_xll.BDH($C$42&amp;"02"&amp;B$43&amp;" CMPN Curncy","PX_LAST",Pre_Date)</f>
        <v>63.705599999999997</v>
      </c>
      <c r="C49">
        <f ca="1">_xll.BDH($C$42&amp;"02"&amp;C$43&amp;" CMPN Curncy","PX_LAST",Pre_Date)</f>
        <v>65.704999999999998</v>
      </c>
      <c r="D49">
        <f ca="1">_xll.BDH($C$42&amp;"02"&amp;D$43&amp;" CMPN Curncy","PX_LAST",Pre_Date)</f>
        <v>64.578400000000002</v>
      </c>
      <c r="E49">
        <f ca="1">_xll.BDH($C$42&amp;"02"&amp;E$43&amp;" CMPN Curncy","PX_LAST",Pre_Date)</f>
        <v>63.7926</v>
      </c>
      <c r="F49">
        <f ca="1">_xll.BDH($C$42&amp;"02"&amp;F$43&amp;" CMPN Curncy","PX_LAST",Pre_Date)</f>
        <v>63.195</v>
      </c>
      <c r="G49">
        <f ca="1">_xll.BDH($C$42&amp;"02"&amp;G$43&amp;" CMPN Curncy","PX_LAST",Pre_Date)</f>
        <v>62.274999999999999</v>
      </c>
      <c r="H49">
        <f ca="1">_xll.BDH($C$42&amp;"02"&amp;H$43&amp;" CMPN Curncy","PX_LAST",Pre_Date)</f>
        <v>61.7774</v>
      </c>
      <c r="I49">
        <f ca="1">_xll.BDH($C$42&amp;"02"&amp;I$43&amp;" CMPN Curncy","PX_LAST",Pre_Date)</f>
        <v>61.164999999999999</v>
      </c>
      <c r="J49">
        <f ca="1">_xll.BDH($C$42&amp;"02"&amp;J$43&amp;" CMPN Curncy","PX_LAST",Pre_Date)</f>
        <v>60.74</v>
      </c>
      <c r="K49">
        <f ca="1">_xll.BDH($C$42&amp;"02"&amp;K$43&amp;" CMPN Curncy","PX_LAST",Pre_Date)</f>
        <v>60.884999999999998</v>
      </c>
      <c r="L49">
        <f ca="1">_xll.BDH($C$42&amp;"02"&amp;L$43&amp;" CMPN Curncy","PX_LAST",Pre_Date)</f>
        <v>57.634999999999998</v>
      </c>
      <c r="M49">
        <f ca="1">_xll.BDH($C$42&amp;"02"&amp;M$43&amp;" CMPN Curncy","PX_LAST",Pre_Date)</f>
        <v>56.210299999999997</v>
      </c>
      <c r="N49">
        <f ca="1">_xll.BDH($C$42&amp;"02"&amp;N$43&amp;" CMPN Curncy","PX_LAST",Pre_Date)</f>
        <v>55.414999999999999</v>
      </c>
      <c r="O49">
        <f ca="1">_xll.BDH($C$42&amp;"02"&amp;O$43&amp;" CMPN Curncy","PX_LAST",Pre_Date)</f>
        <v>54.975000000000001</v>
      </c>
      <c r="U49" s="11"/>
    </row>
    <row r="50" spans="1:22" x14ac:dyDescent="0.25">
      <c r="A50" s="2">
        <f ca="1">EDATE(Pre_Date,36)</f>
        <v>44646</v>
      </c>
      <c r="B50">
        <f ca="1">_xll.BDH($C$42&amp;"03"&amp;B$43&amp;" CMPN Curncy","PX_LAST",Pre_Date)</f>
        <v>65.900000000000006</v>
      </c>
      <c r="C50">
        <f ca="1">_xll.BDH($C$42&amp;"03"&amp;C$43&amp;" CMPN Curncy","PX_LAST",Pre_Date)</f>
        <v>66.984999999999999</v>
      </c>
      <c r="D50">
        <f ca="1">_xll.BDH($C$42&amp;"03"&amp;D$43&amp;" CMPN Curncy","PX_LAST",Pre_Date)</f>
        <v>66.34</v>
      </c>
      <c r="E50">
        <f ca="1">_xll.BDH($C$42&amp;"03"&amp;E$43&amp;" CMPN Curncy","PX_LAST",Pre_Date)</f>
        <v>65.320099999999996</v>
      </c>
      <c r="F50">
        <f ca="1">_xll.BDH($C$42&amp;"03"&amp;F$43&amp;" CMPN Curncy","PX_LAST",Pre_Date)</f>
        <v>65.055000000000007</v>
      </c>
      <c r="G50">
        <f ca="1">_xll.BDH($C$42&amp;"03"&amp;G$43&amp;" CMPN Curncy","PX_LAST",Pre_Date)</f>
        <v>63.305</v>
      </c>
      <c r="H50">
        <f ca="1">_xll.BDH($C$42&amp;"03"&amp;H$43&amp;" CMPN Curncy","PX_LAST",Pre_Date)</f>
        <v>63.2</v>
      </c>
      <c r="I50">
        <f ca="1">_xll.BDH($C$42&amp;"03"&amp;I$43&amp;" CMPN Curncy","PX_LAST",Pre_Date)</f>
        <v>62.515000000000001</v>
      </c>
      <c r="J50">
        <f ca="1">_xll.BDH($C$42&amp;"03"&amp;J$43&amp;" CMPN Curncy","PX_LAST",Pre_Date)</f>
        <v>62.16</v>
      </c>
      <c r="K50">
        <f ca="1">_xll.BDH($C$42&amp;"03"&amp;K$43&amp;" CMPN Curncy","PX_LAST",Pre_Date)</f>
        <v>62.225000000000001</v>
      </c>
      <c r="L50">
        <f ca="1">_xll.BDH($C$42&amp;"03"&amp;L$43&amp;" CMPN Curncy","PX_LAST",Pre_Date)</f>
        <v>58.86</v>
      </c>
      <c r="M50">
        <f ca="1">_xll.BDH($C$42&amp;"03"&amp;M$43&amp;" CMPN Curncy","PX_LAST",Pre_Date)</f>
        <v>57.091700000000003</v>
      </c>
      <c r="N50">
        <f ca="1">_xll.BDH($C$42&amp;"03"&amp;N$43&amp;" CMPN Curncy","PX_LAST",Pre_Date)</f>
        <v>56.094999999999999</v>
      </c>
      <c r="O50">
        <f ca="1">_xll.BDH($C$42&amp;"03"&amp;O$43&amp;" CMPN Curncy","PX_LAST",Pre_Date)</f>
        <v>56.195</v>
      </c>
      <c r="U50" s="11"/>
    </row>
    <row r="51" spans="1:22" x14ac:dyDescent="0.25">
      <c r="A51" s="2">
        <f ca="1">EDATE(Pre_Date,48)</f>
        <v>45011</v>
      </c>
      <c r="B51">
        <f ca="1">_xll.BDH($C$42&amp;"04"&amp;B$43&amp;" CMPN Curncy","PX_LAST",Pre_Date)</f>
        <v>67.232500000000002</v>
      </c>
      <c r="C51">
        <f ca="1">_xll.BDH($C$42&amp;"04"&amp;C$43&amp;" CMPN Curncy","PX_LAST",Pre_Date)</f>
        <v>67.442599999999999</v>
      </c>
      <c r="D51">
        <f ca="1">_xll.BDH($C$42&amp;"04"&amp;D$43&amp;" CMPN Curncy","PX_LAST",Pre_Date)</f>
        <v>66.816100000000006</v>
      </c>
      <c r="E51">
        <f ca="1">_xll.BDH($C$42&amp;"04"&amp;E$43&amp;" CMPN Curncy","PX_LAST",Pre_Date)</f>
        <v>66.130700000000004</v>
      </c>
      <c r="F51">
        <f ca="1">_xll.BDH($C$42&amp;"04"&amp;F$43&amp;" CMPN Curncy","PX_LAST",Pre_Date)</f>
        <v>65.529200000000003</v>
      </c>
      <c r="G51">
        <f ca="1">_xll.BDH($C$42&amp;"04"&amp;G$43&amp;" CMPN Curncy","PX_LAST",Pre_Date)</f>
        <v>65.25</v>
      </c>
      <c r="H51">
        <f ca="1">_xll.BDH($C$42&amp;"04"&amp;H$43&amp;" CMPN Curncy","PX_LAST",Pre_Date)</f>
        <v>64.547799999999995</v>
      </c>
      <c r="I51">
        <f ca="1">_xll.BDH($C$42&amp;"04"&amp;I$43&amp;" CMPN Curncy","PX_LAST",Pre_Date)</f>
        <v>64.17</v>
      </c>
      <c r="J51">
        <f ca="1">_xll.BDH($C$42&amp;"04"&amp;J$43&amp;" CMPN Curncy","PX_LAST",Pre_Date)</f>
        <v>63.534999999999997</v>
      </c>
      <c r="K51">
        <f ca="1">_xll.BDH($C$42&amp;"04"&amp;K$43&amp;" CMPN Curncy","PX_LAST",Pre_Date)</f>
        <v>63.070799999999998</v>
      </c>
      <c r="L51">
        <f ca="1">_xll.BDH($C$42&amp;"04"&amp;L$43&amp;" CMPN Curncy","PX_LAST",Pre_Date)</f>
        <v>59.35</v>
      </c>
      <c r="M51">
        <f ca="1">_xll.BDH($C$42&amp;"04"&amp;M$43&amp;" CMPN Curncy","PX_LAST",Pre_Date)</f>
        <v>57.582900000000002</v>
      </c>
      <c r="N51">
        <f ca="1">_xll.BDH($C$42&amp;"04"&amp;N$43&amp;" CMPN Curncy","PX_LAST",Pre_Date)</f>
        <v>57.64</v>
      </c>
      <c r="O51">
        <f ca="1">_xll.BDH($C$42&amp;"04"&amp;O$43&amp;" CMPN Curncy","PX_LAST",Pre_Date)</f>
        <v>56.058599999999998</v>
      </c>
      <c r="U51" s="11"/>
    </row>
    <row r="52" spans="1:22" x14ac:dyDescent="0.25">
      <c r="A52" s="2">
        <f ca="1">EDATE(Pre_Date,60)</f>
        <v>45377</v>
      </c>
      <c r="B52">
        <f ca="1">_xll.BDH($C$42&amp;"05"&amp;B$43&amp;" CMPN Curncy","PX_LAST",Pre_Date)</f>
        <v>68.028999999999996</v>
      </c>
      <c r="C52">
        <f ca="1">_xll.BDH($C$42&amp;"05"&amp;C$43&amp;" CMPN Curncy","PX_LAST",Pre_Date)</f>
        <v>68.555000000000007</v>
      </c>
      <c r="D52">
        <f ca="1">_xll.BDH($C$42&amp;"05"&amp;D$43&amp;" CMPN Curncy","PX_LAST",Pre_Date)</f>
        <v>67.040000000000006</v>
      </c>
      <c r="E52">
        <f ca="1">_xll.BDH($C$42&amp;"05"&amp;E$43&amp;" CMPN Curncy","PX_LAST",Pre_Date)</f>
        <v>66.685599999999994</v>
      </c>
      <c r="F52">
        <f ca="1">_xll.BDH($C$42&amp;"05"&amp;F$43&amp;" CMPN Curncy","PX_LAST",Pre_Date)</f>
        <v>66.594999999999999</v>
      </c>
      <c r="G52">
        <f ca="1">_xll.BDH($C$42&amp;"05"&amp;G$43&amp;" CMPN Curncy","PX_LAST",Pre_Date)</f>
        <v>65.150000000000006</v>
      </c>
      <c r="H52">
        <f ca="1">_xll.BDH($C$42&amp;"05"&amp;H$43&amp;" CMPN Curncy","PX_LAST",Pre_Date)</f>
        <v>64.759</v>
      </c>
      <c r="I52">
        <f ca="1">_xll.BDH($C$42&amp;"05"&amp;I$43&amp;" CMPN Curncy","PX_LAST",Pre_Date)</f>
        <v>64.16</v>
      </c>
      <c r="J52">
        <f ca="1">_xll.BDH($C$42&amp;"05"&amp;J$43&amp;" CMPN Curncy","PX_LAST",Pre_Date)</f>
        <v>63.78</v>
      </c>
      <c r="K52">
        <f ca="1">_xll.BDH($C$42&amp;"05"&amp;K$43&amp;" CMPN Curncy","PX_LAST",Pre_Date)</f>
        <v>63.585000000000001</v>
      </c>
      <c r="L52">
        <f ca="1">_xll.BDH($C$42&amp;"05"&amp;L$43&amp;" CMPN Curncy","PX_LAST",Pre_Date)</f>
        <v>60.12</v>
      </c>
      <c r="M52">
        <f ca="1">_xll.BDH($C$42&amp;"05"&amp;M$43&amp;" CMPN Curncy","PX_LAST",Pre_Date)</f>
        <v>58.176499999999997</v>
      </c>
      <c r="N52">
        <f ca="1">_xll.BDH($C$42&amp;"05"&amp;N$43&amp;" CMPN Curncy","PX_LAST",Pre_Date)</f>
        <v>57.325000000000003</v>
      </c>
      <c r="O52">
        <f ca="1">_xll.BDH($C$42&amp;"05"&amp;O$43&amp;" CMPN Curncy","PX_LAST",Pre_Date)</f>
        <v>57.045000000000002</v>
      </c>
      <c r="U52" s="11"/>
    </row>
    <row r="61" spans="1:22" x14ac:dyDescent="0.25">
      <c r="A61" t="s">
        <v>828</v>
      </c>
      <c r="B61" t="s">
        <v>825</v>
      </c>
      <c r="C61" t="s">
        <v>829</v>
      </c>
      <c r="U61" s="11"/>
      <c r="V61" s="11"/>
    </row>
    <row r="62" spans="1:22" x14ac:dyDescent="0.25">
      <c r="A62" s="2"/>
      <c r="C62" t="s">
        <v>829</v>
      </c>
      <c r="U62" s="11"/>
      <c r="V62" s="11"/>
    </row>
    <row r="63" spans="1:22" x14ac:dyDescent="0.25">
      <c r="A63" t="s">
        <v>827</v>
      </c>
      <c r="B63" s="69">
        <v>1</v>
      </c>
      <c r="C63" s="69">
        <v>2</v>
      </c>
      <c r="D63" s="69">
        <v>3</v>
      </c>
      <c r="E63" s="69">
        <v>4</v>
      </c>
      <c r="F63" s="69">
        <v>5</v>
      </c>
      <c r="G63" s="69">
        <v>6</v>
      </c>
      <c r="H63" s="69">
        <v>7</v>
      </c>
      <c r="I63" s="69">
        <v>8</v>
      </c>
      <c r="J63" s="69">
        <v>9</v>
      </c>
      <c r="K63" s="69">
        <v>10</v>
      </c>
      <c r="L63" s="69">
        <v>15</v>
      </c>
      <c r="M63" s="69">
        <v>20</v>
      </c>
      <c r="N63" s="69">
        <v>25</v>
      </c>
      <c r="O63" s="69">
        <v>30</v>
      </c>
      <c r="P63" s="70" t="s">
        <v>811</v>
      </c>
      <c r="Q63" s="70" t="s">
        <v>811</v>
      </c>
      <c r="R63" s="70" t="s">
        <v>811</v>
      </c>
      <c r="S63" s="70" t="s">
        <v>811</v>
      </c>
      <c r="T63" s="70" t="s">
        <v>811</v>
      </c>
      <c r="U63" s="11" t="s">
        <v>811</v>
      </c>
    </row>
    <row r="64" spans="1:22" x14ac:dyDescent="0.25">
      <c r="A64" s="2">
        <f ca="1">EDATE(Pre_Date,1)</f>
        <v>43581</v>
      </c>
      <c r="B64">
        <f ca="1">_xll.BDH($C$62&amp;"A"&amp;B$63&amp;" ICPL Curncy","PX_LAST",Pre_Date)</f>
        <v>6.2</v>
      </c>
      <c r="C64">
        <f ca="1">_xll.BDH($C$62&amp;"A"&amp;C$63&amp;" ICPL Curncy","PX_LAST",Pre_Date)</f>
        <v>9.4</v>
      </c>
      <c r="D64">
        <f ca="1">_xll.BDH($C$62&amp;"A"&amp;D$63&amp;" ICPL Curncy","PX_LAST",Pre_Date)</f>
        <v>17.7</v>
      </c>
      <c r="E64">
        <f ca="1">_xll.BDH($C$62&amp;"A"&amp;E$63&amp;" ICPL Curncy","PX_LAST",Pre_Date)</f>
        <v>23.3</v>
      </c>
      <c r="F64">
        <f ca="1">_xll.BDH($C$62&amp;"A"&amp;F$63&amp;" ICPL Curncy","PX_LAST",Pre_Date)</f>
        <v>28.5</v>
      </c>
      <c r="G64">
        <f ca="1">_xll.BDH($C$62&amp;"A"&amp;G$63&amp;" ICPL Curncy","PX_LAST",Pre_Date)</f>
        <v>31.7</v>
      </c>
      <c r="H64">
        <f ca="1">_xll.BDH($C$62&amp;"A"&amp;H$63&amp;" ICPL Curncy","PX_LAST",Pre_Date)</f>
        <v>34.5</v>
      </c>
      <c r="I64">
        <f ca="1">_xll.BDH($C$62&amp;"A"&amp;I$63&amp;" ICPL Curncy","PX_LAST",Pre_Date)</f>
        <v>37.299999999999997</v>
      </c>
      <c r="J64">
        <f ca="1">_xll.BDH($C$62&amp;"A"&amp;J$63&amp;" ICPL Curncy","PX_LAST",Pre_Date)</f>
        <v>39.799999999999997</v>
      </c>
      <c r="K64">
        <f ca="1">_xll.BDH($C$62&amp;"A"&amp;K$63&amp;" ICPL Curncy","PX_LAST",Pre_Date)</f>
        <v>42</v>
      </c>
      <c r="L64">
        <f ca="1">_xll.BDH($C$62&amp;"A"&amp;L$63&amp;" ICPL Curncy","PX_LAST",Pre_Date)</f>
        <v>43.8</v>
      </c>
      <c r="M64">
        <f ca="1">_xll.BDH($C$62&amp;"A"&amp;M$63&amp;" ICPL Curncy","PX_LAST",Pre_Date)</f>
        <v>45.6</v>
      </c>
      <c r="N64">
        <f ca="1">_xll.BDH($C$62&amp;"A"&amp;N$63&amp;" ICPL Curncy","PX_LAST",Pre_Date)</f>
        <v>46.2</v>
      </c>
      <c r="O64">
        <f ca="1">_xll.BDH($C$62&amp;"A"&amp;O$63&amp;" ICPL Curncy","PX_LAST",Pre_Date)</f>
        <v>46.5</v>
      </c>
      <c r="U64" s="11"/>
    </row>
    <row r="65" spans="1:21" x14ac:dyDescent="0.25">
      <c r="A65" s="2">
        <f ca="1">EDATE(Pre_Date,3)</f>
        <v>43642</v>
      </c>
      <c r="B65">
        <f ca="1">_xll.BDH($C$62&amp;"C"&amp;B$63&amp;" ICPL Curncy","PX_LAST",Pre_Date)</f>
        <v>7.2</v>
      </c>
      <c r="C65">
        <f ca="1">_xll.BDH($C$62&amp;"C"&amp;C$63&amp;" ICPL Curncy","PX_LAST",Pre_Date)</f>
        <v>10.8</v>
      </c>
      <c r="D65">
        <f ca="1">_xll.BDH($C$62&amp;"C"&amp;D$63&amp;" ICPL Curncy","PX_LAST",Pre_Date)</f>
        <v>17.7</v>
      </c>
      <c r="E65">
        <f ca="1">_xll.BDH($C$62&amp;"C"&amp;E$63&amp;" ICPL Curncy","PX_LAST",Pre_Date)</f>
        <v>23.2</v>
      </c>
      <c r="F65">
        <f ca="1">_xll.BDH($C$62&amp;"C"&amp;F$63&amp;" ICPL Curncy","PX_LAST",Pre_Date)</f>
        <v>27.2</v>
      </c>
      <c r="G65">
        <f ca="1">_xll.BDH($C$62&amp;"C"&amp;G$63&amp;" ICPL Curncy","PX_LAST",Pre_Date)</f>
        <v>30.3</v>
      </c>
      <c r="H65">
        <f ca="1">_xll.BDH($C$62&amp;"C"&amp;H$63&amp;" ICPL Curncy","PX_LAST",Pre_Date)</f>
        <v>32.6</v>
      </c>
      <c r="I65">
        <f ca="1">_xll.BDH($C$62&amp;"C"&amp;I$63&amp;" ICPL Curncy","PX_LAST",Pre_Date)</f>
        <v>34.799999999999997</v>
      </c>
      <c r="J65">
        <f ca="1">_xll.BDH($C$62&amp;"C"&amp;J$63&amp;" ICPL Curncy","PX_LAST",Pre_Date)</f>
        <v>36.5</v>
      </c>
      <c r="K65">
        <f ca="1">_xll.BDH($C$62&amp;"C"&amp;K$63&amp;" ICPL Curncy","PX_LAST",Pre_Date)</f>
        <v>38.700000000000003</v>
      </c>
      <c r="L65">
        <f ca="1">_xll.BDH($C$62&amp;"C"&amp;L$63&amp;" ICPL Curncy","PX_LAST",Pre_Date)</f>
        <v>39.799999999999997</v>
      </c>
      <c r="M65">
        <f ca="1">_xll.BDH($C$62&amp;"C"&amp;M$63&amp;" ICPL Curncy","PX_LAST",Pre_Date)</f>
        <v>40.799999999999997</v>
      </c>
      <c r="N65">
        <f ca="1">_xll.BDH($C$62&amp;"C"&amp;N$63&amp;" ICPL Curncy","PX_LAST",Pre_Date)</f>
        <v>41.5</v>
      </c>
      <c r="O65">
        <f ca="1">_xll.BDH($C$62&amp;"C"&amp;O$63&amp;" ICPL Curncy","PX_LAST",Pre_Date)</f>
        <v>41.9</v>
      </c>
      <c r="U65" s="11"/>
    </row>
    <row r="66" spans="1:21" x14ac:dyDescent="0.25">
      <c r="A66" s="2">
        <f ca="1">EDATE(Pre_Date,6)</f>
        <v>43734</v>
      </c>
      <c r="B66">
        <f ca="1">_xll.BDH($C$62&amp;"F"&amp;B$63&amp;" ICPL Curncy","PX_LAST",Pre_Date)</f>
        <v>9.6999999999999993</v>
      </c>
      <c r="C66">
        <f ca="1">_xll.BDH($C$62&amp;"F"&amp;C$63&amp;" ICPL Curncy","PX_LAST",Pre_Date)</f>
        <v>13.5</v>
      </c>
      <c r="D66">
        <f ca="1">_xll.BDH($C$62&amp;"F"&amp;D$63&amp;" ICPL Curncy","PX_LAST",Pre_Date)</f>
        <v>19.600000000000001</v>
      </c>
      <c r="E66">
        <f ca="1">_xll.BDH($C$62&amp;"F"&amp;E$63&amp;" ICPL Curncy","PX_LAST",Pre_Date)</f>
        <v>24.3</v>
      </c>
      <c r="F66">
        <f ca="1">_xll.BDH($C$62&amp;"F"&amp;F$63&amp;" ICPL Curncy","PX_LAST",Pre_Date)</f>
        <v>28.3</v>
      </c>
      <c r="G66">
        <f ca="1">_xll.BDH($C$62&amp;"F"&amp;G$63&amp;" ICPL Curncy","PX_LAST",Pre_Date)</f>
        <v>31</v>
      </c>
      <c r="H66">
        <f ca="1">_xll.BDH($C$62&amp;"F"&amp;H$63&amp;" ICPL Curncy","PX_LAST",Pre_Date)</f>
        <v>33</v>
      </c>
      <c r="I66">
        <f ca="1">_xll.BDH($C$62&amp;"F"&amp;I$63&amp;" ICPL Curncy","PX_LAST",Pre_Date)</f>
        <v>34.700000000000003</v>
      </c>
      <c r="J66">
        <f ca="1">_xll.BDH($C$62&amp;"F"&amp;J$63&amp;" ICPL Curncy","PX_LAST",Pre_Date)</f>
        <v>36.4</v>
      </c>
      <c r="K66">
        <f ca="1">_xll.BDH($C$62&amp;"F"&amp;K$63&amp;" ICPL Curncy","PX_LAST",Pre_Date)</f>
        <v>38.1</v>
      </c>
      <c r="L66">
        <f ca="1">_xll.BDH($C$62&amp;"F"&amp;L$63&amp;" ICPL Curncy","PX_LAST",Pre_Date)</f>
        <v>39.200000000000003</v>
      </c>
      <c r="M66">
        <f ca="1">_xll.BDH($C$62&amp;"F"&amp;M$63&amp;" ICPL Curncy","PX_LAST",Pre_Date)</f>
        <v>40</v>
      </c>
      <c r="N66">
        <f ca="1">_xll.BDH($C$62&amp;"F"&amp;N$63&amp;" ICPL Curncy","PX_LAST",Pre_Date)</f>
        <v>40.5</v>
      </c>
      <c r="O66">
        <f ca="1">_xll.BDH($C$62&amp;"F"&amp;O$63&amp;" ICPL Curncy","PX_LAST",Pre_Date)</f>
        <v>40.5</v>
      </c>
      <c r="U66" s="11"/>
    </row>
    <row r="67" spans="1:21" x14ac:dyDescent="0.25">
      <c r="A67" s="2">
        <f ca="1">EDATE(Pre_Date,9)</f>
        <v>43825</v>
      </c>
      <c r="B67">
        <f ca="1">_xll.BDH($C$62&amp;"I"&amp;B$63&amp;" ICPL Curncy","PX_LAST",Pre_Date)</f>
        <v>12</v>
      </c>
      <c r="C67">
        <f ca="1">_xll.BDH($C$62&amp;"I"&amp;C$63&amp;" ICPL Curncy","PX_LAST",Pre_Date)</f>
        <v>16.3</v>
      </c>
      <c r="D67">
        <f ca="1">_xll.BDH($C$62&amp;"I"&amp;D$63&amp;" ICPL Curncy","PX_LAST",Pre_Date)</f>
        <v>21.6</v>
      </c>
      <c r="E67">
        <f ca="1">_xll.BDH($C$62&amp;"I"&amp;E$63&amp;" ICPL Curncy","PX_LAST",Pre_Date)</f>
        <v>26.1</v>
      </c>
      <c r="F67">
        <f ca="1">_xll.BDH($C$62&amp;"I"&amp;F$63&amp;" ICPL Curncy","PX_LAST",Pre_Date)</f>
        <v>29.8</v>
      </c>
      <c r="G67">
        <f ca="1">_xll.BDH($C$62&amp;"I"&amp;G$63&amp;" ICPL Curncy","PX_LAST",Pre_Date)</f>
        <v>31.7</v>
      </c>
      <c r="H67">
        <f ca="1">_xll.BDH($C$62&amp;"I"&amp;H$63&amp;" ICPL Curncy","PX_LAST",Pre_Date)</f>
        <v>33.700000000000003</v>
      </c>
      <c r="I67">
        <f ca="1">_xll.BDH($C$62&amp;"I"&amp;I$63&amp;" ICPL Curncy","PX_LAST",Pre_Date)</f>
        <v>35.1</v>
      </c>
      <c r="J67">
        <f ca="1">_xll.BDH($C$62&amp;"I"&amp;J$63&amp;" ICPL Curncy","PX_LAST",Pre_Date)</f>
        <v>36.5</v>
      </c>
      <c r="K67">
        <f ca="1">_xll.BDH($C$62&amp;"I"&amp;K$63&amp;" ICPL Curncy","PX_LAST",Pre_Date)</f>
        <v>38.1</v>
      </c>
      <c r="L67">
        <f ca="1">_xll.BDH($C$62&amp;"I"&amp;L$63&amp;" ICPL Curncy","PX_LAST",Pre_Date)</f>
        <v>38.6</v>
      </c>
      <c r="M67">
        <f ca="1">_xll.BDH($C$62&amp;"I"&amp;M$63&amp;" ICPL Curncy","PX_LAST",Pre_Date)</f>
        <v>39.1</v>
      </c>
      <c r="N67">
        <f ca="1">_xll.BDH($C$62&amp;"I"&amp;N$63&amp;" ICPL Curncy","PX_LAST",Pre_Date)</f>
        <v>39.5</v>
      </c>
      <c r="O67">
        <f ca="1">_xll.BDH($C$62&amp;"I"&amp;O$63&amp;" ICPL Curncy","PX_LAST",Pre_Date)</f>
        <v>39.9</v>
      </c>
      <c r="U67" s="11"/>
    </row>
    <row r="68" spans="1:21" x14ac:dyDescent="0.25">
      <c r="A68" s="2">
        <f ca="1">EDATE(Pre_Date,12)</f>
        <v>43916</v>
      </c>
      <c r="B68">
        <f ca="1">_xll.BDH($C$62&amp;"1"&amp;B$63&amp;" ICPL Curncy","PX_LAST",Pre_Date)</f>
        <v>15.2</v>
      </c>
      <c r="C68">
        <f ca="1">_xll.BDH($C$62&amp;"1"&amp;C$63&amp;" ICPL Curncy","PX_LAST",Pre_Date)</f>
        <v>19.5</v>
      </c>
      <c r="D68">
        <f ca="1">_xll.BDH($C$62&amp;"1"&amp;D$63&amp;" ICPL Curncy","PX_LAST",Pre_Date)</f>
        <v>24</v>
      </c>
      <c r="E68">
        <f ca="1">_xll.BDH($C$62&amp;"1"&amp;E$63&amp;" ICPL Curncy","PX_LAST",Pre_Date)</f>
        <v>27.8</v>
      </c>
      <c r="F68">
        <f ca="1">_xll.BDH($C$62&amp;"1"&amp;F$63&amp;" ICPL Curncy","PX_LAST",Pre_Date)</f>
        <v>31.2</v>
      </c>
      <c r="G68">
        <f ca="1">_xll.BDH($C$62&amp;"1"&amp;G$63&amp;" ICPL Curncy","PX_LAST",Pre_Date)</f>
        <v>32.799999999999997</v>
      </c>
      <c r="H68">
        <f ca="1">_xll.BDH($C$62&amp;"1"&amp;H$63&amp;" ICPL Curncy","PX_LAST",Pre_Date)</f>
        <v>34.700000000000003</v>
      </c>
      <c r="I68">
        <f ca="1">_xll.BDH($C$62&amp;"1"&amp;I$63&amp;" ICPL Curncy","PX_LAST",Pre_Date)</f>
        <v>36</v>
      </c>
      <c r="J68">
        <f ca="1">_xll.BDH($C$62&amp;"1"&amp;J$63&amp;" ICPL Curncy","PX_LAST",Pre_Date)</f>
        <v>37.1</v>
      </c>
      <c r="K68">
        <f ca="1">_xll.BDH($C$62&amp;"1"&amp;K$63&amp;" ICPL Curncy","PX_LAST",Pre_Date)</f>
        <v>38.6</v>
      </c>
      <c r="L68">
        <f ca="1">_xll.BDH($C$62&amp;"1"&amp;L$63&amp;" ICPL Curncy","PX_LAST",Pre_Date)</f>
        <v>38.700000000000003</v>
      </c>
      <c r="M68">
        <f ca="1">_xll.BDH($C$62&amp;"1"&amp;M$63&amp;" ICPL Curncy","PX_LAST",Pre_Date)</f>
        <v>39.5</v>
      </c>
      <c r="N68">
        <f ca="1">_xll.BDH($C$62&amp;"1"&amp;N$63&amp;" ICPL Curncy","PX_LAST",Pre_Date)</f>
        <v>39.799999999999997</v>
      </c>
      <c r="O68">
        <f ca="1">_xll.BDH($C$62&amp;"1"&amp;O$63&amp;" ICPL Curncy","PX_LAST",Pre_Date)</f>
        <v>39.9</v>
      </c>
      <c r="U68" s="11"/>
    </row>
    <row r="69" spans="1:21" x14ac:dyDescent="0.25">
      <c r="A69" s="2">
        <f ca="1">EDATE(Pre_Date,24)</f>
        <v>44281</v>
      </c>
      <c r="B69">
        <f ca="1">_xll.BDH($C$62&amp;"2"&amp;B$63&amp;" ICPL Curncy","PX_LAST",Pre_Date)</f>
        <v>25.5</v>
      </c>
      <c r="C69">
        <f ca="1">_xll.BDH($C$62&amp;"2"&amp;C$63&amp;" ICPL Curncy","PX_LAST",Pre_Date)</f>
        <v>29.1</v>
      </c>
      <c r="D69">
        <f ca="1">_xll.BDH($C$62&amp;"2"&amp;D$63&amp;" ICPL Curncy","PX_LAST",Pre_Date)</f>
        <v>32.4</v>
      </c>
      <c r="E69">
        <f ca="1">_xll.BDH($C$62&amp;"2"&amp;E$63&amp;" ICPL Curncy","PX_LAST",Pre_Date)</f>
        <v>34.6</v>
      </c>
      <c r="F69">
        <f ca="1">_xll.BDH($C$62&amp;"2"&amp;F$63&amp;" ICPL Curncy","PX_LAST",Pre_Date)</f>
        <v>36.200000000000003</v>
      </c>
      <c r="G69">
        <f ca="1">_xll.BDH($C$62&amp;"2"&amp;G$63&amp;" ICPL Curncy","PX_LAST",Pre_Date)</f>
        <v>38</v>
      </c>
      <c r="H69">
        <f ca="1">_xll.BDH($C$62&amp;"2"&amp;H$63&amp;" ICPL Curncy","PX_LAST",Pre_Date)</f>
        <v>38.9</v>
      </c>
      <c r="I69">
        <f ca="1">_xll.BDH($C$62&amp;"2"&amp;I$63&amp;" ICPL Curncy","PX_LAST",Pre_Date)</f>
        <v>39.799999999999997</v>
      </c>
      <c r="J69">
        <f ca="1">_xll.BDH($C$62&amp;"2"&amp;J$63&amp;" ICPL Curncy","PX_LAST",Pre_Date)</f>
        <v>40.5</v>
      </c>
      <c r="K69">
        <f ca="1">_xll.BDH($C$62&amp;"2"&amp;K$63&amp;" ICPL Curncy","PX_LAST",Pre_Date)</f>
        <v>41.1</v>
      </c>
      <c r="L69">
        <f ca="1">_xll.BDH($C$62&amp;"2"&amp;L$63&amp;" ICPL Curncy","PX_LAST",Pre_Date)</f>
        <v>41</v>
      </c>
      <c r="M69">
        <f ca="1">_xll.BDH($C$62&amp;"2"&amp;M$63&amp;" ICPL Curncy","PX_LAST",Pre_Date)</f>
        <v>41.2</v>
      </c>
      <c r="N69">
        <f ca="1">_xll.BDH($C$62&amp;"2"&amp;N$63&amp;" ICPL Curncy","PX_LAST",Pre_Date)</f>
        <v>41.2</v>
      </c>
      <c r="O69">
        <f ca="1">_xll.BDH($C$62&amp;"2"&amp;O$63&amp;" ICPL Curncy","PX_LAST",Pre_Date)</f>
        <v>41.1</v>
      </c>
      <c r="U69" s="11"/>
    </row>
    <row r="70" spans="1:21" x14ac:dyDescent="0.25">
      <c r="A70" s="2">
        <f ca="1">EDATE(Pre_Date,36)</f>
        <v>44646</v>
      </c>
      <c r="B70">
        <f ca="1">_xll.BDH($C$62&amp;"3"&amp;B$63&amp;" ICPL Curncy","PX_LAST",Pre_Date)</f>
        <v>33.6</v>
      </c>
      <c r="C70">
        <f ca="1">_xll.BDH($C$62&amp;"3"&amp;C$63&amp;" ICPL Curncy","PX_LAST",Pre_Date)</f>
        <v>36.299999999999997</v>
      </c>
      <c r="D70">
        <f ca="1">_xll.BDH($C$62&amp;"3"&amp;D$63&amp;" ICPL Curncy","PX_LAST",Pre_Date)</f>
        <v>38.299999999999997</v>
      </c>
      <c r="E70">
        <f ca="1">_xll.BDH($C$62&amp;"3"&amp;E$63&amp;" ICPL Curncy","PX_LAST",Pre_Date)</f>
        <v>39.700000000000003</v>
      </c>
      <c r="F70">
        <f ca="1">_xll.BDH($C$62&amp;"3"&amp;F$63&amp;" ICPL Curncy","PX_LAST",Pre_Date)</f>
        <v>40.799999999999997</v>
      </c>
      <c r="G70">
        <f ca="1">_xll.BDH($C$62&amp;"3"&amp;G$63&amp;" ICPL Curncy","PX_LAST",Pre_Date)</f>
        <v>41.8</v>
      </c>
      <c r="H70">
        <f ca="1">_xll.BDH($C$62&amp;"3"&amp;H$63&amp;" ICPL Curncy","PX_LAST",Pre_Date)</f>
        <v>42.3</v>
      </c>
      <c r="I70">
        <f ca="1">_xll.BDH($C$62&amp;"3"&amp;I$63&amp;" ICPL Curncy","PX_LAST",Pre_Date)</f>
        <v>42.7</v>
      </c>
      <c r="J70">
        <f ca="1">_xll.BDH($C$62&amp;"3"&amp;J$63&amp;" ICPL Curncy","PX_LAST",Pre_Date)</f>
        <v>43.2</v>
      </c>
      <c r="K70">
        <f ca="1">_xll.BDH($C$62&amp;"3"&amp;K$63&amp;" ICPL Curncy","PX_LAST",Pre_Date)</f>
        <v>43.6</v>
      </c>
      <c r="L70">
        <f ca="1">_xll.BDH($C$62&amp;"3"&amp;L$63&amp;" ICPL Curncy","PX_LAST",Pre_Date)</f>
        <v>42.6</v>
      </c>
      <c r="M70">
        <f ca="1">_xll.BDH($C$62&amp;"3"&amp;M$63&amp;" ICPL Curncy","PX_LAST",Pre_Date)</f>
        <v>42.5</v>
      </c>
      <c r="N70">
        <f ca="1">_xll.BDH($C$62&amp;"3"&amp;N$63&amp;" ICPL Curncy","PX_LAST",Pre_Date)</f>
        <v>42.2</v>
      </c>
      <c r="O70">
        <f ca="1">_xll.BDH($C$62&amp;"3"&amp;O$63&amp;" ICPL Curncy","PX_LAST",Pre_Date)</f>
        <v>42.2</v>
      </c>
      <c r="U70" s="11"/>
    </row>
    <row r="71" spans="1:21" x14ac:dyDescent="0.25">
      <c r="A71" s="2">
        <f ca="1">EDATE(Pre_Date,48)</f>
        <v>45011</v>
      </c>
      <c r="B71">
        <f ca="1">_xll.BDH($C$62&amp;"4"&amp;B$63&amp;" ICPL Curncy","PX_LAST",Pre_Date)</f>
        <v>40</v>
      </c>
      <c r="C71">
        <f ca="1">_xll.BDH($C$62&amp;"4"&amp;C$63&amp;" ICPL Curncy","PX_LAST",Pre_Date)</f>
        <v>41.3</v>
      </c>
      <c r="D71">
        <f ca="1">_xll.BDH($C$62&amp;"4"&amp;D$63&amp;" ICPL Curncy","PX_LAST",Pre_Date)</f>
        <v>42.7</v>
      </c>
      <c r="E71">
        <f ca="1">_xll.BDH($C$62&amp;"4"&amp;E$63&amp;" ICPL Curncy","PX_LAST",Pre_Date)</f>
        <v>43.5</v>
      </c>
      <c r="F71">
        <f ca="1">_xll.BDH($C$62&amp;"4"&amp;F$63&amp;" ICPL Curncy","PX_LAST",Pre_Date)</f>
        <v>44.5</v>
      </c>
      <c r="G71">
        <f ca="1">_xll.BDH($C$62&amp;"4"&amp;G$63&amp;" ICPL Curncy","PX_LAST",Pre_Date)</f>
        <v>45</v>
      </c>
      <c r="H71">
        <f ca="1">_xll.BDH($C$62&amp;"4"&amp;H$63&amp;" ICPL Curncy","PX_LAST",Pre_Date)</f>
        <v>45.2</v>
      </c>
      <c r="I71">
        <f ca="1">_xll.BDH($C$62&amp;"4"&amp;I$63&amp;" ICPL Curncy","PX_LAST",Pre_Date)</f>
        <v>45.8</v>
      </c>
      <c r="J71">
        <f ca="1">_xll.BDH($C$62&amp;"4"&amp;J$63&amp;" ICPL Curncy","PX_LAST",Pre_Date)</f>
        <v>46.1</v>
      </c>
      <c r="K71">
        <f ca="1">_xll.BDH($C$62&amp;"4"&amp;K$63&amp;" ICPL Curncy","PX_LAST",Pre_Date)</f>
        <v>46.1</v>
      </c>
      <c r="L71">
        <f ca="1">_xll.BDH($C$62&amp;"4"&amp;L$63&amp;" ICPL Curncy","PX_LAST",Pre_Date)</f>
        <v>44.4</v>
      </c>
      <c r="M71">
        <f ca="1">_xll.BDH($C$62&amp;"4"&amp;M$63&amp;" ICPL Curncy","PX_LAST",Pre_Date)</f>
        <v>43.8</v>
      </c>
      <c r="N71">
        <f ca="1">_xll.BDH($C$62&amp;"4"&amp;N$63&amp;" ICPL Curncy","PX_LAST",Pre_Date)</f>
        <v>43.5</v>
      </c>
      <c r="O71">
        <f ca="1">_xll.BDH($C$62&amp;"4"&amp;O$63&amp;" ICPL Curncy","PX_LAST",Pre_Date)</f>
        <v>43.4</v>
      </c>
      <c r="U71" s="11"/>
    </row>
    <row r="72" spans="1:21" x14ac:dyDescent="0.25">
      <c r="A72" s="2">
        <f ca="1">EDATE(Pre_Date,60)</f>
        <v>45377</v>
      </c>
      <c r="B72">
        <f ca="1">_xll.BDH($C$62&amp;"5"&amp;B$63&amp;" ICPL Curncy","PX_LAST",Pre_Date)</f>
        <v>45</v>
      </c>
      <c r="C72">
        <f ca="1">_xll.BDH($C$62&amp;"5"&amp;C$63&amp;" ICPL Curncy","PX_LAST",Pre_Date)</f>
        <v>44.9</v>
      </c>
      <c r="D72">
        <f ca="1">_xll.BDH($C$62&amp;"5"&amp;D$63&amp;" ICPL Curncy","PX_LAST",Pre_Date)</f>
        <v>45.8</v>
      </c>
      <c r="E72">
        <f ca="1">_xll.BDH($C$62&amp;"5"&amp;E$63&amp;" ICPL Curncy","PX_LAST",Pre_Date)</f>
        <v>46.2</v>
      </c>
      <c r="F72">
        <f ca="1">_xll.BDH($C$62&amp;"5"&amp;F$63&amp;" ICPL Curncy","PX_LAST",Pre_Date)</f>
        <v>46.9</v>
      </c>
      <c r="G72">
        <f ca="1">_xll.BDH($C$62&amp;"5"&amp;G$63&amp;" ICPL Curncy","PX_LAST",Pre_Date)</f>
        <v>47.2</v>
      </c>
      <c r="H72">
        <f ca="1">_xll.BDH($C$62&amp;"5"&amp;H$63&amp;" ICPL Curncy","PX_LAST",Pre_Date)</f>
        <v>47.4</v>
      </c>
      <c r="I72">
        <f ca="1">_xll.BDH($C$62&amp;"5"&amp;I$63&amp;" ICPL Curncy","PX_LAST",Pre_Date)</f>
        <v>47.7</v>
      </c>
      <c r="J72">
        <f ca="1">_xll.BDH($C$62&amp;"5"&amp;J$63&amp;" ICPL Curncy","PX_LAST",Pre_Date)</f>
        <v>47.9</v>
      </c>
      <c r="K72">
        <f ca="1">_xll.BDH($C$62&amp;"5"&amp;K$63&amp;" ICPL Curncy","PX_LAST",Pre_Date)</f>
        <v>48</v>
      </c>
      <c r="L72">
        <f ca="1">_xll.BDH($C$62&amp;"5"&amp;L$63&amp;" ICPL Curncy","PX_LAST",Pre_Date)</f>
        <v>45.6</v>
      </c>
      <c r="M72">
        <f ca="1">_xll.BDH($C$62&amp;"5"&amp;M$63&amp;" ICPL Curncy","PX_LAST",Pre_Date)</f>
        <v>44.9</v>
      </c>
      <c r="N72">
        <f ca="1">_xll.BDH($C$62&amp;"5"&amp;N$63&amp;" ICPL Curncy","PX_LAST",Pre_Date)</f>
        <v>44.4</v>
      </c>
      <c r="O72">
        <f ca="1">_xll.BDH($C$62&amp;"5"&amp;O$63&amp;" ICPL Curncy","PX_LAST",Pre_Date)</f>
        <v>44.3</v>
      </c>
      <c r="U72" s="11"/>
    </row>
    <row r="81" spans="1:1" x14ac:dyDescent="0.25">
      <c r="A81" t="s">
        <v>838</v>
      </c>
    </row>
  </sheetData>
  <mergeCells count="1">
    <mergeCell ref="C1:F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C6F53-610F-486F-BF86-3AD86C025B10}">
  <sheetPr codeName="Sheet33"/>
  <dimension ref="A1:U201"/>
  <sheetViews>
    <sheetView zoomScale="70" zoomScaleNormal="70" workbookViewId="0">
      <selection activeCell="N6" sqref="N6"/>
    </sheetView>
  </sheetViews>
  <sheetFormatPr defaultColWidth="8.85546875" defaultRowHeight="15" x14ac:dyDescent="0.25"/>
  <cols>
    <col min="1" max="1" width="10.5703125" customWidth="1"/>
    <col min="2" max="2" width="13" customWidth="1"/>
    <col min="3" max="3" width="12.7109375" customWidth="1"/>
    <col min="4" max="4" width="10.42578125" customWidth="1"/>
    <col min="5" max="5" width="9.5703125" bestFit="1" customWidth="1"/>
    <col min="6" max="6" width="25.28515625" customWidth="1"/>
    <col min="9" max="9" width="11.7109375" customWidth="1"/>
    <col min="11" max="11" width="14.28515625" customWidth="1"/>
    <col min="15" max="15" width="15.140625" customWidth="1"/>
    <col min="16" max="16" width="20" customWidth="1"/>
    <col min="18" max="18" width="20" customWidth="1"/>
  </cols>
  <sheetData>
    <row r="1" spans="1:21" x14ac:dyDescent="0.25">
      <c r="A1" t="s">
        <v>597</v>
      </c>
      <c r="B1" t="str">
        <f ca="1">TEXT(Swap_Date,"mm/dd/yyyy")</f>
        <v>03/26/2019</v>
      </c>
    </row>
    <row r="2" spans="1:21" x14ac:dyDescent="0.25">
      <c r="A2" t="s">
        <v>598</v>
      </c>
      <c r="B2" t="str">
        <f>"15:00:00"</f>
        <v>15:00:00</v>
      </c>
      <c r="C2" t="str">
        <f ca="1">B1&amp;" "&amp;B2</f>
        <v>03/26/2019 15:00:00</v>
      </c>
      <c r="D2" t="str">
        <f>"11:15:00"</f>
        <v>11:15:00</v>
      </c>
      <c r="E2" t="str">
        <f ca="1">$B$1&amp;" "&amp;D2</f>
        <v>03/26/2019 11:15:00</v>
      </c>
    </row>
    <row r="3" spans="1:21" x14ac:dyDescent="0.25">
      <c r="A3" t="s">
        <v>599</v>
      </c>
      <c r="B3" t="str">
        <f>"15:01:00"</f>
        <v>15:01:00</v>
      </c>
      <c r="C3" t="str">
        <f ca="1">B1&amp;" "&amp;B3</f>
        <v>03/26/2019 15:01:00</v>
      </c>
      <c r="D3" t="str">
        <f>"11:16:00"</f>
        <v>11:16:00</v>
      </c>
      <c r="E3" t="str">
        <f ca="1">$B$1&amp;" "&amp;D3</f>
        <v>03/26/2019 11:16:00</v>
      </c>
      <c r="F3" s="3"/>
      <c r="I3" s="3"/>
    </row>
    <row r="4" spans="1:21" x14ac:dyDescent="0.25">
      <c r="A4" t="s">
        <v>12</v>
      </c>
      <c r="B4">
        <v>6</v>
      </c>
      <c r="D4">
        <v>7</v>
      </c>
      <c r="F4">
        <v>100</v>
      </c>
      <c r="H4" t="s">
        <v>35</v>
      </c>
      <c r="S4" t="s">
        <v>594</v>
      </c>
      <c r="T4" t="s">
        <v>595</v>
      </c>
    </row>
    <row r="5" spans="1:21" x14ac:dyDescent="0.25">
      <c r="A5" t="s">
        <v>29</v>
      </c>
      <c r="B5" t="s">
        <v>30</v>
      </c>
      <c r="C5" t="s">
        <v>31</v>
      </c>
      <c r="D5" t="s">
        <v>32</v>
      </c>
      <c r="E5" t="s">
        <v>33</v>
      </c>
      <c r="F5" t="s">
        <v>34</v>
      </c>
      <c r="U5" t="s">
        <v>596</v>
      </c>
    </row>
    <row r="6" spans="1:21" x14ac:dyDescent="0.25">
      <c r="A6" s="1">
        <f ca="1">WORKDAY(Swap_Date,1)</f>
        <v>43551</v>
      </c>
      <c r="B6">
        <f ca="1">IF(_xll.BDH(H6,"PX_LAST",Cash_Date,Cash_Date)="#N/A N/A",0%,_xll.BDH(H6,"PX_LAST",Cash_Date,Cash_Date))</f>
        <v>2.3938800000000002</v>
      </c>
      <c r="C6" s="1">
        <f ca="1">nextimm(Swap_Date)</f>
        <v>43635</v>
      </c>
      <c r="D6">
        <f ca="1">IFERROR(100-_xll.BDH(I6,"PX_LAST",Future_Date,Future_Date),B9)</f>
        <v>2.5400000000000063</v>
      </c>
      <c r="E6" s="1">
        <f ca="1">EDATE(Swap_Date,24)</f>
        <v>44281</v>
      </c>
      <c r="F6">
        <f ca="1">IF(ISNUMBER(S6),S6,T6)</f>
        <v>2.3508</v>
      </c>
      <c r="H6" t="s">
        <v>36</v>
      </c>
      <c r="I6" t="s">
        <v>45</v>
      </c>
      <c r="J6" t="s">
        <v>620</v>
      </c>
      <c r="P6" s="46"/>
      <c r="R6" s="46">
        <f ca="1">_xll.BDH($J6,"Close",$C$2,$C$3,"BarType","T","Dir=V","cols=2;rows=1")</f>
        <v>43550.625</v>
      </c>
      <c r="S6">
        <v>2.3508</v>
      </c>
      <c r="T6">
        <f ca="1">_xll.BDH($J6,"LAST_PRICE",Swap_Date,Swap_Date)</f>
        <v>2.3525999999999998</v>
      </c>
      <c r="U6">
        <f ca="1">S6-T6</f>
        <v>-1.7999999999998018E-3</v>
      </c>
    </row>
    <row r="7" spans="1:21" x14ac:dyDescent="0.25">
      <c r="A7" s="1">
        <f ca="1">EDATE(Swap_Date,1)</f>
        <v>43581</v>
      </c>
      <c r="B7">
        <f ca="1">IF(_xll.BDH(H7,"PX_LAST",Cash_Date,Cash_Date)="#N/A N/A",0%,_xll.BDH(H7,"PX_LAST",Cash_Date,Cash_Date))</f>
        <v>2.4954999999999998</v>
      </c>
      <c r="C7" s="1">
        <f ca="1">nextimm(C6+1)</f>
        <v>43726</v>
      </c>
      <c r="D7">
        <f ca="1">IFERROR(100-_xll.BDH(I7,"PX_LAST",Future_Date,Future_Date),0)</f>
        <v>2.4449999999999932</v>
      </c>
      <c r="E7" s="1">
        <f ca="1">EDATE(E6,12)</f>
        <v>44646</v>
      </c>
      <c r="F7">
        <f t="shared" ref="F7:F25" ca="1" si="0">IF(ISNUMBER(S7),S7,T7)</f>
        <v>2.2541000000000002</v>
      </c>
      <c r="H7" t="s">
        <v>37</v>
      </c>
      <c r="I7" t="s">
        <v>46</v>
      </c>
      <c r="J7" t="s">
        <v>621</v>
      </c>
      <c r="O7" s="46" t="s">
        <v>740</v>
      </c>
      <c r="R7" s="46">
        <f ca="1">_xll.BDH($J7,"Close",$C$2,$C$3,"BarType","T","Dir=V","cols=2;rows=1")</f>
        <v>43550.625</v>
      </c>
      <c r="S7">
        <v>2.2541000000000002</v>
      </c>
      <c r="T7">
        <f ca="1">_xll.BDH($J7,"LAST_PRICE",Swap_Date,Swap_Date)</f>
        <v>2.2599999999999998</v>
      </c>
      <c r="U7">
        <f t="shared" ref="U7:U25" ca="1" si="1">S7-T7</f>
        <v>-5.8999999999995723E-3</v>
      </c>
    </row>
    <row r="8" spans="1:21" x14ac:dyDescent="0.25">
      <c r="A8" s="1">
        <f ca="1">EDATE(Swap_Date,2)</f>
        <v>43611</v>
      </c>
      <c r="B8">
        <f ca="1">IF(_xll.BDH(H8,"PX_LAST",Cash_Date,Cash_Date)="#N/A N/A",0%,_xll.BDH(H8,"PX_LAST",Cash_Date,Cash_Date))</f>
        <v>2.55775</v>
      </c>
      <c r="C8" s="1">
        <f t="shared" ref="C8:C13" ca="1" si="2">nextimm(C7+1)</f>
        <v>43817</v>
      </c>
      <c r="D8">
        <f ca="1">IFERROR(100-_xll.BDH(I8,"PX_LAST",Future_Date,Future_Date),0)</f>
        <v>2.4000000000000057</v>
      </c>
      <c r="E8" s="1">
        <f t="shared" ref="E8:E21" ca="1" si="3">EDATE(E7,12)</f>
        <v>45011</v>
      </c>
      <c r="F8">
        <f t="shared" ca="1" si="0"/>
        <v>2.2248000000000001</v>
      </c>
      <c r="H8" t="s">
        <v>38</v>
      </c>
      <c r="I8" t="s">
        <v>47</v>
      </c>
      <c r="J8" t="s">
        <v>622</v>
      </c>
      <c r="P8" s="46"/>
      <c r="R8" s="46">
        <f ca="1">_xll.BDH($J8,"Close",$C$2,$C$3,"BarType","T","Dir=V","cols=2;rows=1")</f>
        <v>43550.625</v>
      </c>
      <c r="S8">
        <v>2.2248000000000001</v>
      </c>
      <c r="T8">
        <f ca="1">_xll.BDH($J8,"LAST_PRICE",Swap_Date,Swap_Date)</f>
        <v>2.2343999999999999</v>
      </c>
      <c r="U8">
        <f t="shared" ca="1" si="1"/>
        <v>-9.5999999999998309E-3</v>
      </c>
    </row>
    <row r="9" spans="1:21" x14ac:dyDescent="0.25">
      <c r="A9" s="1">
        <f ca="1">EDATE(Swap_Date,3)</f>
        <v>43642</v>
      </c>
      <c r="B9">
        <f ca="1">IF(_xll.BDH(H9,"PX_LAST",Cash_Date,Cash_Date)="#N/A N/A",0%,_xll.BDH(H9,"PX_LAST",Cash_Date,Cash_Date))</f>
        <v>2.5973800000000002</v>
      </c>
      <c r="C9" s="1">
        <f t="shared" ca="1" si="2"/>
        <v>43908</v>
      </c>
      <c r="D9">
        <f ca="1">IFERROR(100-_xll.BDH(I9,"PX_LAST",Future_Date,Future_Date),0)</f>
        <v>2.2549999999999955</v>
      </c>
      <c r="E9" s="1">
        <f t="shared" ca="1" si="3"/>
        <v>45377</v>
      </c>
      <c r="F9">
        <f t="shared" ca="1" si="0"/>
        <v>2.2294999999999998</v>
      </c>
      <c r="H9" t="s">
        <v>39</v>
      </c>
      <c r="I9" t="s">
        <v>48</v>
      </c>
      <c r="J9" t="s">
        <v>623</v>
      </c>
      <c r="P9" s="46"/>
      <c r="R9" s="46">
        <f ca="1">_xll.BDH($J9,"Close",$C$2,$C$3,"BarType","T","Dir=V","cols=2;rows=1")</f>
        <v>43550.625</v>
      </c>
      <c r="S9">
        <v>2.2294999999999998</v>
      </c>
      <c r="T9">
        <f ca="1">_xll.BDH($J9,"LAST_PRICE",Swap_Date,Swap_Date)</f>
        <v>2.2406999999999999</v>
      </c>
      <c r="U9">
        <f t="shared" ca="1" si="1"/>
        <v>-1.1200000000000099E-2</v>
      </c>
    </row>
    <row r="10" spans="1:21" x14ac:dyDescent="0.25">
      <c r="A10" s="1">
        <f ca="1">EDATE(Swap_Date,6)</f>
        <v>43734</v>
      </c>
      <c r="B10">
        <f ca="1">IF(_xll.BDH(H10,"PX_LAST",Cash_Date,Cash_Date)="#N/A N/A",0%,_xll.BDH(H10,"PX_LAST",Cash_Date,Cash_Date))</f>
        <v>2.6821299999999999</v>
      </c>
      <c r="C10" s="1">
        <f t="shared" ca="1" si="2"/>
        <v>43999</v>
      </c>
      <c r="D10">
        <f ca="1">IFERROR(100-_xll.BDH(I10,"PX_LAST",Future_Date,Future_Date),0)</f>
        <v>2.144999999999996</v>
      </c>
      <c r="E10" s="1">
        <f t="shared" ca="1" si="3"/>
        <v>45742</v>
      </c>
      <c r="F10">
        <f t="shared" ca="1" si="0"/>
        <v>2.2483</v>
      </c>
      <c r="H10" t="s">
        <v>40</v>
      </c>
      <c r="I10" t="s">
        <v>49</v>
      </c>
      <c r="J10" t="s">
        <v>624</v>
      </c>
      <c r="P10" s="46"/>
      <c r="R10" s="46">
        <f ca="1">_xll.BDH($J10,"Close",$C$2,$C$3,"BarType","T","Dir=V","cols=2;rows=1")</f>
        <v>43550.625</v>
      </c>
      <c r="S10">
        <v>2.2483</v>
      </c>
      <c r="T10">
        <f ca="1">_xll.BDH($J10,"LAST_PRICE",Swap_Date,Swap_Date)</f>
        <v>2.2601</v>
      </c>
      <c r="U10">
        <f t="shared" ca="1" si="1"/>
        <v>-1.1800000000000033E-2</v>
      </c>
    </row>
    <row r="11" spans="1:21" x14ac:dyDescent="0.25">
      <c r="A11" s="1">
        <f ca="1">EDATE(Swap_Date,12)</f>
        <v>43916</v>
      </c>
      <c r="B11">
        <f ca="1">IF(_xll.BDH(H11,"PX_LAST",Cash_Date,Cash_Date)="#N/A N/A",0%,_xll.BDH(H11,"PX_LAST",Cash_Date,Cash_Date))</f>
        <v>2.7246299999999999</v>
      </c>
      <c r="C11" s="1">
        <f t="shared" ca="1" si="2"/>
        <v>44090</v>
      </c>
      <c r="D11">
        <f ca="1">IFERROR(100-_xll.BDH(I11,"PX_LAST",Future_Date,Future_Date),0)</f>
        <v>2.0699999999999932</v>
      </c>
      <c r="E11" s="1">
        <f t="shared" ca="1" si="3"/>
        <v>46107</v>
      </c>
      <c r="F11">
        <f t="shared" ca="1" si="0"/>
        <v>2.2749999999999999</v>
      </c>
      <c r="H11" t="s">
        <v>41</v>
      </c>
      <c r="I11" t="s">
        <v>581</v>
      </c>
      <c r="J11" t="s">
        <v>625</v>
      </c>
      <c r="P11" s="46"/>
      <c r="R11" s="46">
        <f ca="1">_xll.BDH($J11,"Close",$C$2,$C$3,"BarType","T","Dir=V","cols=2;rows=1")</f>
        <v>43550.625</v>
      </c>
      <c r="S11">
        <v>2.2749999999999999</v>
      </c>
      <c r="T11">
        <f ca="1">_xll.BDH($J11,"LAST_PRICE",Swap_Date,Swap_Date)</f>
        <v>2.2862</v>
      </c>
      <c r="U11">
        <f t="shared" ca="1" si="1"/>
        <v>-1.1200000000000099E-2</v>
      </c>
    </row>
    <row r="12" spans="1:21" x14ac:dyDescent="0.25">
      <c r="C12" s="1">
        <f t="shared" ca="1" si="2"/>
        <v>44181</v>
      </c>
      <c r="D12">
        <f ca="1">IFERROR(100-_xll.BDH(I12,"PX_LAST",Future_Date,Future_Date),0)</f>
        <v>2.0550000000000068</v>
      </c>
      <c r="E12" s="1">
        <f t="shared" ca="1" si="3"/>
        <v>46472</v>
      </c>
      <c r="F12">
        <f t="shared" ca="1" si="0"/>
        <v>2.3060999999999998</v>
      </c>
      <c r="I12" t="s">
        <v>582</v>
      </c>
      <c r="J12" t="s">
        <v>626</v>
      </c>
      <c r="P12" s="46"/>
      <c r="R12" s="46">
        <f ca="1">_xll.BDH($J12,"Close",$C$2,$C$3,"BarType","T","Dir=V","cols=2;rows=1")</f>
        <v>43550.625</v>
      </c>
      <c r="S12">
        <v>2.3060999999999998</v>
      </c>
      <c r="T12">
        <f ca="1">_xll.BDH($J12,"LAST_PRICE",Swap_Date,Swap_Date)</f>
        <v>2.3172999999999999</v>
      </c>
      <c r="U12">
        <f t="shared" ca="1" si="1"/>
        <v>-1.1200000000000099E-2</v>
      </c>
    </row>
    <row r="13" spans="1:21" x14ac:dyDescent="0.25">
      <c r="C13" s="1">
        <f t="shared" ca="1" si="2"/>
        <v>44272</v>
      </c>
      <c r="D13">
        <f ca="1">IFERROR(100-_xll.BDH(I13,"PX_LAST",Future_Date,Future_Date),0)</f>
        <v>2.2549999999999955</v>
      </c>
      <c r="E13" s="1">
        <f t="shared" ca="1" si="3"/>
        <v>46838</v>
      </c>
      <c r="F13">
        <f t="shared" ca="1" si="0"/>
        <v>2.34</v>
      </c>
      <c r="I13" t="s">
        <v>48</v>
      </c>
      <c r="J13" t="s">
        <v>627</v>
      </c>
      <c r="P13" s="46"/>
      <c r="R13" s="46">
        <f ca="1">_xll.BDH($J13,"Close",$C$2,$C$3,"BarType","T","Dir=V","cols=2;rows=1")</f>
        <v>43550.625</v>
      </c>
      <c r="S13">
        <v>2.34</v>
      </c>
      <c r="T13">
        <f ca="1">_xll.BDH($J13,"LAST_PRICE",Swap_Date,Swap_Date)</f>
        <v>2.3521999999999998</v>
      </c>
      <c r="U13">
        <f t="shared" ca="1" si="1"/>
        <v>-1.2199999999999989E-2</v>
      </c>
    </row>
    <row r="14" spans="1:21" x14ac:dyDescent="0.25">
      <c r="E14" s="1">
        <f t="shared" ca="1" si="3"/>
        <v>47203</v>
      </c>
      <c r="F14">
        <f t="shared" ca="1" si="0"/>
        <v>2.3742000000000001</v>
      </c>
      <c r="J14" t="s">
        <v>628</v>
      </c>
      <c r="P14" s="46"/>
      <c r="R14" s="46">
        <f ca="1">_xll.BDH($J14,"Close",$C$2,$C$3,"BarType","T","Dir=V","cols=2;rows=1")</f>
        <v>43550.625</v>
      </c>
      <c r="S14">
        <v>2.3742000000000001</v>
      </c>
      <c r="T14">
        <f ca="1">_xll.BDH($J14,"LAST_PRICE",Swap_Date,Swap_Date)</f>
        <v>2.3858000000000001</v>
      </c>
      <c r="U14">
        <f t="shared" ca="1" si="1"/>
        <v>-1.1600000000000055E-2</v>
      </c>
    </row>
    <row r="15" spans="1:21" x14ac:dyDescent="0.25">
      <c r="E15" s="1">
        <f t="shared" ca="1" si="3"/>
        <v>47568</v>
      </c>
      <c r="F15">
        <f t="shared" ca="1" si="0"/>
        <v>2.4079999999999999</v>
      </c>
      <c r="J15" t="s">
        <v>629</v>
      </c>
      <c r="P15" s="46"/>
      <c r="R15" s="46">
        <f ca="1">_xll.BDH($J15,"Close",$C$2,$C$3,"BarType","T","Dir=V","cols=2;rows=1")</f>
        <v>43550.625</v>
      </c>
      <c r="S15">
        <v>2.4079999999999999</v>
      </c>
      <c r="T15">
        <f ca="1">_xll.BDH($J15,"LAST_PRICE",Swap_Date,Swap_Date)</f>
        <v>2.4180000000000001</v>
      </c>
      <c r="U15">
        <f t="shared" ca="1" si="1"/>
        <v>-1.0000000000000231E-2</v>
      </c>
    </row>
    <row r="16" spans="1:21" x14ac:dyDescent="0.25">
      <c r="E16" s="1">
        <f t="shared" ca="1" si="3"/>
        <v>47933</v>
      </c>
      <c r="F16">
        <f t="shared" ca="1" si="0"/>
        <v>2.4371</v>
      </c>
      <c r="J16" t="s">
        <v>630</v>
      </c>
      <c r="P16" s="46"/>
      <c r="R16" s="46">
        <f ca="1">_xll.BDH($J16,"Close",$C$2,$C$3,"BarType","T","Dir=V","cols=2;rows=1")</f>
        <v>43550.625</v>
      </c>
      <c r="S16">
        <v>2.4371</v>
      </c>
      <c r="T16">
        <f ca="1">_xll.BDH($J16,"LAST_PRICE",Swap_Date,Swap_Date)</f>
        <v>2.4462999999999999</v>
      </c>
      <c r="U16">
        <f t="shared" ca="1" si="1"/>
        <v>-9.1999999999998749E-3</v>
      </c>
    </row>
    <row r="17" spans="1:21" x14ac:dyDescent="0.25">
      <c r="E17" s="1">
        <f t="shared" ca="1" si="3"/>
        <v>48299</v>
      </c>
      <c r="F17">
        <f ca="1">IF(ISNUMBER(S17),S17,T17)</f>
        <v>2.5369999999999999</v>
      </c>
      <c r="J17" t="s">
        <v>631</v>
      </c>
      <c r="P17" s="46"/>
      <c r="R17" s="46" t="str">
        <f ca="1">_xll.BDH($J17,"Close",$C$2,$C$3,"BarType","T","Dir=V")</f>
        <v>#N/A N/A</v>
      </c>
      <c r="T17">
        <f ca="1">_xll.BDH($J17,"LAST_PRICE",Swap_Date,Swap_Date)</f>
        <v>2.5369999999999999</v>
      </c>
      <c r="U17">
        <f t="shared" ca="1" si="1"/>
        <v>-2.5369999999999999</v>
      </c>
    </row>
    <row r="18" spans="1:21" x14ac:dyDescent="0.25">
      <c r="E18" s="1">
        <f t="shared" ca="1" si="3"/>
        <v>48664</v>
      </c>
      <c r="F18">
        <f t="shared" ca="1" si="0"/>
        <v>2.4929999999999999</v>
      </c>
      <c r="J18" t="s">
        <v>632</v>
      </c>
      <c r="P18" s="46"/>
      <c r="R18" s="46" t="str">
        <f ca="1">_xll.BDH($J18,"Close",$C$2,$C$3,"BarType","T","Dir=V")</f>
        <v>#N/A N/A</v>
      </c>
      <c r="T18">
        <f ca="1">_xll.BDH($J18,"LAST_PRICE",Swap_Date,Swap_Date)</f>
        <v>2.4929999999999999</v>
      </c>
      <c r="U18">
        <f t="shared" ca="1" si="1"/>
        <v>-2.4929999999999999</v>
      </c>
    </row>
    <row r="19" spans="1:21" x14ac:dyDescent="0.25">
      <c r="E19" s="1">
        <f t="shared" ca="1" si="3"/>
        <v>49029</v>
      </c>
      <c r="F19">
        <f t="shared" ca="1" si="0"/>
        <v>2.5015999999999998</v>
      </c>
      <c r="J19" t="s">
        <v>633</v>
      </c>
      <c r="P19" s="46"/>
      <c r="R19" s="46">
        <f ca="1">_xll.BDH($J19,"Close",$C$2,$C$3,"BarType","T","Dir=V","cols=2;rows=1")</f>
        <v>43550.625</v>
      </c>
      <c r="S19">
        <v>2.5015999999999998</v>
      </c>
      <c r="T19">
        <f ca="1">_xll.BDH($J19,"LAST_PRICE",Swap_Date,Swap_Date)</f>
        <v>2.5125999999999999</v>
      </c>
      <c r="U19">
        <f t="shared" ca="1" si="1"/>
        <v>-1.1000000000000121E-2</v>
      </c>
    </row>
    <row r="20" spans="1:21" x14ac:dyDescent="0.25">
      <c r="E20" s="1">
        <f t="shared" ca="1" si="3"/>
        <v>49394</v>
      </c>
      <c r="F20">
        <f t="shared" ca="1" si="0"/>
        <v>2.5179999999999998</v>
      </c>
      <c r="J20" t="s">
        <v>634</v>
      </c>
      <c r="P20" s="46"/>
      <c r="R20" s="46">
        <f ca="1">_xll.BDH($J20,"Close",$C$2,$C$3,"BarType","T","Dir=V","cols=2;rows=1")</f>
        <v>43550.625</v>
      </c>
      <c r="S20">
        <v>2.5179999999999998</v>
      </c>
      <c r="T20">
        <f ca="1">_xll.BDH($J20,"LAST_PRICE",Swap_Date,Swap_Date)</f>
        <v>2.5255000000000001</v>
      </c>
      <c r="U20">
        <f t="shared" ca="1" si="1"/>
        <v>-7.5000000000002842E-3</v>
      </c>
    </row>
    <row r="21" spans="1:21" x14ac:dyDescent="0.25">
      <c r="E21" s="1">
        <f t="shared" ca="1" si="3"/>
        <v>49760</v>
      </c>
      <c r="F21">
        <f t="shared" ca="1" si="0"/>
        <v>2.532</v>
      </c>
      <c r="J21" t="s">
        <v>635</v>
      </c>
      <c r="P21" s="46"/>
      <c r="R21" s="46">
        <f ca="1">_xll.BDH($J21,"Close",$C$2,$C$3,"BarType","T","Dir=V","cols=2;rows=1")</f>
        <v>43550.625</v>
      </c>
      <c r="S21">
        <v>2.532</v>
      </c>
      <c r="T21">
        <f ca="1">_xll.BDH($J21,"LAST_PRICE",Swap_Date,Swap_Date)</f>
        <v>2.5385</v>
      </c>
      <c r="U21">
        <f t="shared" ca="1" si="1"/>
        <v>-6.4999999999999503E-3</v>
      </c>
    </row>
    <row r="22" spans="1:21" x14ac:dyDescent="0.25">
      <c r="E22" s="1">
        <f ca="1">EDATE(E21,36)</f>
        <v>50855</v>
      </c>
      <c r="F22">
        <f t="shared" ca="1" si="0"/>
        <v>2.5581</v>
      </c>
      <c r="J22" t="s">
        <v>636</v>
      </c>
      <c r="P22" s="46"/>
      <c r="R22" s="46">
        <f ca="1">_xll.BDH($J22,"Close",$C$2,$C$3,"BarType","T","Dir=V","cols=2;rows=1")</f>
        <v>43550.625</v>
      </c>
      <c r="S22">
        <v>2.5581</v>
      </c>
      <c r="T22">
        <f ca="1">_xll.BDH($J22,"LAST_PRICE",Swap_Date,Swap_Date)</f>
        <v>2.5646</v>
      </c>
      <c r="U22">
        <f t="shared" ca="1" si="1"/>
        <v>-6.4999999999999503E-3</v>
      </c>
    </row>
    <row r="23" spans="1:21" x14ac:dyDescent="0.25">
      <c r="E23" s="1">
        <f ca="1">EDATE(E22,60)</f>
        <v>52682</v>
      </c>
      <c r="F23">
        <f t="shared" ca="1" si="0"/>
        <v>2.5777000000000001</v>
      </c>
      <c r="J23" t="s">
        <v>637</v>
      </c>
      <c r="P23" s="46"/>
      <c r="R23" s="46">
        <f ca="1">_xll.BDH($J23,"Close",$C$2,$C$3,"BarType","T","Dir=V","cols=2;rows=1")</f>
        <v>43550.625</v>
      </c>
      <c r="S23">
        <v>2.5777000000000001</v>
      </c>
      <c r="T23">
        <f ca="1">_xll.BDH($J23,"LAST_PRICE",Swap_Date,Swap_Date)</f>
        <v>2.5840000000000001</v>
      </c>
      <c r="U23">
        <f t="shared" ca="1" si="1"/>
        <v>-6.2999999999999723E-3</v>
      </c>
    </row>
    <row r="24" spans="1:21" x14ac:dyDescent="0.25">
      <c r="E24" s="1">
        <f ca="1">EDATE(E23,60)</f>
        <v>54508</v>
      </c>
      <c r="F24">
        <f t="shared" ca="1" si="0"/>
        <v>2.5851999999999999</v>
      </c>
      <c r="J24" t="s">
        <v>638</v>
      </c>
      <c r="P24" s="46"/>
      <c r="R24" s="46">
        <f ca="1">_xll.BDH($J24,"Close",$C$2,$C$3,"BarType","T","Dir=V","cols=2;rows=1")</f>
        <v>43550.625</v>
      </c>
      <c r="S24">
        <v>2.5851999999999999</v>
      </c>
      <c r="T24">
        <f ca="1">_xll.BDH($J24,"LAST_PRICE",Swap_Date,Swap_Date)</f>
        <v>2.5910000000000002</v>
      </c>
      <c r="U24">
        <f t="shared" ca="1" si="1"/>
        <v>-5.8000000000002494E-3</v>
      </c>
    </row>
    <row r="25" spans="1:21" x14ac:dyDescent="0.25">
      <c r="E25" s="1">
        <f ca="1">EDATE(E24,120)</f>
        <v>58160</v>
      </c>
      <c r="F25">
        <f t="shared" ca="1" si="0"/>
        <v>2.5669</v>
      </c>
      <c r="J25" t="s">
        <v>639</v>
      </c>
      <c r="P25" s="46"/>
      <c r="R25" s="46">
        <f ca="1">_xll.BDH($J25,"Close",$C$2,$C$3,"BarType","T","Dir=V","cols=2;rows=1")</f>
        <v>43550.625</v>
      </c>
      <c r="S25">
        <v>2.5669</v>
      </c>
      <c r="T25">
        <f ca="1">_xll.BDH($J25,"LAST_PRICE",Swap_Date,Swap_Date)</f>
        <v>2.5699000000000001</v>
      </c>
      <c r="U25">
        <f t="shared" ca="1" si="1"/>
        <v>-3.0000000000001137E-3</v>
      </c>
    </row>
    <row r="26" spans="1:21" x14ac:dyDescent="0.25">
      <c r="E26" s="1">
        <f ca="1">EDATE(E25,12)</f>
        <v>58526</v>
      </c>
      <c r="F26">
        <f ca="1">F25</f>
        <v>2.5669</v>
      </c>
    </row>
    <row r="29" spans="1:21" x14ac:dyDescent="0.25">
      <c r="A29" t="s">
        <v>13</v>
      </c>
      <c r="B29">
        <v>6</v>
      </c>
      <c r="D29">
        <v>7</v>
      </c>
      <c r="F29">
        <v>100</v>
      </c>
    </row>
    <row r="30" spans="1:21" x14ac:dyDescent="0.25">
      <c r="A30" t="s">
        <v>29</v>
      </c>
      <c r="B30" t="s">
        <v>30</v>
      </c>
      <c r="C30" t="s">
        <v>31</v>
      </c>
      <c r="D30" t="s">
        <v>32</v>
      </c>
      <c r="E30" t="s">
        <v>33</v>
      </c>
      <c r="F30" t="s">
        <v>34</v>
      </c>
    </row>
    <row r="31" spans="1:21" x14ac:dyDescent="0.25">
      <c r="A31" s="1">
        <f ca="1">WORKDAY(Swap_Date,1)</f>
        <v>43551</v>
      </c>
      <c r="B31">
        <f ca="1">_xll.BDH(H31,"PX_LAST",Cash_Date,Cash_Date)</f>
        <v>-0.36070000000000002</v>
      </c>
      <c r="C31" s="1">
        <f ca="1">nextimm(Swap_Date)</f>
        <v>43635</v>
      </c>
      <c r="D31">
        <f ca="1">IF(ISNUMBER(_xll.BDH(I31,"PX_LAST",Future_Date,Future_Date)),100-_xll.BDH(I31,"PX_LAST",Future_Date,Future_Date),B32)</f>
        <v>-0.29500000000000171</v>
      </c>
      <c r="E31" s="1">
        <f ca="1">EDATE(Swap_Date,24)</f>
        <v>44281</v>
      </c>
      <c r="F31">
        <f ca="1">IF(ISNUMBER(S31),S31,T31)</f>
        <v>-0.17549999999999999</v>
      </c>
      <c r="H31" t="s">
        <v>6</v>
      </c>
      <c r="I31" t="s">
        <v>80</v>
      </c>
      <c r="J31" t="s">
        <v>600</v>
      </c>
      <c r="P31" s="46"/>
      <c r="R31" s="46" t="str">
        <f ca="1">_xll.BDH($J31,"Close",$E$2,$E$3,"BarType","T","Dir=V")</f>
        <v>#N/A N/A</v>
      </c>
      <c r="T31">
        <f ca="1">_xll.BDH($J31,"LAST_PRICE",Swap_Date,Swap_Date)</f>
        <v>-0.17549999999999999</v>
      </c>
      <c r="U31">
        <f ca="1">S31-T31</f>
        <v>0.17549999999999999</v>
      </c>
    </row>
    <row r="32" spans="1:21" x14ac:dyDescent="0.25">
      <c r="A32" s="1">
        <f ca="1">EDATE(Swap_Date,1)</f>
        <v>43581</v>
      </c>
      <c r="B32">
        <f ca="1">_xll.BDH(H32,"PX_LAST",Cash_Date,Cash_Date)</f>
        <v>-0.36799999999999999</v>
      </c>
      <c r="C32" s="1">
        <f ca="1">nextimm(C31+1)</f>
        <v>43726</v>
      </c>
      <c r="D32">
        <f ca="1">IFERROR(100-_xll.BDH(I32,"PX_LAST",Future_Date,Future_Date),D31)</f>
        <v>-0.29000000000000625</v>
      </c>
      <c r="E32" s="1">
        <f ca="1">EDATE(E31,12)</f>
        <v>44646</v>
      </c>
      <c r="F32">
        <f t="shared" ref="F32:F50" ca="1" si="4">IF(ISNUMBER(S32),S32,T32)</f>
        <v>-0.1065</v>
      </c>
      <c r="H32" t="s">
        <v>72</v>
      </c>
      <c r="I32" t="s">
        <v>81</v>
      </c>
      <c r="J32" t="s">
        <v>601</v>
      </c>
      <c r="P32" s="46"/>
      <c r="R32" s="46" t="str">
        <f ca="1">_xll.BDH($J32,"Close",$E$2,$E$3,"BarType","T","Dir=V")</f>
        <v>#N/A N/A</v>
      </c>
      <c r="T32">
        <f ca="1">_xll.BDH($J32,"LAST_PRICE",Swap_Date,Swap_Date)</f>
        <v>-0.1065</v>
      </c>
      <c r="U32">
        <f t="shared" ref="U32:U50" ca="1" si="5">S32-T32</f>
        <v>0.1065</v>
      </c>
    </row>
    <row r="33" spans="1:21" x14ac:dyDescent="0.25">
      <c r="A33" s="1">
        <f ca="1">EDATE(Swap_Date,2)</f>
        <v>43611</v>
      </c>
      <c r="B33">
        <f ca="1">IF(ISNUMBER(_xll.BDH(H33,"PX_LAST",Cash_Date,Cash_Date)),_xll.BDH(H33,"PX_LAST",Cash_Date,Cash_Date),0.5*(B32+B34))</f>
        <v>-0.33850000000000002</v>
      </c>
      <c r="C33" s="1">
        <f t="shared" ref="C33:C38" ca="1" si="6">nextimm(C32+1)</f>
        <v>43817</v>
      </c>
      <c r="D33">
        <f ca="1">100-_xll.BDH(I33,"PX_LAST",Future_Date,Future_Date)</f>
        <v>-0.28499999999999659</v>
      </c>
      <c r="E33" s="1">
        <f t="shared" ref="E33:E46" ca="1" si="7">EDATE(E32,12)</f>
        <v>45011</v>
      </c>
      <c r="F33">
        <f t="shared" ca="1" si="4"/>
        <v>-2.81E-2</v>
      </c>
      <c r="H33" t="s">
        <v>73</v>
      </c>
      <c r="I33" t="s">
        <v>82</v>
      </c>
      <c r="J33" t="s">
        <v>602</v>
      </c>
      <c r="P33" s="46"/>
      <c r="R33" s="46">
        <f ca="1">_xll.BDH($J33,"Close",$E$2,$E$3,"BarType","T","Dir=V","cols=2;rows=1")</f>
        <v>43550.46875</v>
      </c>
      <c r="S33">
        <v>-2.81E-2</v>
      </c>
      <c r="T33">
        <f ca="1">_xll.BDH($J33,"LAST_PRICE",Swap_Date,Swap_Date)</f>
        <v>-2.5000000000000001E-2</v>
      </c>
      <c r="U33">
        <f t="shared" ca="1" si="5"/>
        <v>-3.0999999999999986E-3</v>
      </c>
    </row>
    <row r="34" spans="1:21" x14ac:dyDescent="0.25">
      <c r="A34" s="1">
        <f ca="1">EDATE(Swap_Date,3)</f>
        <v>43642</v>
      </c>
      <c r="B34">
        <f ca="1">_xll.BDH(H34,"PX_LAST",Cash_Date,Cash_Date)</f>
        <v>-0.309</v>
      </c>
      <c r="C34" s="1">
        <f t="shared" ca="1" si="6"/>
        <v>43908</v>
      </c>
      <c r="D34">
        <f ca="1">100-_xll.BDH(I34,"PX_LAST",Future_Date,Future_Date)</f>
        <v>-0.26000000000000512</v>
      </c>
      <c r="E34" s="1">
        <f t="shared" ca="1" si="7"/>
        <v>45377</v>
      </c>
      <c r="F34">
        <f t="shared" ca="1" si="4"/>
        <v>5.6399999999999999E-2</v>
      </c>
      <c r="H34" t="s">
        <v>74</v>
      </c>
      <c r="I34" t="s">
        <v>83</v>
      </c>
      <c r="J34" t="s">
        <v>603</v>
      </c>
      <c r="P34" s="46"/>
      <c r="R34" s="46">
        <f ca="1">_xll.BDH($J34,"Close",$E$2,$E$3,"BarType","T","Dir=V","cols=2;rows=1")</f>
        <v>43550.46875</v>
      </c>
      <c r="S34">
        <v>5.6399999999999999E-2</v>
      </c>
      <c r="T34">
        <f ca="1">_xll.BDH($J34,"LAST_PRICE",Swap_Date,Swap_Date)</f>
        <v>5.2999999999999999E-2</v>
      </c>
      <c r="U34">
        <f t="shared" ca="1" si="5"/>
        <v>3.4000000000000002E-3</v>
      </c>
    </row>
    <row r="35" spans="1:21" x14ac:dyDescent="0.25">
      <c r="A35" s="1">
        <f ca="1">EDATE(Swap_Date,6)</f>
        <v>43734</v>
      </c>
      <c r="B35">
        <f ca="1">_xll.BDH(H35,"PX_LAST",Cash_Date,Cash_Date)</f>
        <v>-0.22800000000000001</v>
      </c>
      <c r="C35" s="1">
        <f t="shared" ca="1" si="6"/>
        <v>43999</v>
      </c>
      <c r="D35">
        <f ca="1">100-_xll.BDH(I35,"PX_LAST",Future_Date,Future_Date)</f>
        <v>-0.23499999999999943</v>
      </c>
      <c r="E35" s="1">
        <f t="shared" ca="1" si="7"/>
        <v>45742</v>
      </c>
      <c r="F35">
        <f t="shared" ca="1" si="4"/>
        <v>0.14199999999999999</v>
      </c>
      <c r="H35" t="s">
        <v>75</v>
      </c>
      <c r="I35" t="s">
        <v>84</v>
      </c>
      <c r="J35" t="s">
        <v>604</v>
      </c>
      <c r="P35" s="46"/>
      <c r="R35" s="46">
        <f ca="1">_xll.BDH($J35,"Close",$E$2,$E$3,"BarType","T","Dir=V","cols=2;rows=1")</f>
        <v>43550.46875</v>
      </c>
      <c r="S35">
        <v>0.14199999999999999</v>
      </c>
      <c r="T35">
        <f ca="1">_xll.BDH($J35,"LAST_PRICE",Swap_Date,Swap_Date)</f>
        <v>0.13900000000000001</v>
      </c>
      <c r="U35">
        <f t="shared" ca="1" si="5"/>
        <v>2.9999999999999749E-3</v>
      </c>
    </row>
    <row r="36" spans="1:21" x14ac:dyDescent="0.25">
      <c r="A36" s="1">
        <f ca="1">EDATE(Swap_Date,12)</f>
        <v>43916</v>
      </c>
      <c r="B36">
        <f ca="1">_xll.BDH(H36,"PX_LAST",Cash_Date,Cash_Date)</f>
        <v>-0.108</v>
      </c>
      <c r="C36" s="1">
        <f t="shared" ca="1" si="6"/>
        <v>44090</v>
      </c>
      <c r="D36">
        <f ca="1">100-_xll.BDH(I36,"PX_LAST",Future_Date,Future_Date)</f>
        <v>-0.20000000000000284</v>
      </c>
      <c r="E36" s="1">
        <f t="shared" ca="1" si="7"/>
        <v>46107</v>
      </c>
      <c r="F36">
        <f t="shared" ca="1" si="4"/>
        <v>0.23250000000000001</v>
      </c>
      <c r="H36" t="s">
        <v>76</v>
      </c>
      <c r="I36" t="s">
        <v>583</v>
      </c>
      <c r="J36" t="s">
        <v>605</v>
      </c>
      <c r="P36" s="46"/>
      <c r="R36" s="46">
        <f ca="1">_xll.BDH($J36,"Close",$E$2,$E$3,"BarType","T","Dir=V","cols=2;rows=1")</f>
        <v>43550.46875</v>
      </c>
      <c r="S36">
        <v>0.23250000000000001</v>
      </c>
      <c r="T36">
        <f ca="1">_xll.BDH($J36,"LAST_PRICE",Swap_Date,Swap_Date)</f>
        <v>0.22800000000000001</v>
      </c>
      <c r="U36">
        <f t="shared" ca="1" si="5"/>
        <v>4.500000000000004E-3</v>
      </c>
    </row>
    <row r="37" spans="1:21" x14ac:dyDescent="0.25">
      <c r="C37" s="1">
        <f t="shared" ca="1" si="6"/>
        <v>44181</v>
      </c>
      <c r="D37">
        <f ca="1">100-_xll.BDH(I37,"PX_LAST",Future_Date,Future_Date)</f>
        <v>-0.15999999999999659</v>
      </c>
      <c r="E37" s="1">
        <f t="shared" ca="1" si="7"/>
        <v>46472</v>
      </c>
      <c r="F37">
        <f t="shared" ca="1" si="4"/>
        <v>0.32490000000000002</v>
      </c>
      <c r="I37" t="s">
        <v>584</v>
      </c>
      <c r="J37" t="s">
        <v>606</v>
      </c>
      <c r="P37" s="46"/>
      <c r="R37" s="46">
        <f ca="1">_xll.BDH($J37,"Close",$E$2,$E$3,"BarType","T","Dir=V","cols=2;rows=1")</f>
        <v>43550.46875</v>
      </c>
      <c r="S37">
        <v>0.32490000000000002</v>
      </c>
      <c r="T37">
        <f ca="1">_xll.BDH($J37,"LAST_PRICE",Swap_Date,Swap_Date)</f>
        <v>0.318</v>
      </c>
      <c r="U37">
        <f t="shared" ca="1" si="5"/>
        <v>6.9000000000000172E-3</v>
      </c>
    </row>
    <row r="38" spans="1:21" x14ac:dyDescent="0.25">
      <c r="C38" s="1">
        <f t="shared" ca="1" si="6"/>
        <v>44272</v>
      </c>
      <c r="D38">
        <f ca="1">100-_xll.BDH(I38,"PX_LAST",Future_Date,Future_Date)</f>
        <v>-0.26000000000000512</v>
      </c>
      <c r="E38" s="1">
        <f t="shared" ca="1" si="7"/>
        <v>46838</v>
      </c>
      <c r="F38">
        <f t="shared" ca="1" si="4"/>
        <v>0.41260000000000002</v>
      </c>
      <c r="I38" t="s">
        <v>83</v>
      </c>
      <c r="J38" t="s">
        <v>607</v>
      </c>
      <c r="P38" s="46"/>
      <c r="R38" s="46">
        <f ca="1">_xll.BDH($J38,"Close",$E$2,$E$3,"BarType","T","Dir=V","cols=2;rows=1")</f>
        <v>43550.46875</v>
      </c>
      <c r="S38">
        <v>0.41260000000000002</v>
      </c>
      <c r="T38">
        <f ca="1">_xll.BDH($J38,"LAST_PRICE",Swap_Date,Swap_Date)</f>
        <v>0.40699999999999997</v>
      </c>
      <c r="U38">
        <f t="shared" ca="1" si="5"/>
        <v>5.6000000000000494E-3</v>
      </c>
    </row>
    <row r="39" spans="1:21" x14ac:dyDescent="0.25">
      <c r="E39" s="1">
        <f t="shared" ca="1" si="7"/>
        <v>47203</v>
      </c>
      <c r="F39">
        <f t="shared" ca="1" si="4"/>
        <v>0.49690000000000001</v>
      </c>
      <c r="J39" t="s">
        <v>608</v>
      </c>
      <c r="P39" s="46"/>
      <c r="R39" s="46">
        <f ca="1">_xll.BDH($J39,"Close",$E$2,$E$3,"BarType","T","Dir=V","cols=2;rows=1")</f>
        <v>43550.46875</v>
      </c>
      <c r="S39">
        <v>0.49690000000000001</v>
      </c>
      <c r="T39">
        <f ca="1">_xll.BDH($J39,"LAST_PRICE",Swap_Date,Swap_Date)</f>
        <v>0.497</v>
      </c>
      <c r="U39">
        <f t="shared" ca="1" si="5"/>
        <v>-9.9999999999988987E-5</v>
      </c>
    </row>
    <row r="40" spans="1:21" x14ac:dyDescent="0.25">
      <c r="E40" s="1">
        <f t="shared" ca="1" si="7"/>
        <v>47568</v>
      </c>
      <c r="F40">
        <f t="shared" ca="1" si="4"/>
        <v>0.57550000000000001</v>
      </c>
      <c r="J40" t="s">
        <v>609</v>
      </c>
      <c r="P40" s="46"/>
      <c r="R40" s="46">
        <f ca="1">_xll.BDH($J40,"Close",$E$2,$E$3,"BarType","T","Dir=V","cols=2;rows=1")</f>
        <v>43550.46875</v>
      </c>
      <c r="S40">
        <v>0.57550000000000001</v>
      </c>
      <c r="T40">
        <f ca="1">_xll.BDH($J40,"LAST_PRICE",Swap_Date,Swap_Date)</f>
        <v>0.57050000000000001</v>
      </c>
      <c r="U40">
        <f t="shared" ca="1" si="5"/>
        <v>5.0000000000000044E-3</v>
      </c>
    </row>
    <row r="41" spans="1:21" x14ac:dyDescent="0.25">
      <c r="E41" s="1">
        <f t="shared" ca="1" si="7"/>
        <v>47933</v>
      </c>
      <c r="F41">
        <f t="shared" ca="1" si="4"/>
        <v>0.64649999999999996</v>
      </c>
      <c r="J41" t="s">
        <v>610</v>
      </c>
      <c r="P41" s="46"/>
      <c r="R41" s="46">
        <f ca="1">_xll.BDH($J41,"Close",$E$2,$E$3,"BarType","T","Dir=V","cols=2;rows=1")</f>
        <v>43550.46875</v>
      </c>
      <c r="S41">
        <v>0.64649999999999996</v>
      </c>
      <c r="T41">
        <f ca="1">_xll.BDH($J41,"LAST_PRICE",Swap_Date,Swap_Date)</f>
        <v>0.64200000000000002</v>
      </c>
      <c r="U41">
        <f t="shared" ca="1" si="5"/>
        <v>4.4999999999999485E-3</v>
      </c>
    </row>
    <row r="42" spans="1:21" x14ac:dyDescent="0.25">
      <c r="E42" s="1">
        <f t="shared" ca="1" si="7"/>
        <v>48299</v>
      </c>
      <c r="F42">
        <f t="shared" ca="1" si="4"/>
        <v>0.71599999999999997</v>
      </c>
      <c r="J42" t="s">
        <v>611</v>
      </c>
      <c r="P42" s="46"/>
      <c r="R42" s="46">
        <f ca="1">_xll.BDH($J42,"Close",$E$2,$E$3,"BarType","T","Dir=V","cols=2;rows=1")</f>
        <v>43550.46875</v>
      </c>
      <c r="S42">
        <v>0.71599999999999997</v>
      </c>
      <c r="T42">
        <f ca="1">_xll.BDH($J42,"LAST_PRICE",Swap_Date,Swap_Date)</f>
        <v>0.70599999999999996</v>
      </c>
      <c r="U42">
        <f t="shared" ca="1" si="5"/>
        <v>1.0000000000000009E-2</v>
      </c>
    </row>
    <row r="43" spans="1:21" x14ac:dyDescent="0.25">
      <c r="E43" s="1">
        <f t="shared" ca="1" si="7"/>
        <v>48664</v>
      </c>
      <c r="F43">
        <f t="shared" ca="1" si="4"/>
        <v>0.7681</v>
      </c>
      <c r="J43" t="s">
        <v>612</v>
      </c>
      <c r="P43" s="46"/>
      <c r="R43" s="46">
        <f ca="1">_xll.BDH($J43,"Close",$E$2,$E$3,"BarType","T","Dir=V","cols=2;rows=1")</f>
        <v>43550.46875</v>
      </c>
      <c r="S43">
        <v>0.7681</v>
      </c>
      <c r="T43">
        <f ca="1">_xll.BDH($J43,"LAST_PRICE",Swap_Date,Swap_Date)</f>
        <v>0.76700000000000002</v>
      </c>
      <c r="U43">
        <f t="shared" ca="1" si="5"/>
        <v>1.0999999999999899E-3</v>
      </c>
    </row>
    <row r="44" spans="1:21" x14ac:dyDescent="0.25">
      <c r="E44" s="1">
        <f t="shared" ca="1" si="7"/>
        <v>49029</v>
      </c>
      <c r="F44">
        <f t="shared" ca="1" si="4"/>
        <v>0.81499999999999995</v>
      </c>
      <c r="J44" t="s">
        <v>613</v>
      </c>
      <c r="P44" s="46"/>
      <c r="R44" s="46">
        <f ca="1">_xll.BDH($J44,"Close",$E$2,$E$3,"BarType","T","Dir=V","cols=2;rows=1")</f>
        <v>43550.46875</v>
      </c>
      <c r="S44">
        <v>0.81499999999999995</v>
      </c>
      <c r="T44">
        <f ca="1">_xll.BDH($J44,"LAST_PRICE",Swap_Date,Swap_Date)</f>
        <v>0.81100000000000005</v>
      </c>
      <c r="U44">
        <f t="shared" ca="1" si="5"/>
        <v>3.9999999999998925E-3</v>
      </c>
    </row>
    <row r="45" spans="1:21" x14ac:dyDescent="0.25">
      <c r="E45" s="1">
        <f t="shared" ca="1" si="7"/>
        <v>49394</v>
      </c>
      <c r="F45">
        <f t="shared" ca="1" si="4"/>
        <v>0.85750000000000004</v>
      </c>
      <c r="J45" t="s">
        <v>614</v>
      </c>
      <c r="P45" s="46"/>
      <c r="R45" s="46">
        <f ca="1">_xll.BDH($J45,"Close",$E$2,$E$3,"BarType","T","Dir=V","cols=2;rows=1")</f>
        <v>43550.46875</v>
      </c>
      <c r="S45">
        <v>0.85750000000000004</v>
      </c>
      <c r="T45">
        <f ca="1">_xll.BDH($J45,"LAST_PRICE",Swap_Date,Swap_Date)</f>
        <v>0.8548</v>
      </c>
      <c r="U45">
        <f t="shared" ca="1" si="5"/>
        <v>2.7000000000000357E-3</v>
      </c>
    </row>
    <row r="46" spans="1:21" x14ac:dyDescent="0.25">
      <c r="E46" s="1">
        <f t="shared" ca="1" si="7"/>
        <v>49760</v>
      </c>
      <c r="F46">
        <f t="shared" ca="1" si="4"/>
        <v>0.89400000000000002</v>
      </c>
      <c r="J46" t="s">
        <v>615</v>
      </c>
      <c r="P46" s="46"/>
      <c r="R46" s="46">
        <f ca="1">_xll.BDH($J46,"Close",$E$2,$E$3,"BarType","T","Dir=V","cols=2;rows=1")</f>
        <v>43550.46875</v>
      </c>
      <c r="S46">
        <v>0.89400000000000002</v>
      </c>
      <c r="T46">
        <f ca="1">_xll.BDH($J46,"LAST_PRICE",Swap_Date,Swap_Date)</f>
        <v>0.88900000000000001</v>
      </c>
      <c r="U46">
        <f t="shared" ca="1" si="5"/>
        <v>5.0000000000000044E-3</v>
      </c>
    </row>
    <row r="47" spans="1:21" x14ac:dyDescent="0.25">
      <c r="E47" s="1">
        <f ca="1">EDATE(E46,36)</f>
        <v>50855</v>
      </c>
      <c r="F47">
        <f t="shared" ca="1" si="4"/>
        <v>0.97099999999999997</v>
      </c>
      <c r="J47" t="s">
        <v>616</v>
      </c>
      <c r="P47" s="46"/>
      <c r="R47" s="46">
        <f ca="1">_xll.BDH($J47,"Close",$E$2,$E$3,"BarType","T","Dir=V","cols=2;rows=1")</f>
        <v>43550.46875</v>
      </c>
      <c r="S47">
        <v>0.97099999999999997</v>
      </c>
      <c r="T47">
        <f ca="1">_xll.BDH($J47,"LAST_PRICE",Swap_Date,Swap_Date)</f>
        <v>0.96650000000000003</v>
      </c>
      <c r="U47">
        <f t="shared" ca="1" si="5"/>
        <v>4.4999999999999485E-3</v>
      </c>
    </row>
    <row r="48" spans="1:21" x14ac:dyDescent="0.25">
      <c r="E48" s="1">
        <f ca="1">EDATE(E47,60)</f>
        <v>52682</v>
      </c>
      <c r="F48">
        <f t="shared" ca="1" si="4"/>
        <v>1.0305</v>
      </c>
      <c r="J48" t="s">
        <v>617</v>
      </c>
      <c r="P48" s="46"/>
      <c r="R48" s="46">
        <f ca="1">_xll.BDH($J48,"Close",$E$2,$E$3,"BarType","T","Dir=V","cols=2;rows=1")</f>
        <v>43550.46875</v>
      </c>
      <c r="S48">
        <v>1.0305</v>
      </c>
      <c r="T48">
        <f ca="1">_xll.BDH($J48,"LAST_PRICE",Swap_Date,Swap_Date)</f>
        <v>1.0249999999999999</v>
      </c>
      <c r="U48">
        <f t="shared" ca="1" si="5"/>
        <v>5.5000000000000604E-3</v>
      </c>
    </row>
    <row r="49" spans="1:21" x14ac:dyDescent="0.25">
      <c r="E49" s="1">
        <f ca="1">EDATE(E48,60)</f>
        <v>54508</v>
      </c>
      <c r="F49">
        <f t="shared" ca="1" si="4"/>
        <v>1.0449999999999999</v>
      </c>
      <c r="J49" t="s">
        <v>618</v>
      </c>
      <c r="P49" s="46"/>
      <c r="R49" s="46">
        <f ca="1">_xll.BDH($J49,"Close",$E$2,$E$3,"BarType","T","Dir=V","cols=2;rows=1")</f>
        <v>43550.46875</v>
      </c>
      <c r="S49">
        <v>1.0449999999999999</v>
      </c>
      <c r="T49">
        <f ca="1">_xll.BDH($J49,"LAST_PRICE",Swap_Date,Swap_Date)</f>
        <v>1.0425</v>
      </c>
      <c r="U49">
        <f t="shared" ca="1" si="5"/>
        <v>2.4999999999999467E-3</v>
      </c>
    </row>
    <row r="50" spans="1:21" x14ac:dyDescent="0.25">
      <c r="E50" s="1">
        <f ca="1">EDATE(E49,120)</f>
        <v>58160</v>
      </c>
      <c r="F50">
        <f t="shared" ca="1" si="4"/>
        <v>1.0369999999999999</v>
      </c>
      <c r="J50" t="s">
        <v>619</v>
      </c>
      <c r="P50" s="46"/>
      <c r="R50" s="46">
        <f ca="1">_xll.BDH($J50,"Close",$E$2,$E$3,"BarType","T","Dir=V","cols=2;rows=1")</f>
        <v>43550.46875</v>
      </c>
      <c r="S50">
        <v>1.0369999999999999</v>
      </c>
      <c r="T50">
        <f ca="1">_xll.BDH($J50,"LAST_PRICE",Swap_Date,Swap_Date)</f>
        <v>1.0345</v>
      </c>
      <c r="U50">
        <f t="shared" ca="1" si="5"/>
        <v>2.4999999999999467E-3</v>
      </c>
    </row>
    <row r="51" spans="1:21" x14ac:dyDescent="0.25">
      <c r="E51" s="1">
        <f ca="1">EDATE(E50,12)</f>
        <v>58526</v>
      </c>
      <c r="F51">
        <f ca="1">F50</f>
        <v>1.0369999999999999</v>
      </c>
    </row>
    <row r="54" spans="1:21" x14ac:dyDescent="0.25">
      <c r="A54" t="s">
        <v>19</v>
      </c>
      <c r="B54">
        <v>6</v>
      </c>
      <c r="D54">
        <v>7</v>
      </c>
      <c r="F54">
        <v>100</v>
      </c>
    </row>
    <row r="55" spans="1:21" x14ac:dyDescent="0.25">
      <c r="A55" t="s">
        <v>29</v>
      </c>
      <c r="B55" t="s">
        <v>30</v>
      </c>
      <c r="C55" t="s">
        <v>31</v>
      </c>
      <c r="D55" t="s">
        <v>32</v>
      </c>
      <c r="E55" t="s">
        <v>33</v>
      </c>
      <c r="F55" t="s">
        <v>34</v>
      </c>
    </row>
    <row r="56" spans="1:21" ht="15.6" customHeight="1" x14ac:dyDescent="0.25">
      <c r="A56" s="1">
        <f ca="1">WORKDAY(Swap_Date,1)</f>
        <v>43551</v>
      </c>
      <c r="B56">
        <f ca="1">_xll.BDH(H56,"PX_LAST",Cash_Date,Cash_Date)</f>
        <v>-0.10199999999999999</v>
      </c>
      <c r="C56" s="1">
        <f ca="1">nextimm(Swap_Date)</f>
        <v>43635</v>
      </c>
      <c r="D56">
        <f ca="1">IF(ISNUMBER(_xll.BDH(I56,"PX_LAST",Future_Date,Future_Date)),100-_xll.BDH(I56,"PX_LAST",Future_Date,Future_Date),B59)</f>
        <v>2.5000000000005684E-2</v>
      </c>
      <c r="E56" s="1">
        <f ca="1">EDATE(Swap_Date,24)</f>
        <v>44281</v>
      </c>
      <c r="F56">
        <f ca="1">IF(ISNUMBER(S56),S56,T56)</f>
        <v>-3.2500000000000001E-2</v>
      </c>
      <c r="H56" t="s">
        <v>0</v>
      </c>
      <c r="I56" t="s">
        <v>107</v>
      </c>
      <c r="J56" t="s">
        <v>640</v>
      </c>
      <c r="M56" s="80" t="s">
        <v>132</v>
      </c>
      <c r="N56" s="80"/>
      <c r="P56" s="46"/>
      <c r="R56" s="46" t="str">
        <f ca="1">_xll.BDH($J56,"Close",$C$2,$C$3,"BarType","T","Dir=V")</f>
        <v>#N/A N/A</v>
      </c>
      <c r="T56">
        <f ca="1">_xll.BDH($J56,"LAST_PRICE",Swap_Date,Swap_Date)</f>
        <v>-3.2500000000000001E-2</v>
      </c>
      <c r="U56">
        <f ca="1">S56-T56</f>
        <v>3.2500000000000001E-2</v>
      </c>
    </row>
    <row r="57" spans="1:21" ht="15.6" customHeight="1" x14ac:dyDescent="0.25">
      <c r="A57" s="1">
        <f ca="1">EDATE(Swap_Date,1)</f>
        <v>43581</v>
      </c>
      <c r="B57">
        <f ca="1">_xll.BDH(H57,"PX_LAST",Cash_Date,Cash_Date)</f>
        <v>-0.1065</v>
      </c>
      <c r="C57" s="1">
        <f ca="1">nextimm(C56+1)</f>
        <v>43726</v>
      </c>
      <c r="D57">
        <f ca="1">IFERROR(100-_xll.BDH(I57,"PX_LAST",Future_Date,Future_Date),0.5*(D56+D58))</f>
        <v>2.5000000000005684E-2</v>
      </c>
      <c r="E57" s="1">
        <f ca="1">EDATE(E56,12)</f>
        <v>44646</v>
      </c>
      <c r="F57">
        <f t="shared" ref="F57:F75" ca="1" si="8">IF(ISNUMBER(S57),S57,T57)</f>
        <v>-4.2500000000000003E-2</v>
      </c>
      <c r="H57" t="s">
        <v>1</v>
      </c>
      <c r="I57" t="s">
        <v>108</v>
      </c>
      <c r="J57" t="s">
        <v>641</v>
      </c>
      <c r="M57" s="4" t="s">
        <v>133</v>
      </c>
      <c r="N57" s="5">
        <f ca="1">_xll.BDP("JYSSTL1 index","PX_LAST")</f>
        <v>8.0625</v>
      </c>
      <c r="P57" s="46"/>
      <c r="R57" s="46" t="str">
        <f ca="1">_xll.BDH($J57,"Close",$C$2,$C$3,"BarType","T","Dir=V")</f>
        <v>#N/A N/A</v>
      </c>
      <c r="T57">
        <f ca="1">_xll.BDH($J57,"LAST_PRICE",Swap_Date,Swap_Date)</f>
        <v>-4.2500000000000003E-2</v>
      </c>
      <c r="U57">
        <f t="shared" ref="U57:U75" ca="1" si="9">S57-T57</f>
        <v>4.2500000000000003E-2</v>
      </c>
    </row>
    <row r="58" spans="1:21" ht="15.6" customHeight="1" x14ac:dyDescent="0.25">
      <c r="A58" s="1">
        <f ca="1">EDATE(Swap_Date,2)</f>
        <v>43611</v>
      </c>
      <c r="B58">
        <f ca="1">IF(ISNUMBER(_xll.BDH(H58,"PX_LAST",Cash_Date,Cash_Date)),_xll.BDH(H58,"PX_LAST",Cash_Date,Cash_Date),0.5*(B57+B59))</f>
        <v>-8.0829999999999999E-2</v>
      </c>
      <c r="C58" s="1">
        <f t="shared" ref="C58:C63" ca="1" si="10">nextimm(C57+1)</f>
        <v>43817</v>
      </c>
      <c r="D58">
        <f ca="1">100-_xll.BDH(I58,"PX_LAST",Future_Date,Future_Date)</f>
        <v>1.5000000000000568E-2</v>
      </c>
      <c r="E58" s="1">
        <f t="shared" ref="E58:E71" ca="1" si="11">EDATE(E57,12)</f>
        <v>45011</v>
      </c>
      <c r="F58">
        <f t="shared" ca="1" si="8"/>
        <v>-4.6249999999999999E-2</v>
      </c>
      <c r="H58" t="s">
        <v>2</v>
      </c>
      <c r="I58" t="s">
        <v>109</v>
      </c>
      <c r="J58" t="s">
        <v>642</v>
      </c>
      <c r="M58" s="4" t="s">
        <v>134</v>
      </c>
      <c r="N58" s="6">
        <f ca="1">_xll.BDP("JYSSTL2 index","PX_LAST")</f>
        <v>8.25</v>
      </c>
      <c r="P58" s="46"/>
      <c r="R58" s="46" t="str">
        <f ca="1">_xll.BDH($J58,"Close",$C$2,$C$3,"BarType","T","Dir=V")</f>
        <v>#N/A N/A</v>
      </c>
      <c r="T58">
        <f ca="1">_xll.BDH($J58,"LAST_PRICE",Swap_Date,Swap_Date)</f>
        <v>-4.6249999999999999E-2</v>
      </c>
      <c r="U58">
        <f t="shared" ca="1" si="9"/>
        <v>4.6249999999999999E-2</v>
      </c>
    </row>
    <row r="59" spans="1:21" x14ac:dyDescent="0.25">
      <c r="A59" s="1">
        <f ca="1">EDATE(Swap_Date,3)</f>
        <v>43642</v>
      </c>
      <c r="B59">
        <f ca="1">_xll.BDH(H59,"PX_LAST",Cash_Date,Cash_Date)</f>
        <v>-6.0670000000000002E-2</v>
      </c>
      <c r="C59" s="1">
        <f t="shared" ca="1" si="10"/>
        <v>43908</v>
      </c>
      <c r="D59">
        <f ca="1">100-_xll.BDH(I59,"PX_LAST",Future_Date,Future_Date)</f>
        <v>1.0000000000005116E-2</v>
      </c>
      <c r="E59" s="1">
        <f t="shared" ca="1" si="11"/>
        <v>45377</v>
      </c>
      <c r="F59">
        <f t="shared" ca="1" si="8"/>
        <v>-3.5000000000000003E-2</v>
      </c>
      <c r="H59" t="s">
        <v>3</v>
      </c>
      <c r="I59" t="s">
        <v>110</v>
      </c>
      <c r="J59" t="s">
        <v>643</v>
      </c>
      <c r="P59" s="46"/>
      <c r="R59" s="46" t="str">
        <f ca="1">_xll.BDH($J59,"Close",$C$2,$C$3,"BarType","T","Dir=V")</f>
        <v>#N/A N/A</v>
      </c>
      <c r="T59">
        <f ca="1">_xll.BDH($J59,"LAST_PRICE",Swap_Date,Swap_Date)</f>
        <v>-3.5000000000000003E-2</v>
      </c>
      <c r="U59">
        <f t="shared" ca="1" si="9"/>
        <v>3.5000000000000003E-2</v>
      </c>
    </row>
    <row r="60" spans="1:21" x14ac:dyDescent="0.25">
      <c r="A60" s="1">
        <f ca="1">EDATE(Swap_Date,6)</f>
        <v>43734</v>
      </c>
      <c r="B60">
        <f ca="1">_xll.BDH(H60,"PX_LAST",Cash_Date,Cash_Date)</f>
        <v>1.217E-2</v>
      </c>
      <c r="C60" s="1">
        <f t="shared" ca="1" si="10"/>
        <v>43999</v>
      </c>
      <c r="D60">
        <f ca="1">100-_xll.BDH(I60,"PX_LAST",Future_Date,Future_Date)</f>
        <v>4.9999999999954525E-3</v>
      </c>
      <c r="E60" s="1">
        <f t="shared" ca="1" si="11"/>
        <v>45742</v>
      </c>
      <c r="F60">
        <f t="shared" ca="1" si="8"/>
        <v>-1.6250000000000001E-2</v>
      </c>
      <c r="H60" t="s">
        <v>4</v>
      </c>
      <c r="I60" t="s">
        <v>111</v>
      </c>
      <c r="J60" t="s">
        <v>644</v>
      </c>
      <c r="P60" s="46"/>
      <c r="R60" s="46" t="str">
        <f ca="1">_xll.BDH($J60,"Close",$C$2,$C$3,"BarType","T","Dir=V")</f>
        <v>#N/A N/A</v>
      </c>
      <c r="T60">
        <f ca="1">_xll.BDH($J60,"LAST_PRICE",Swap_Date,Swap_Date)</f>
        <v>-1.6250000000000001E-2</v>
      </c>
      <c r="U60">
        <f t="shared" ca="1" si="9"/>
        <v>1.6250000000000001E-2</v>
      </c>
    </row>
    <row r="61" spans="1:21" x14ac:dyDescent="0.25">
      <c r="A61" s="1">
        <f ca="1">EDATE(Swap_Date,12)</f>
        <v>43916</v>
      </c>
      <c r="B61">
        <f ca="1">_xll.BDH(H61,"PX_LAST",Cash_Date,Cash_Date)</f>
        <v>9.4670000000000004E-2</v>
      </c>
      <c r="C61" s="1">
        <f t="shared" ca="1" si="10"/>
        <v>44090</v>
      </c>
      <c r="D61">
        <f ca="1">100-_xll.BDH(I61,"PX_LAST",Future_Date,Future_Date)</f>
        <v>4.9999999999954525E-3</v>
      </c>
      <c r="E61" s="1">
        <f t="shared" ca="1" si="11"/>
        <v>46107</v>
      </c>
      <c r="F61">
        <f t="shared" ca="1" si="8"/>
        <v>0.01</v>
      </c>
      <c r="H61" t="s">
        <v>5</v>
      </c>
      <c r="I61" t="s">
        <v>585</v>
      </c>
      <c r="J61" t="s">
        <v>645</v>
      </c>
      <c r="P61" s="46"/>
      <c r="R61" s="46" t="str">
        <f ca="1">_xll.BDH($J61,"Close",$C$2,$C$3,"BarType","T","Dir=V")</f>
        <v>#N/A N/A</v>
      </c>
      <c r="T61">
        <f ca="1">_xll.BDH($J61,"LAST_PRICE",Swap_Date,Swap_Date)</f>
        <v>0.01</v>
      </c>
      <c r="U61">
        <f t="shared" ca="1" si="9"/>
        <v>-0.01</v>
      </c>
    </row>
    <row r="62" spans="1:21" x14ac:dyDescent="0.25">
      <c r="C62" s="1">
        <f t="shared" ca="1" si="10"/>
        <v>44181</v>
      </c>
      <c r="D62">
        <f ca="1">100-_xll.BDH(I62,"PX_LAST",Future_Date,Future_Date)</f>
        <v>0</v>
      </c>
      <c r="E62" s="1">
        <f t="shared" ca="1" si="11"/>
        <v>46472</v>
      </c>
      <c r="F62">
        <f t="shared" ca="1" si="8"/>
        <v>0.04</v>
      </c>
      <c r="I62" t="s">
        <v>586</v>
      </c>
      <c r="J62" t="s">
        <v>646</v>
      </c>
      <c r="P62" s="46"/>
      <c r="R62" s="46" t="str">
        <f ca="1">_xll.BDH($J62,"Close",$C$2,$C$3,"BarType","T","Dir=V")</f>
        <v>#N/A N/A</v>
      </c>
      <c r="T62">
        <f ca="1">_xll.BDH($J62,"LAST_PRICE",Swap_Date,Swap_Date)</f>
        <v>0.04</v>
      </c>
      <c r="U62">
        <f t="shared" ca="1" si="9"/>
        <v>-0.04</v>
      </c>
    </row>
    <row r="63" spans="1:21" x14ac:dyDescent="0.25">
      <c r="C63" s="1">
        <f t="shared" ca="1" si="10"/>
        <v>44272</v>
      </c>
      <c r="D63">
        <f ca="1">100-_xll.BDH(I63,"PX_LAST",Future_Date,Future_Date)</f>
        <v>1.0000000000005116E-2</v>
      </c>
      <c r="E63" s="1">
        <f t="shared" ca="1" si="11"/>
        <v>46838</v>
      </c>
      <c r="F63">
        <f t="shared" ca="1" si="8"/>
        <v>7.3749999999999996E-2</v>
      </c>
      <c r="I63" t="s">
        <v>110</v>
      </c>
      <c r="J63" t="s">
        <v>647</v>
      </c>
      <c r="P63" s="46"/>
      <c r="R63" s="46" t="str">
        <f ca="1">_xll.BDH($J63,"Close",$C$2,$C$3,"BarType","T","Dir=V")</f>
        <v>#N/A N/A</v>
      </c>
      <c r="T63">
        <f ca="1">_xll.BDH($J63,"LAST_PRICE",Swap_Date,Swap_Date)</f>
        <v>7.3749999999999996E-2</v>
      </c>
      <c r="U63">
        <f t="shared" ca="1" si="9"/>
        <v>-7.3749999999999996E-2</v>
      </c>
    </row>
    <row r="64" spans="1:21" x14ac:dyDescent="0.25">
      <c r="E64" s="1">
        <f t="shared" ca="1" si="11"/>
        <v>47203</v>
      </c>
      <c r="F64">
        <f t="shared" ca="1" si="8"/>
        <v>0.11</v>
      </c>
      <c r="J64" t="s">
        <v>648</v>
      </c>
      <c r="P64" s="46"/>
      <c r="R64" s="46" t="str">
        <f ca="1">_xll.BDH($J64,"Close",$C$2,$C$3,"BarType","T","Dir=V")</f>
        <v>#N/A N/A</v>
      </c>
      <c r="T64">
        <f ca="1">_xll.BDH($J64,"LAST_PRICE",Swap_Date,Swap_Date)</f>
        <v>0.11</v>
      </c>
      <c r="U64">
        <f t="shared" ca="1" si="9"/>
        <v>-0.11</v>
      </c>
    </row>
    <row r="65" spans="1:21" x14ac:dyDescent="0.25">
      <c r="E65" s="1">
        <f t="shared" ca="1" si="11"/>
        <v>47568</v>
      </c>
      <c r="F65">
        <f t="shared" ca="1" si="8"/>
        <v>0.14624999999999999</v>
      </c>
      <c r="J65" t="s">
        <v>649</v>
      </c>
      <c r="P65" s="46"/>
      <c r="R65" s="46" t="str">
        <f ca="1">_xll.BDH($J65,"Close",$C$2,$C$3,"BarType","T","Dir=V")</f>
        <v>#N/A N/A</v>
      </c>
      <c r="T65">
        <f ca="1">_xll.BDH($J65,"LAST_PRICE",Swap_Date,Swap_Date)</f>
        <v>0.14624999999999999</v>
      </c>
      <c r="U65">
        <f t="shared" ca="1" si="9"/>
        <v>-0.14624999999999999</v>
      </c>
    </row>
    <row r="66" spans="1:21" x14ac:dyDescent="0.25">
      <c r="E66" s="1">
        <f t="shared" ca="1" si="11"/>
        <v>47933</v>
      </c>
      <c r="F66">
        <f t="shared" ca="1" si="8"/>
        <v>0.1825</v>
      </c>
      <c r="J66" t="s">
        <v>650</v>
      </c>
      <c r="P66" s="46"/>
      <c r="R66" s="46" t="str">
        <f ca="1">_xll.BDH($J66,"Close",$C$2,$C$3,"BarType","T","Dir=V")</f>
        <v>#N/A N/A</v>
      </c>
      <c r="T66">
        <f ca="1">_xll.BDH($J66,"LAST_PRICE",Swap_Date,Swap_Date)</f>
        <v>0.1825</v>
      </c>
      <c r="U66">
        <f t="shared" ca="1" si="9"/>
        <v>-0.1825</v>
      </c>
    </row>
    <row r="67" spans="1:21" x14ac:dyDescent="0.25">
      <c r="E67" s="1">
        <f t="shared" ca="1" si="11"/>
        <v>48299</v>
      </c>
      <c r="F67">
        <f ca="1">IF(ISNUMBER(S67),S67,1/3*(T69-T66)+T66)</f>
        <v>0.21791666666666665</v>
      </c>
      <c r="J67" t="s">
        <v>651</v>
      </c>
      <c r="P67" s="46"/>
      <c r="R67" s="46" t="str">
        <f ca="1">_xll.BDH($J67,"Close",$C$2,$C$3,"BarType","T","Dir=V")</f>
        <v>#N/A N/A</v>
      </c>
      <c r="T67">
        <f ca="1">_xll.BDH($J67,"LAST_PRICE",Swap_Date,Swap_Date)</f>
        <v>0.2175</v>
      </c>
      <c r="U67">
        <f t="shared" ca="1" si="9"/>
        <v>-0.2175</v>
      </c>
    </row>
    <row r="68" spans="1:21" x14ac:dyDescent="0.25">
      <c r="E68" s="1">
        <f t="shared" ca="1" si="11"/>
        <v>48664</v>
      </c>
      <c r="F68">
        <f ca="1">IF(ISNUMBER(S68),S68,2/3*(T69-T66)+T66)</f>
        <v>0.2533333333333333</v>
      </c>
      <c r="J68" t="s">
        <v>652</v>
      </c>
      <c r="P68" s="46"/>
      <c r="R68" s="46" t="str">
        <f ca="1">_xll.BDH($J68,"Close",$C$2,$C$3,"BarType","T","Dir=V")</f>
        <v>#N/A N/A</v>
      </c>
      <c r="T68">
        <f ca="1">_xll.BDH($J68,"LAST_PRICE",Swap_Date,Swap_Date)</f>
        <v>0.25374999999999998</v>
      </c>
      <c r="U68">
        <f t="shared" ca="1" si="9"/>
        <v>-0.25374999999999998</v>
      </c>
    </row>
    <row r="69" spans="1:21" x14ac:dyDescent="0.25">
      <c r="E69" s="1">
        <f t="shared" ca="1" si="11"/>
        <v>49029</v>
      </c>
      <c r="F69">
        <f t="shared" ca="1" si="8"/>
        <v>0.28875000000000001</v>
      </c>
      <c r="J69" t="s">
        <v>653</v>
      </c>
      <c r="P69" s="46"/>
      <c r="R69" s="46" t="str">
        <f ca="1">_xll.BDH($J69,"Close",$C$2,$C$3,"BarType","T","Dir=V")</f>
        <v>#N/A N/A</v>
      </c>
      <c r="T69">
        <f ca="1">_xll.BDH($J69,"LAST_PRICE",Swap_Date,Swap_Date)</f>
        <v>0.28875000000000001</v>
      </c>
      <c r="U69">
        <f t="shared" ca="1" si="9"/>
        <v>-0.28875000000000001</v>
      </c>
    </row>
    <row r="70" spans="1:21" x14ac:dyDescent="0.25">
      <c r="E70" s="1">
        <f t="shared" ca="1" si="11"/>
        <v>49394</v>
      </c>
      <c r="F70">
        <f ca="1">IF(ISNUMBER(S70),S70,0.5*(T69+T71))</f>
        <v>0.3175</v>
      </c>
      <c r="J70" t="s">
        <v>654</v>
      </c>
      <c r="P70" s="46"/>
      <c r="R70" s="46" t="str">
        <f ca="1">_xll.BDH($J70,"Close",$C$2,$C$3,"BarType","T","Dir=V")</f>
        <v>#N/A N/A</v>
      </c>
      <c r="T70">
        <f ca="1">_xll.BDH($J70,"LAST_PRICE",Swap_Date,Swap_Date)</f>
        <v>0.3175</v>
      </c>
      <c r="U70">
        <f t="shared" ca="1" si="9"/>
        <v>-0.3175</v>
      </c>
    </row>
    <row r="71" spans="1:21" x14ac:dyDescent="0.25">
      <c r="E71" s="1">
        <f t="shared" ca="1" si="11"/>
        <v>49760</v>
      </c>
      <c r="F71">
        <f t="shared" ca="1" si="8"/>
        <v>0.34625</v>
      </c>
      <c r="J71" t="s">
        <v>655</v>
      </c>
      <c r="P71" s="46"/>
      <c r="R71" s="46" t="str">
        <f ca="1">_xll.BDH($J71,"Close",$C$2,$C$3,"BarType","T","Dir=V")</f>
        <v>#N/A N/A</v>
      </c>
      <c r="T71">
        <f ca="1">_xll.BDH($J71,"LAST_PRICE",Swap_Date,Swap_Date)</f>
        <v>0.34625</v>
      </c>
      <c r="U71">
        <f t="shared" ca="1" si="9"/>
        <v>-0.34625</v>
      </c>
    </row>
    <row r="72" spans="1:21" x14ac:dyDescent="0.25">
      <c r="E72" s="1">
        <f ca="1">EDATE(E71,36)</f>
        <v>50855</v>
      </c>
      <c r="F72">
        <f t="shared" ca="1" si="8"/>
        <v>0.4325</v>
      </c>
      <c r="J72" t="s">
        <v>656</v>
      </c>
      <c r="P72" s="46"/>
      <c r="R72" s="46" t="str">
        <f ca="1">_xll.BDH($J72,"Close",$C$2,$C$3,"BarType","T","Dir=V")</f>
        <v>#N/A N/A</v>
      </c>
      <c r="T72">
        <f ca="1">_xll.BDH($J72,"LAST_PRICE",Swap_Date,Swap_Date)</f>
        <v>0.4325</v>
      </c>
      <c r="U72">
        <f t="shared" ca="1" si="9"/>
        <v>-0.4325</v>
      </c>
    </row>
    <row r="73" spans="1:21" x14ac:dyDescent="0.25">
      <c r="E73" s="1">
        <f ca="1">EDATE(E72,60)</f>
        <v>52682</v>
      </c>
      <c r="F73">
        <f t="shared" ca="1" si="8"/>
        <v>0.52</v>
      </c>
      <c r="J73" t="s">
        <v>657</v>
      </c>
      <c r="P73" s="46"/>
      <c r="R73" s="46" t="str">
        <f ca="1">_xll.BDH($J73,"Close",$C$2,$C$3,"BarType","T","Dir=V")</f>
        <v>#N/A N/A</v>
      </c>
      <c r="T73">
        <f ca="1">_xll.BDH($J73,"LAST_PRICE",Swap_Date,Swap_Date)</f>
        <v>0.52</v>
      </c>
      <c r="U73">
        <f t="shared" ca="1" si="9"/>
        <v>-0.52</v>
      </c>
    </row>
    <row r="74" spans="1:21" x14ac:dyDescent="0.25">
      <c r="E74" s="1">
        <f ca="1">EDATE(E73,60)</f>
        <v>54508</v>
      </c>
      <c r="F74">
        <f t="shared" ca="1" si="8"/>
        <v>0.57250000000000001</v>
      </c>
      <c r="J74" t="s">
        <v>658</v>
      </c>
      <c r="P74" s="46"/>
      <c r="R74" s="46" t="str">
        <f ca="1">_xll.BDH($J74,"Close",$C$2,$C$3,"BarType","T","Dir=V")</f>
        <v>#N/A N/A</v>
      </c>
      <c r="T74">
        <f ca="1">_xll.BDH($J74,"LAST_PRICE",Swap_Date,Swap_Date)</f>
        <v>0.57250000000000001</v>
      </c>
      <c r="U74">
        <f t="shared" ca="1" si="9"/>
        <v>-0.57250000000000001</v>
      </c>
    </row>
    <row r="75" spans="1:21" x14ac:dyDescent="0.25">
      <c r="E75" s="1">
        <f ca="1">EDATE(E74,120)</f>
        <v>58160</v>
      </c>
      <c r="F75">
        <f t="shared" ca="1" si="8"/>
        <v>0.61624999999999996</v>
      </c>
      <c r="J75" t="s">
        <v>659</v>
      </c>
      <c r="P75" s="46"/>
      <c r="R75" s="46" t="str">
        <f ca="1">_xll.BDH($J75,"Close",$C$2,$C$3,"BarType","T","Dir=V")</f>
        <v>#N/A N/A</v>
      </c>
      <c r="T75">
        <f ca="1">_xll.BDH($J75,"LAST_PRICE",Swap_Date,Swap_Date)</f>
        <v>0.61624999999999996</v>
      </c>
      <c r="U75">
        <f t="shared" ca="1" si="9"/>
        <v>-0.61624999999999996</v>
      </c>
    </row>
    <row r="76" spans="1:21" x14ac:dyDescent="0.25">
      <c r="E76" s="1">
        <f ca="1">EDATE(E75,12)</f>
        <v>58526</v>
      </c>
      <c r="F76">
        <f ca="1">F75</f>
        <v>0.61624999999999996</v>
      </c>
    </row>
    <row r="79" spans="1:21" x14ac:dyDescent="0.25">
      <c r="A79" t="s">
        <v>14</v>
      </c>
      <c r="B79">
        <v>6</v>
      </c>
      <c r="D79">
        <v>7</v>
      </c>
      <c r="F79">
        <v>100</v>
      </c>
    </row>
    <row r="80" spans="1:21" x14ac:dyDescent="0.25">
      <c r="A80" t="s">
        <v>29</v>
      </c>
      <c r="B80" t="s">
        <v>30</v>
      </c>
      <c r="C80" t="s">
        <v>31</v>
      </c>
      <c r="D80" t="s">
        <v>32</v>
      </c>
      <c r="E80" t="s">
        <v>33</v>
      </c>
      <c r="F80" t="s">
        <v>34</v>
      </c>
    </row>
    <row r="81" spans="1:21" x14ac:dyDescent="0.25">
      <c r="A81" s="1">
        <f ca="1">WORKDAY(Swap_Date,1)</f>
        <v>43551</v>
      </c>
      <c r="B81">
        <f ca="1">_xll.BDH(H81,"PX_LAST",Cash_Date,Cash_Date)</f>
        <v>0.67762999999999995</v>
      </c>
      <c r="C81" s="1">
        <f ca="1">nextimm(Swap_Date)</f>
        <v>43635</v>
      </c>
      <c r="D81">
        <f ca="1">IF(ISNUMBER(_xll.BDH(I81,"PX_LAST",Future_Date,Future_Date)),100-_xll.BDH(I81,"PX_LAST",Future_Date,Future_Date),B84)</f>
        <v>0.84999999999999432</v>
      </c>
      <c r="E81" s="1">
        <f ca="1">EDATE(Swap_Date,24)</f>
        <v>44281</v>
      </c>
      <c r="F81">
        <f ca="1">IF(ISNUMBER(S81),S81,T81)</f>
        <v>0.95730000000000004</v>
      </c>
      <c r="H81" t="s">
        <v>135</v>
      </c>
      <c r="I81" t="s">
        <v>144</v>
      </c>
      <c r="J81" t="s">
        <v>660</v>
      </c>
      <c r="P81" s="46"/>
      <c r="R81" s="46">
        <f ca="1">_xll.BDH($J81,"Close",$E$2,$E$3,"BarType","T","Dir=V","cols=2;rows=1")</f>
        <v>43550.46875</v>
      </c>
      <c r="S81">
        <v>0.95730000000000004</v>
      </c>
      <c r="T81">
        <f ca="1">_xll.BDH($J81,"LAST_PRICE",Swap_Date,Swap_Date)</f>
        <v>0.96011000000000002</v>
      </c>
      <c r="U81">
        <f ca="1">S81-T81</f>
        <v>-2.8099999999999792E-3</v>
      </c>
    </row>
    <row r="82" spans="1:21" x14ac:dyDescent="0.25">
      <c r="A82" s="1">
        <f ca="1">EDATE(Swap_Date,1)</f>
        <v>43581</v>
      </c>
      <c r="B82">
        <f ca="1">_xll.BDH(H82,"PX_LAST",Cash_Date,Cash_Date)</f>
        <v>0.73112999999999995</v>
      </c>
      <c r="C82" s="1">
        <f ca="1">nextimm(C81+1)</f>
        <v>43726</v>
      </c>
      <c r="D82">
        <f ca="1">100-_xll.BDH(I82,"PX_LAST",Future_Date,Future_Date)</f>
        <v>0.83499999999999375</v>
      </c>
      <c r="E82" s="1">
        <f ca="1">EDATE(E81,12)</f>
        <v>44646</v>
      </c>
      <c r="F82">
        <f t="shared" ref="F82:F100" ca="1" si="12">IF(ISNUMBER(S82),S82,T82)</f>
        <v>0.99180000000000001</v>
      </c>
      <c r="H82" t="s">
        <v>136</v>
      </c>
      <c r="I82" t="s">
        <v>145</v>
      </c>
      <c r="J82" t="s">
        <v>661</v>
      </c>
      <c r="P82" s="46"/>
      <c r="R82" s="46">
        <f ca="1">_xll.BDH($J82,"Close",$E$2,$E$3,"BarType","T","Dir=V","cols=2;rows=1")</f>
        <v>43550.46875</v>
      </c>
      <c r="S82">
        <v>0.99180000000000001</v>
      </c>
      <c r="T82">
        <f ca="1">_xll.BDH($J82,"LAST_PRICE",Swap_Date,Swap_Date)</f>
        <v>0.99304999999999999</v>
      </c>
      <c r="U82">
        <f t="shared" ref="U82:U100" ca="1" si="13">S82-T82</f>
        <v>-1.2499999999999734E-3</v>
      </c>
    </row>
    <row r="83" spans="1:21" x14ac:dyDescent="0.25">
      <c r="A83" s="1">
        <f ca="1">EDATE(Swap_Date,2)</f>
        <v>43611</v>
      </c>
      <c r="B83">
        <f ca="1">IF(ISNUMBER(_xll.BDH(H83,"PX_LAST",Cash_Date,Cash_Date)),_xll.BDH(H83,"PX_LAST",Cash_Date,Cash_Date),0.5*(B82+B84))</f>
        <v>0.77688000000000001</v>
      </c>
      <c r="C83" s="1">
        <f t="shared" ref="C83:C88" ca="1" si="14">nextimm(C82+1)</f>
        <v>43817</v>
      </c>
      <c r="D83">
        <f ca="1">100-_xll.BDH(I83,"PX_LAST",Future_Date,Future_Date)</f>
        <v>0.85500000000000398</v>
      </c>
      <c r="E83" s="1">
        <f t="shared" ref="E83:E96" ca="1" si="15">EDATE(E82,12)</f>
        <v>45011</v>
      </c>
      <c r="F83">
        <f t="shared" ca="1" si="12"/>
        <v>1.0302</v>
      </c>
      <c r="H83" t="s">
        <v>137</v>
      </c>
      <c r="I83" t="s">
        <v>146</v>
      </c>
      <c r="J83" t="s">
        <v>662</v>
      </c>
      <c r="P83" s="46"/>
      <c r="R83" s="46">
        <f ca="1">_xll.BDH($J83,"Close",$E$2,$E$3,"BarType","T","Dir=V","cols=2;rows=1")</f>
        <v>43550.46875</v>
      </c>
      <c r="S83">
        <v>1.0302</v>
      </c>
      <c r="T83">
        <f ca="1">_xll.BDH($J83,"LAST_PRICE",Swap_Date,Swap_Date)</f>
        <v>1.028</v>
      </c>
      <c r="U83">
        <f t="shared" ca="1" si="13"/>
        <v>2.1999999999999797E-3</v>
      </c>
    </row>
    <row r="84" spans="1:21" x14ac:dyDescent="0.25">
      <c r="A84" s="1">
        <f ca="1">EDATE(Swap_Date,3)</f>
        <v>43642</v>
      </c>
      <c r="B84">
        <f ca="1">_xll.BDH(H84,"PX_LAST",Cash_Date,Cash_Date)</f>
        <v>0.83625000000000005</v>
      </c>
      <c r="C84" s="1">
        <f t="shared" ca="1" si="14"/>
        <v>43908</v>
      </c>
      <c r="D84">
        <f ca="1">100-_xll.BDH(I84,"PX_LAST",Future_Date,Future_Date)</f>
        <v>0.85500000000000398</v>
      </c>
      <c r="E84" s="1">
        <f t="shared" ca="1" si="15"/>
        <v>45377</v>
      </c>
      <c r="F84">
        <f t="shared" ca="1" si="12"/>
        <v>1.06175</v>
      </c>
      <c r="H84" t="s">
        <v>138</v>
      </c>
      <c r="I84" t="s">
        <v>147</v>
      </c>
      <c r="J84" t="s">
        <v>663</v>
      </c>
      <c r="P84" s="46"/>
      <c r="R84" s="46">
        <f ca="1">_xll.BDH($J84,"Close",$E$2,$E$3,"BarType","T","Dir=V","cols=2;rows=1")</f>
        <v>43550.46875</v>
      </c>
      <c r="S84">
        <v>1.06175</v>
      </c>
      <c r="T84">
        <f ca="1">_xll.BDH($J84,"LAST_PRICE",Swap_Date,Swap_Date)</f>
        <v>1.06196</v>
      </c>
      <c r="U84">
        <f t="shared" ca="1" si="13"/>
        <v>-2.1000000000004349E-4</v>
      </c>
    </row>
    <row r="85" spans="1:21" x14ac:dyDescent="0.25">
      <c r="A85" s="1">
        <f ca="1">EDATE(Swap_Date,6)</f>
        <v>43734</v>
      </c>
      <c r="B85">
        <f ca="1">_xll.BDH(H85,"PX_LAST",Cash_Date,Cash_Date)</f>
        <v>0.94838</v>
      </c>
      <c r="C85" s="1">
        <f t="shared" ca="1" si="14"/>
        <v>43999</v>
      </c>
      <c r="D85">
        <f ca="1">100-_xll.BDH(I85,"PX_LAST",Future_Date,Future_Date)</f>
        <v>0.875</v>
      </c>
      <c r="E85" s="1">
        <f t="shared" ca="1" si="15"/>
        <v>45742</v>
      </c>
      <c r="F85">
        <f t="shared" ca="1" si="12"/>
        <v>1.0911999999999999</v>
      </c>
      <c r="H85" t="s">
        <v>139</v>
      </c>
      <c r="I85" t="s">
        <v>148</v>
      </c>
      <c r="J85" t="s">
        <v>664</v>
      </c>
      <c r="P85" s="46"/>
      <c r="R85" s="46">
        <f ca="1">_xll.BDH($J85,"Close",$E$2,$E$3,"BarType","T","Dir=V","cols=2;rows=1")</f>
        <v>43550.46875</v>
      </c>
      <c r="S85">
        <v>1.0911999999999999</v>
      </c>
      <c r="T85">
        <f ca="1">_xll.BDH($J85,"LAST_PRICE",Swap_Date,Swap_Date)</f>
        <v>1.0905400000000001</v>
      </c>
      <c r="U85">
        <f t="shared" ca="1" si="13"/>
        <v>6.599999999998829E-4</v>
      </c>
    </row>
    <row r="86" spans="1:21" x14ac:dyDescent="0.25">
      <c r="A86" s="1">
        <f ca="1">EDATE(Swap_Date,12)</f>
        <v>43916</v>
      </c>
      <c r="B86">
        <f ca="1">_xll.BDH(H86,"PX_LAST",Cash_Date,Cash_Date)</f>
        <v>1.0611299999999999</v>
      </c>
      <c r="C86" s="1">
        <f t="shared" ca="1" si="14"/>
        <v>44090</v>
      </c>
      <c r="D86">
        <f ca="1">100-_xll.BDH(I86,"PX_LAST",Future_Date,Future_Date)</f>
        <v>0.90000000000000568</v>
      </c>
      <c r="E86" s="1">
        <f t="shared" ca="1" si="15"/>
        <v>46107</v>
      </c>
      <c r="F86">
        <f t="shared" ca="1" si="12"/>
        <v>1.11975</v>
      </c>
      <c r="H86" t="s">
        <v>140</v>
      </c>
      <c r="I86" t="s">
        <v>587</v>
      </c>
      <c r="J86" t="s">
        <v>665</v>
      </c>
      <c r="P86" s="46"/>
      <c r="R86" s="46">
        <f ca="1">_xll.BDH($J86,"Close",$E$2,$E$3,"BarType","T","Dir=V","cols=2;rows=1")</f>
        <v>43550.46875</v>
      </c>
      <c r="S86">
        <v>1.11975</v>
      </c>
      <c r="T86">
        <f ca="1">_xll.BDH($J86,"LAST_PRICE",Swap_Date,Swap_Date)</f>
        <v>1.1196299999999999</v>
      </c>
      <c r="U86">
        <f t="shared" ca="1" si="13"/>
        <v>1.2000000000012001E-4</v>
      </c>
    </row>
    <row r="87" spans="1:21" x14ac:dyDescent="0.25">
      <c r="C87" s="1">
        <f t="shared" ca="1" si="14"/>
        <v>44181</v>
      </c>
      <c r="D87">
        <f ca="1">100-_xll.BDH(I87,"PX_LAST",Future_Date,Future_Date)</f>
        <v>0.93000000000000682</v>
      </c>
      <c r="E87" s="1">
        <f t="shared" ca="1" si="15"/>
        <v>46472</v>
      </c>
      <c r="F87">
        <f t="shared" ca="1" si="12"/>
        <v>1.1492500000000001</v>
      </c>
      <c r="I87" t="s">
        <v>588</v>
      </c>
      <c r="J87" t="s">
        <v>666</v>
      </c>
      <c r="P87" s="46"/>
      <c r="R87" s="46">
        <f ca="1">_xll.BDH($J87,"Close",$E$2,$E$3,"BarType","T","Dir=V","cols=2;rows=1")</f>
        <v>43550.46875</v>
      </c>
      <c r="S87">
        <v>1.1492500000000001</v>
      </c>
      <c r="T87">
        <f ca="1">_xll.BDH($J87,"LAST_PRICE",Swap_Date,Swap_Date)</f>
        <v>1.1487799999999999</v>
      </c>
      <c r="U87">
        <f t="shared" ca="1" si="13"/>
        <v>4.7000000000019249E-4</v>
      </c>
    </row>
    <row r="88" spans="1:21" x14ac:dyDescent="0.25">
      <c r="C88" s="1">
        <f t="shared" ca="1" si="14"/>
        <v>44272</v>
      </c>
      <c r="D88">
        <f ca="1">100-_xll.BDH(I88,"PX_LAST",Future_Date,Future_Date)</f>
        <v>0.85500000000000398</v>
      </c>
      <c r="E88" s="1">
        <f t="shared" ca="1" si="15"/>
        <v>46838</v>
      </c>
      <c r="F88">
        <f t="shared" ca="1" si="12"/>
        <v>1.1777500000000001</v>
      </c>
      <c r="I88" t="s">
        <v>147</v>
      </c>
      <c r="J88" t="s">
        <v>667</v>
      </c>
      <c r="P88" s="46"/>
      <c r="R88" s="46">
        <f ca="1">_xll.BDH($J88,"Close",$E$2,$E$3,"BarType","T","Dir=V","cols=2;rows=1")</f>
        <v>43550.46875</v>
      </c>
      <c r="S88">
        <v>1.1777500000000001</v>
      </c>
      <c r="T88">
        <f ca="1">_xll.BDH($J88,"LAST_PRICE",Swap_Date,Swap_Date)</f>
        <v>1.1759299999999999</v>
      </c>
      <c r="U88">
        <f t="shared" ca="1" si="13"/>
        <v>1.8200000000001548E-3</v>
      </c>
    </row>
    <row r="89" spans="1:21" x14ac:dyDescent="0.25">
      <c r="E89" s="1">
        <f t="shared" ca="1" si="15"/>
        <v>47203</v>
      </c>
      <c r="F89">
        <f t="shared" ca="1" si="12"/>
        <v>1.2028099999999999</v>
      </c>
      <c r="J89" t="s">
        <v>668</v>
      </c>
      <c r="P89" s="46"/>
      <c r="R89" s="46">
        <f ca="1">_xll.BDH($J89,"Close",$E$2,$E$3,"BarType","T","Dir=V","cols=2;rows=1")</f>
        <v>43550.46875</v>
      </c>
      <c r="S89">
        <v>1.2028099999999999</v>
      </c>
      <c r="T89">
        <f ca="1">_xll.BDH($J89,"LAST_PRICE",Swap_Date,Swap_Date)</f>
        <v>1.2017800000000001</v>
      </c>
      <c r="U89">
        <f t="shared" ca="1" si="13"/>
        <v>1.0299999999998644E-3</v>
      </c>
    </row>
    <row r="90" spans="1:21" x14ac:dyDescent="0.25">
      <c r="E90" s="1">
        <f t="shared" ca="1" si="15"/>
        <v>47568</v>
      </c>
      <c r="F90">
        <f t="shared" ca="1" si="12"/>
        <v>1.22725</v>
      </c>
      <c r="J90" t="s">
        <v>669</v>
      </c>
      <c r="P90" s="46"/>
      <c r="R90" s="46">
        <f ca="1">_xll.BDH($J90,"Close",$E$2,$E$3,"BarType","T","Dir=V","cols=2;rows=1")</f>
        <v>43550.46875</v>
      </c>
      <c r="S90">
        <v>1.22725</v>
      </c>
      <c r="T90">
        <f ca="1">_xll.BDH($J90,"LAST_PRICE",Swap_Date,Swap_Date)</f>
        <v>1.2264200000000001</v>
      </c>
      <c r="U90">
        <f t="shared" ca="1" si="13"/>
        <v>8.2999999999988638E-4</v>
      </c>
    </row>
    <row r="91" spans="1:21" x14ac:dyDescent="0.25">
      <c r="E91" s="1">
        <f t="shared" ca="1" si="15"/>
        <v>47933</v>
      </c>
      <c r="F91">
        <f t="shared" ca="1" si="12"/>
        <v>1.2497499999999999</v>
      </c>
      <c r="J91" t="s">
        <v>670</v>
      </c>
      <c r="P91" s="46"/>
      <c r="R91" s="46">
        <f ca="1">_xll.BDH($J91,"Close",$E$2,$E$3,"BarType","T","Dir=V","cols=2;rows=1")</f>
        <v>43550.46875</v>
      </c>
      <c r="S91">
        <v>1.2497499999999999</v>
      </c>
      <c r="T91">
        <f ca="1">_xll.BDH($J91,"LAST_PRICE",Swap_Date,Swap_Date)</f>
        <v>1.2481599999999999</v>
      </c>
      <c r="U91">
        <f t="shared" ca="1" si="13"/>
        <v>1.5899999999999803E-3</v>
      </c>
    </row>
    <row r="92" spans="1:21" x14ac:dyDescent="0.25">
      <c r="E92" s="1">
        <f t="shared" ca="1" si="15"/>
        <v>48299</v>
      </c>
      <c r="F92">
        <f t="shared" ca="1" si="12"/>
        <v>1.2667999999999999</v>
      </c>
      <c r="J92" t="s">
        <v>671</v>
      </c>
      <c r="P92" s="46"/>
      <c r="R92" s="46">
        <f ca="1">_xll.BDH($J92,"Close",$E$2,$E$3,"BarType","T","Dir=V","cols=2;rows=1")</f>
        <v>43550.46875</v>
      </c>
      <c r="S92">
        <v>1.2667999999999999</v>
      </c>
      <c r="T92">
        <f ca="1">_xll.BDH($J92,"LAST_PRICE",Swap_Date,Swap_Date)</f>
        <v>1.2639</v>
      </c>
      <c r="U92">
        <f t="shared" ca="1" si="13"/>
        <v>2.8999999999999027E-3</v>
      </c>
    </row>
    <row r="93" spans="1:21" x14ac:dyDescent="0.25">
      <c r="E93" s="1">
        <f t="shared" ca="1" si="15"/>
        <v>48664</v>
      </c>
      <c r="F93">
        <f t="shared" ca="1" si="12"/>
        <v>1.2803</v>
      </c>
      <c r="J93" t="s">
        <v>672</v>
      </c>
      <c r="P93" s="46"/>
      <c r="R93" s="46">
        <f ca="1">_xll.BDH($J93,"Close",$E$2,$E$3,"BarType","T","Dir=V","cols=2;rows=1")</f>
        <v>43550.46875</v>
      </c>
      <c r="S93">
        <v>1.2803</v>
      </c>
      <c r="T93">
        <f ca="1">_xll.BDH($J93,"LAST_PRICE",Swap_Date,Swap_Date)</f>
        <v>1.2795000000000001</v>
      </c>
      <c r="U93">
        <f t="shared" ca="1" si="13"/>
        <v>7.9999999999991189E-4</v>
      </c>
    </row>
    <row r="94" spans="1:21" x14ac:dyDescent="0.25">
      <c r="E94" s="1">
        <f t="shared" ca="1" si="15"/>
        <v>49029</v>
      </c>
      <c r="F94">
        <f t="shared" ca="1" si="12"/>
        <v>1.294</v>
      </c>
      <c r="J94" t="s">
        <v>673</v>
      </c>
      <c r="P94" s="46"/>
      <c r="R94" s="46">
        <f ca="1">_xll.BDH($J94,"Close",$E$2,$E$3,"BarType","T","Dir=V","cols=2;rows=1")</f>
        <v>43550.46875</v>
      </c>
      <c r="S94">
        <v>1.294</v>
      </c>
      <c r="T94">
        <f ca="1">_xll.BDH($J94,"LAST_PRICE",Swap_Date,Swap_Date)</f>
        <v>1.29305</v>
      </c>
      <c r="U94">
        <f t="shared" ca="1" si="13"/>
        <v>9.5000000000000639E-4</v>
      </c>
    </row>
    <row r="95" spans="1:21" x14ac:dyDescent="0.25">
      <c r="E95" s="1">
        <f t="shared" ca="1" si="15"/>
        <v>49394</v>
      </c>
      <c r="F95">
        <f t="shared" ca="1" si="12"/>
        <v>1.3032999999999999</v>
      </c>
      <c r="J95" t="s">
        <v>674</v>
      </c>
      <c r="P95" s="46"/>
      <c r="R95" s="46">
        <f ca="1">_xll.BDH($J95,"Close",$E$2,$E$3,"BarType","T","Dir=V","cols=2;rows=1")</f>
        <v>43550.46875</v>
      </c>
      <c r="S95">
        <v>1.3032999999999999</v>
      </c>
      <c r="T95">
        <f ca="1">_xll.BDH($J95,"LAST_PRICE",Swap_Date,Swap_Date)</f>
        <v>1.3014000000000001</v>
      </c>
      <c r="U95">
        <f t="shared" ca="1" si="13"/>
        <v>1.8999999999997907E-3</v>
      </c>
    </row>
    <row r="96" spans="1:21" x14ac:dyDescent="0.25">
      <c r="E96" s="1">
        <f t="shared" ca="1" si="15"/>
        <v>49760</v>
      </c>
      <c r="F96">
        <f t="shared" ca="1" si="12"/>
        <v>1.3120000000000001</v>
      </c>
      <c r="J96" t="s">
        <v>675</v>
      </c>
      <c r="P96" s="46"/>
      <c r="R96" s="46">
        <f ca="1">_xll.BDH($J96,"Close",$E$2,$E$3,"BarType","T","Dir=V","cols=2;rows=1")</f>
        <v>43550.46875</v>
      </c>
      <c r="S96">
        <v>1.3120000000000001</v>
      </c>
      <c r="T96">
        <f ca="1">_xll.BDH($J96,"LAST_PRICE",Swap_Date,Swap_Date)</f>
        <v>1.3109999999999999</v>
      </c>
      <c r="U96">
        <f t="shared" ca="1" si="13"/>
        <v>1.0000000000001119E-3</v>
      </c>
    </row>
    <row r="97" spans="1:21" x14ac:dyDescent="0.25">
      <c r="E97" s="1">
        <f ca="1">EDATE(E96,36)</f>
        <v>50855</v>
      </c>
      <c r="F97">
        <f t="shared" ca="1" si="12"/>
        <v>1.3286500000000001</v>
      </c>
      <c r="J97" t="s">
        <v>676</v>
      </c>
      <c r="P97" s="46"/>
      <c r="R97" s="46">
        <f ca="1">_xll.BDH($J97,"Close",$E$2,$E$3,"BarType","T","Dir=V","cols=2;rows=1")</f>
        <v>43550.46875</v>
      </c>
      <c r="S97">
        <v>1.3286500000000001</v>
      </c>
      <c r="T97">
        <f ca="1">_xll.BDH($J97,"LAST_PRICE",Swap_Date,Swap_Date)</f>
        <v>1.3283</v>
      </c>
      <c r="U97">
        <f t="shared" ca="1" si="13"/>
        <v>3.5000000000007248E-4</v>
      </c>
    </row>
    <row r="98" spans="1:21" x14ac:dyDescent="0.25">
      <c r="E98" s="1">
        <f ca="1">EDATE(E97,60)</f>
        <v>52682</v>
      </c>
      <c r="F98">
        <f t="shared" ca="1" si="12"/>
        <v>1.33</v>
      </c>
      <c r="J98" t="s">
        <v>677</v>
      </c>
      <c r="P98" s="46"/>
      <c r="R98" s="46">
        <f ca="1">_xll.BDH($J98,"Close",$E$2,$E$3,"BarType","T","Dir=V","cols=2;rows=1")</f>
        <v>43550.46875</v>
      </c>
      <c r="S98">
        <v>1.33</v>
      </c>
      <c r="T98">
        <f ca="1">_xll.BDH($J98,"LAST_PRICE",Swap_Date,Swap_Date)</f>
        <v>1.3310599999999999</v>
      </c>
      <c r="U98">
        <f t="shared" ca="1" si="13"/>
        <v>-1.0599999999998388E-3</v>
      </c>
    </row>
    <row r="99" spans="1:21" x14ac:dyDescent="0.25">
      <c r="E99" s="1">
        <f ca="1">EDATE(E98,60)</f>
        <v>54508</v>
      </c>
      <c r="F99">
        <f t="shared" ca="1" si="12"/>
        <v>1.3224</v>
      </c>
      <c r="J99" t="s">
        <v>678</v>
      </c>
      <c r="P99" s="46"/>
      <c r="R99" s="46">
        <f ca="1">_xll.BDH($J99,"Close",$E$2,$E$3,"BarType","T","Dir=V","cols=2;rows=1")</f>
        <v>43550.46875</v>
      </c>
      <c r="S99">
        <v>1.3224</v>
      </c>
      <c r="T99">
        <f ca="1">_xll.BDH($J99,"LAST_PRICE",Swap_Date,Swap_Date)</f>
        <v>1.32481</v>
      </c>
      <c r="U99">
        <f t="shared" ca="1" si="13"/>
        <v>-2.4100000000000232E-3</v>
      </c>
    </row>
    <row r="100" spans="1:21" x14ac:dyDescent="0.25">
      <c r="E100" s="1">
        <f ca="1">EDATE(E99,120)</f>
        <v>58160</v>
      </c>
      <c r="F100">
        <f t="shared" ca="1" si="12"/>
        <v>1.29575</v>
      </c>
      <c r="J100" t="s">
        <v>679</v>
      </c>
      <c r="P100" s="46"/>
      <c r="R100" s="46">
        <f ca="1">_xll.BDH($J100,"Close",$E$2,$E$3,"BarType","T","Dir=V","cols=2;rows=1")</f>
        <v>43550.46875</v>
      </c>
      <c r="S100">
        <v>1.29575</v>
      </c>
      <c r="T100">
        <f ca="1">_xll.BDH($J100,"LAST_PRICE",Swap_Date,Swap_Date)</f>
        <v>1.29681</v>
      </c>
      <c r="U100">
        <f t="shared" ca="1" si="13"/>
        <v>-1.0600000000000609E-3</v>
      </c>
    </row>
    <row r="101" spans="1:21" x14ac:dyDescent="0.25">
      <c r="E101" s="1">
        <f ca="1">EDATE(E100,12)</f>
        <v>58526</v>
      </c>
      <c r="F101">
        <f ca="1">F100</f>
        <v>1.29575</v>
      </c>
    </row>
    <row r="104" spans="1:21" x14ac:dyDescent="0.25">
      <c r="A104" t="s">
        <v>247</v>
      </c>
      <c r="B104">
        <v>6</v>
      </c>
      <c r="D104">
        <v>7</v>
      </c>
      <c r="F104">
        <v>100</v>
      </c>
    </row>
    <row r="105" spans="1:21" x14ac:dyDescent="0.25">
      <c r="A105" t="s">
        <v>29</v>
      </c>
      <c r="B105" t="s">
        <v>30</v>
      </c>
      <c r="C105" t="s">
        <v>31</v>
      </c>
      <c r="D105" t="s">
        <v>32</v>
      </c>
      <c r="E105" t="s">
        <v>33</v>
      </c>
      <c r="F105" t="s">
        <v>34</v>
      </c>
    </row>
    <row r="106" spans="1:21" x14ac:dyDescent="0.25">
      <c r="A106" s="1">
        <f ca="1">WORKDAY(Swap_Date,1)</f>
        <v>43551</v>
      </c>
      <c r="B106">
        <f ca="1">_xll.BDH(H106,"PX_LAST",Cash_Date,Cash_Date)</f>
        <v>-0.78580000000000005</v>
      </c>
      <c r="C106" s="1">
        <f ca="1">nextimm(Swap_Date)</f>
        <v>43635</v>
      </c>
      <c r="D106">
        <f ca="1">IF(ISNUMBER(_xll.BDH(I106,"PX_LAST",Future_Date,Future_Date)),100-_xll.BDH(I106,"PX_LAST",Future_Date,Future_Date),B109)</f>
        <v>-0.70999999999999375</v>
      </c>
      <c r="E106" s="1">
        <f ca="1">EDATE(Swap_Date,24)</f>
        <v>44281</v>
      </c>
      <c r="F106">
        <f t="shared" ref="F106:F123" ca="1" si="16">IF(ISNUMBER(S106),S106,T106)</f>
        <v>-0.63200000000000001</v>
      </c>
      <c r="H106" t="s">
        <v>168</v>
      </c>
      <c r="I106" t="s">
        <v>177</v>
      </c>
      <c r="J106" t="s">
        <v>680</v>
      </c>
      <c r="P106" s="46"/>
      <c r="R106" s="46" t="str">
        <f ca="1">_xll.BDH($J106,"Close",$E$2,$E$3,"BarType","T","Dir=V")</f>
        <v>#N/A N/A</v>
      </c>
      <c r="T106">
        <f ca="1">_xll.BDH($J106,"LAST_PRICE",Swap_Date,Swap_Date)</f>
        <v>-0.63200000000000001</v>
      </c>
      <c r="U106">
        <f ca="1">S106-T106</f>
        <v>0.63200000000000001</v>
      </c>
    </row>
    <row r="107" spans="1:21" x14ac:dyDescent="0.25">
      <c r="A107" s="1">
        <f ca="1">EDATE(Swap_Date,1)</f>
        <v>43581</v>
      </c>
      <c r="B107">
        <f ca="1">_xll.BDH(H107,"PX_LAST",Cash_Date,Cash_Date)</f>
        <v>-0.78380000000000005</v>
      </c>
      <c r="C107" s="1">
        <f ca="1">nextimm(C106+1)</f>
        <v>43726</v>
      </c>
      <c r="D107">
        <f ca="1">IFERROR(100-_xll.BDH(I107,"PX_LAST",Future_Date,Future_Date),0.5*(D106+D108))</f>
        <v>-0.73000000000000398</v>
      </c>
      <c r="E107" s="1">
        <f ca="1">EDATE(E106,12)</f>
        <v>44646</v>
      </c>
      <c r="F107">
        <f t="shared" ca="1" si="16"/>
        <v>-0.5625</v>
      </c>
      <c r="H107" t="s">
        <v>169</v>
      </c>
      <c r="I107" t="s">
        <v>178</v>
      </c>
      <c r="J107" t="s">
        <v>681</v>
      </c>
      <c r="P107" s="46"/>
      <c r="R107" s="46" t="str">
        <f ca="1">_xll.BDH($J107,"Close",$E$2,$E$3,"BarType","T","Dir=V")</f>
        <v>#N/A N/A</v>
      </c>
      <c r="T107">
        <f ca="1">_xll.BDH($J107,"LAST_PRICE",Swap_Date,Swap_Date)</f>
        <v>-0.5625</v>
      </c>
      <c r="U107">
        <f t="shared" ref="U107:U123" ca="1" si="17">S107-T107</f>
        <v>0.5625</v>
      </c>
    </row>
    <row r="108" spans="1:21" x14ac:dyDescent="0.25">
      <c r="A108" s="1">
        <f ca="1">EDATE(Swap_Date,2)</f>
        <v>43611</v>
      </c>
      <c r="B108">
        <f ca="1">IF(ISNUMBER(_xll.BDH(H108,"PX_LAST",Cash_Date,Cash_Date)),_xll.BDH(H108,"PX_LAST",Cash_Date,Cash_Date),0.5*(B107+B109))</f>
        <v>-0.7258</v>
      </c>
      <c r="C108" s="1">
        <f t="shared" ref="C108:C113" ca="1" si="18">nextimm(C107+1)</f>
        <v>43817</v>
      </c>
      <c r="D108">
        <f ca="1">100-_xll.BDH(I108,"PX_LAST",Future_Date,Future_Date)</f>
        <v>-0.71999999999999886</v>
      </c>
      <c r="E108" s="1">
        <f t="shared" ref="E108:E119" ca="1" si="19">EDATE(E107,12)</f>
        <v>45011</v>
      </c>
      <c r="F108">
        <f t="shared" ca="1" si="16"/>
        <v>-0.48909999999999998</v>
      </c>
      <c r="H108" t="s">
        <v>170</v>
      </c>
      <c r="I108" t="s">
        <v>179</v>
      </c>
      <c r="J108" t="s">
        <v>682</v>
      </c>
      <c r="P108" s="46"/>
      <c r="R108" s="46" t="str">
        <f ca="1">_xll.BDH($J108,"Close",$E$2,$E$3,"BarType","T","Dir=V")</f>
        <v>#N/A N/A</v>
      </c>
      <c r="T108">
        <f ca="1">_xll.BDH($J108,"LAST_PRICE",Swap_Date,Swap_Date)</f>
        <v>-0.48909999999999998</v>
      </c>
      <c r="U108">
        <f t="shared" ca="1" si="17"/>
        <v>0.48909999999999998</v>
      </c>
    </row>
    <row r="109" spans="1:21" x14ac:dyDescent="0.25">
      <c r="A109" s="1">
        <f ca="1">EDATE(Swap_Date,3)</f>
        <v>43642</v>
      </c>
      <c r="B109">
        <f ca="1">_xll.BDH(H109,"PX_LAST",Cash_Date,Cash_Date)</f>
        <v>-0.70320000000000005</v>
      </c>
      <c r="C109" s="1">
        <f t="shared" ca="1" si="18"/>
        <v>43908</v>
      </c>
      <c r="D109">
        <f ca="1">100-_xll.BDH(I109,"PX_LAST",Future_Date,Future_Date)</f>
        <v>-0.70999999999999375</v>
      </c>
      <c r="E109" s="1">
        <f t="shared" ca="1" si="19"/>
        <v>45377</v>
      </c>
      <c r="F109">
        <f t="shared" ca="1" si="16"/>
        <v>-0.4088</v>
      </c>
      <c r="H109" t="s">
        <v>171</v>
      </c>
      <c r="I109" t="s">
        <v>180</v>
      </c>
      <c r="J109" t="s">
        <v>683</v>
      </c>
      <c r="P109" s="46"/>
      <c r="R109" s="46" t="str">
        <f ca="1">_xll.BDH($J109,"Close",$E$2,$E$3,"BarType","T","Dir=V")</f>
        <v>#N/A N/A</v>
      </c>
      <c r="T109">
        <f ca="1">_xll.BDH($J109,"LAST_PRICE",Swap_Date,Swap_Date)</f>
        <v>-0.4088</v>
      </c>
      <c r="U109">
        <f t="shared" ca="1" si="17"/>
        <v>0.4088</v>
      </c>
    </row>
    <row r="110" spans="1:21" x14ac:dyDescent="0.25">
      <c r="A110" s="1">
        <f ca="1">EDATE(Swap_Date,6)</f>
        <v>43734</v>
      </c>
      <c r="B110">
        <f ca="1">_xll.BDH(H110,"PX_LAST",Cash_Date,Cash_Date)</f>
        <v>-0.63939999999999997</v>
      </c>
      <c r="C110" s="1">
        <f t="shared" ca="1" si="18"/>
        <v>43999</v>
      </c>
      <c r="D110">
        <f ca="1">100-_xll.BDH(I110,"PX_LAST",Future_Date,Future_Date)</f>
        <v>-0.70000000000000284</v>
      </c>
      <c r="E110" s="1">
        <f t="shared" ca="1" si="19"/>
        <v>45742</v>
      </c>
      <c r="F110">
        <f t="shared" ca="1" si="16"/>
        <v>-0.32</v>
      </c>
      <c r="H110" t="s">
        <v>172</v>
      </c>
      <c r="I110" t="s">
        <v>181</v>
      </c>
      <c r="J110" t="s">
        <v>684</v>
      </c>
      <c r="P110" s="46"/>
      <c r="R110" s="46" t="str">
        <f ca="1">_xll.BDH($J110,"Close",$E$2,$E$3,"BarType","T","Dir=V")</f>
        <v>#N/A N/A</v>
      </c>
      <c r="T110">
        <f ca="1">_xll.BDH($J110,"LAST_PRICE",Swap_Date,Swap_Date)</f>
        <v>-0.32</v>
      </c>
      <c r="U110">
        <f t="shared" ca="1" si="17"/>
        <v>0.32</v>
      </c>
    </row>
    <row r="111" spans="1:21" x14ac:dyDescent="0.25">
      <c r="A111" s="1">
        <f ca="1">EDATE(Swap_Date,12)</f>
        <v>43916</v>
      </c>
      <c r="B111">
        <f ca="1">_xll.BDH(H111,"PX_LAST",Cash_Date,Cash_Date)</f>
        <v>-0.50600000000000001</v>
      </c>
      <c r="C111" s="1">
        <f t="shared" ca="1" si="18"/>
        <v>44090</v>
      </c>
      <c r="D111">
        <f ca="1">100-_xll.BDH(I111,"PX_LAST",Future_Date,Future_Date)</f>
        <v>-0.67000000000000171</v>
      </c>
      <c r="E111" s="1">
        <f t="shared" ca="1" si="19"/>
        <v>46107</v>
      </c>
      <c r="F111">
        <f t="shared" ca="1" si="16"/>
        <v>-0.22489999999999999</v>
      </c>
      <c r="H111" t="s">
        <v>173</v>
      </c>
      <c r="I111" t="s">
        <v>589</v>
      </c>
      <c r="J111" t="s">
        <v>685</v>
      </c>
      <c r="P111" s="46"/>
      <c r="R111" s="46" t="str">
        <f ca="1">_xll.BDH($J111,"Close",$E$2,$E$3,"BarType","T","Dir=V")</f>
        <v>#N/A N/A</v>
      </c>
      <c r="T111">
        <f ca="1">_xll.BDH($J111,"LAST_PRICE",Swap_Date,Swap_Date)</f>
        <v>-0.22489999999999999</v>
      </c>
      <c r="U111">
        <f t="shared" ca="1" si="17"/>
        <v>0.22489999999999999</v>
      </c>
    </row>
    <row r="112" spans="1:21" x14ac:dyDescent="0.25">
      <c r="C112" s="1">
        <f t="shared" ca="1" si="18"/>
        <v>44181</v>
      </c>
      <c r="D112">
        <f ca="1">100-_xll.BDH(I112,"PX_LAST",Future_Date,Future_Date)</f>
        <v>-0.64000000000000057</v>
      </c>
      <c r="E112" s="1">
        <f t="shared" ca="1" si="19"/>
        <v>46472</v>
      </c>
      <c r="F112">
        <f t="shared" ca="1" si="16"/>
        <v>-0.13650000000000001</v>
      </c>
      <c r="I112" t="s">
        <v>590</v>
      </c>
      <c r="J112" t="s">
        <v>686</v>
      </c>
      <c r="P112" s="46"/>
      <c r="R112" s="46" t="str">
        <f ca="1">_xll.BDH($J112,"Close",$E$2,$E$3,"BarType","T","Dir=V")</f>
        <v>#N/A N/A</v>
      </c>
      <c r="T112">
        <f ca="1">_xll.BDH($J112,"LAST_PRICE",Swap_Date,Swap_Date)</f>
        <v>-0.13650000000000001</v>
      </c>
      <c r="U112">
        <f t="shared" ca="1" si="17"/>
        <v>0.13650000000000001</v>
      </c>
    </row>
    <row r="113" spans="3:21" x14ac:dyDescent="0.25">
      <c r="C113" s="1">
        <f t="shared" ca="1" si="18"/>
        <v>44272</v>
      </c>
      <c r="D113">
        <f ca="1">100-_xll.BDH(I113,"PX_LAST",Future_Date,Future_Date)</f>
        <v>-0.70999999999999375</v>
      </c>
      <c r="E113" s="1">
        <f t="shared" ca="1" si="19"/>
        <v>46838</v>
      </c>
      <c r="F113">
        <f t="shared" ca="1" si="16"/>
        <v>-5.2499999999999998E-2</v>
      </c>
      <c r="I113" t="s">
        <v>180</v>
      </c>
      <c r="J113" t="s">
        <v>687</v>
      </c>
      <c r="P113" s="46"/>
      <c r="R113" s="46" t="str">
        <f ca="1">_xll.BDH($J113,"Close",$E$2,$E$3,"BarType","T","Dir=V")</f>
        <v>#N/A N/A</v>
      </c>
      <c r="T113">
        <f ca="1">_xll.BDH($J113,"LAST_PRICE",Swap_Date,Swap_Date)</f>
        <v>-5.2499999999999998E-2</v>
      </c>
      <c r="U113">
        <f t="shared" ca="1" si="17"/>
        <v>5.2499999999999998E-2</v>
      </c>
    </row>
    <row r="114" spans="3:21" x14ac:dyDescent="0.25">
      <c r="E114" s="1">
        <f t="shared" ca="1" si="19"/>
        <v>47203</v>
      </c>
      <c r="F114">
        <f t="shared" ca="1" si="16"/>
        <v>4.1099999999999998E-2</v>
      </c>
      <c r="J114" t="s">
        <v>688</v>
      </c>
      <c r="P114" s="46"/>
      <c r="R114" s="46" t="str">
        <f ca="1">_xll.BDH($J114,"Close",$E$2,$E$3,"BarType","T","Dir=V")</f>
        <v>#N/A N/A</v>
      </c>
      <c r="T114">
        <f ca="1">_xll.BDH($J114,"LAST_PRICE",Swap_Date,Swap_Date)</f>
        <v>4.1099999999999998E-2</v>
      </c>
      <c r="U114">
        <f t="shared" ca="1" si="17"/>
        <v>-4.1099999999999998E-2</v>
      </c>
    </row>
    <row r="115" spans="3:21" x14ac:dyDescent="0.25">
      <c r="E115" s="1">
        <f t="shared" ca="1" si="19"/>
        <v>47568</v>
      </c>
      <c r="F115">
        <f t="shared" ca="1" si="16"/>
        <v>0.11749999999999999</v>
      </c>
      <c r="J115" t="s">
        <v>689</v>
      </c>
      <c r="P115" s="46"/>
      <c r="R115" s="46" t="str">
        <f ca="1">_xll.BDH($J115,"Close",$E$2,$E$3,"BarType","T","Dir=V")</f>
        <v>#N/A N/A</v>
      </c>
      <c r="T115">
        <f ca="1">_xll.BDH($J115,"LAST_PRICE",Swap_Date,Swap_Date)</f>
        <v>0.11749999999999999</v>
      </c>
      <c r="U115">
        <f t="shared" ca="1" si="17"/>
        <v>-0.11749999999999999</v>
      </c>
    </row>
    <row r="116" spans="3:21" x14ac:dyDescent="0.25">
      <c r="E116" s="1">
        <f t="shared" ca="1" si="19"/>
        <v>47933</v>
      </c>
      <c r="F116">
        <f t="shared" ca="1" si="16"/>
        <v>0.185</v>
      </c>
      <c r="J116" t="s">
        <v>690</v>
      </c>
      <c r="P116" s="46"/>
      <c r="R116" s="46" t="str">
        <f ca="1">_xll.BDH($J116,"Close",$E$2,$E$3,"BarType","T","Dir=V")</f>
        <v>#N/A N/A</v>
      </c>
      <c r="T116">
        <f ca="1">_xll.BDH($J116,"LAST_PRICE",Swap_Date,Swap_Date)</f>
        <v>0.185</v>
      </c>
      <c r="U116">
        <f t="shared" ca="1" si="17"/>
        <v>-0.185</v>
      </c>
    </row>
    <row r="117" spans="3:21" x14ac:dyDescent="0.25">
      <c r="E117" s="1">
        <f t="shared" ca="1" si="19"/>
        <v>48299</v>
      </c>
      <c r="F117">
        <f t="shared" ca="1" si="16"/>
        <v>0.255</v>
      </c>
      <c r="J117" t="s">
        <v>691</v>
      </c>
      <c r="P117" s="46"/>
      <c r="R117" s="46" t="str">
        <f ca="1">_xll.BDH($J117,"Close",$E$2,$E$3,"BarType","T","Dir=V")</f>
        <v>#N/A N/A</v>
      </c>
      <c r="T117">
        <f ca="1">_xll.BDH($J117,"LAST_PRICE",Swap_Date,Swap_Date)</f>
        <v>0.255</v>
      </c>
      <c r="U117">
        <f t="shared" ca="1" si="17"/>
        <v>-0.255</v>
      </c>
    </row>
    <row r="118" spans="3:21" x14ac:dyDescent="0.25">
      <c r="E118" s="1">
        <f t="shared" ca="1" si="19"/>
        <v>48664</v>
      </c>
      <c r="F118">
        <f t="shared" ca="1" si="16"/>
        <v>0.3125</v>
      </c>
      <c r="J118" t="s">
        <v>692</v>
      </c>
      <c r="P118" s="46"/>
      <c r="R118" s="46" t="str">
        <f ca="1">_xll.BDH($J118,"Close",$E$2,$E$3,"BarType","T","Dir=V")</f>
        <v>#N/A N/A</v>
      </c>
      <c r="T118">
        <f ca="1">_xll.BDH($J118,"LAST_PRICE",Swap_Date,Swap_Date)</f>
        <v>0.3125</v>
      </c>
      <c r="U118">
        <f t="shared" ca="1" si="17"/>
        <v>-0.3125</v>
      </c>
    </row>
    <row r="119" spans="3:21" x14ac:dyDescent="0.25">
      <c r="E119" s="1">
        <f t="shared" ca="1" si="19"/>
        <v>49029</v>
      </c>
      <c r="F119">
        <f t="shared" ca="1" si="16"/>
        <v>0.36</v>
      </c>
      <c r="J119" t="s">
        <v>693</v>
      </c>
      <c r="P119" s="46"/>
      <c r="R119" s="46" t="str">
        <f ca="1">_xll.BDH($J119,"Close",$E$2,$E$3,"BarType","T","Dir=V")</f>
        <v>#N/A N/A</v>
      </c>
      <c r="T119">
        <f ca="1">_xll.BDH($J119,"LAST_PRICE",Swap_Date,Swap_Date)</f>
        <v>0.36</v>
      </c>
      <c r="U119">
        <f t="shared" ca="1" si="17"/>
        <v>-0.36</v>
      </c>
    </row>
    <row r="120" spans="3:21" x14ac:dyDescent="0.25">
      <c r="E120" s="1">
        <f ca="1">EDATE(E119,60)</f>
        <v>50855</v>
      </c>
      <c r="F120">
        <f t="shared" ca="1" si="16"/>
        <v>0.51</v>
      </c>
      <c r="J120" t="s">
        <v>694</v>
      </c>
      <c r="P120" s="46"/>
      <c r="R120" s="46" t="str">
        <f ca="1">_xll.BDH($J120,"Close",$E$2,$E$3,"BarType","T","Dir=V")</f>
        <v>#N/A N/A</v>
      </c>
      <c r="T120">
        <f ca="1">_xll.BDH($J120,"LAST_PRICE",Swap_Date,Swap_Date)</f>
        <v>0.51</v>
      </c>
      <c r="U120">
        <f t="shared" ca="1" si="17"/>
        <v>-0.51</v>
      </c>
    </row>
    <row r="121" spans="3:21" x14ac:dyDescent="0.25">
      <c r="E121" s="1">
        <f ca="1">EDATE(E120,60)</f>
        <v>52682</v>
      </c>
      <c r="F121">
        <f t="shared" ca="1" si="16"/>
        <v>0.55000000000000004</v>
      </c>
      <c r="J121" t="s">
        <v>695</v>
      </c>
      <c r="P121" s="46"/>
      <c r="R121" s="46" t="str">
        <f ca="1">_xll.BDH($J121,"Close",$E$2,$E$3,"BarType","T","Dir=V")</f>
        <v>#N/A N/A</v>
      </c>
      <c r="T121">
        <f ca="1">_xll.BDH($J121,"LAST_PRICE",Swap_Date,Swap_Date)</f>
        <v>0.55000000000000004</v>
      </c>
      <c r="U121">
        <f t="shared" ca="1" si="17"/>
        <v>-0.55000000000000004</v>
      </c>
    </row>
    <row r="122" spans="3:21" x14ac:dyDescent="0.25">
      <c r="E122" s="1">
        <f ca="1">EDATE(E121,60)</f>
        <v>54508</v>
      </c>
      <c r="F122">
        <f t="shared" ca="1" si="16"/>
        <v>0.5675</v>
      </c>
      <c r="J122" t="s">
        <v>696</v>
      </c>
      <c r="P122" s="46"/>
      <c r="R122" s="46" t="str">
        <f ca="1">_xll.BDH($J122,"Close",$E$2,$E$3,"BarType","T","Dir=V")</f>
        <v>#N/A N/A</v>
      </c>
      <c r="T122">
        <f ca="1">_xll.BDH($J122,"LAST_PRICE",Swap_Date,Swap_Date)</f>
        <v>0.5675</v>
      </c>
      <c r="U122">
        <f t="shared" ca="1" si="17"/>
        <v>-0.5675</v>
      </c>
    </row>
    <row r="123" spans="3:21" x14ac:dyDescent="0.25">
      <c r="E123" s="1">
        <f ca="1">EDATE(E122,120)</f>
        <v>58160</v>
      </c>
      <c r="F123">
        <f t="shared" ca="1" si="16"/>
        <v>0.57750000000000001</v>
      </c>
      <c r="J123" t="s">
        <v>697</v>
      </c>
      <c r="P123" s="46"/>
      <c r="R123" s="46" t="str">
        <f ca="1">_xll.BDH($J123,"Close",$E$2,$E$3,"BarType","T","Dir=V")</f>
        <v>#N/A N/A</v>
      </c>
      <c r="T123">
        <f ca="1">_xll.BDH($J123,"LAST_PRICE",Swap_Date,Swap_Date)</f>
        <v>0.57750000000000001</v>
      </c>
      <c r="U123">
        <f t="shared" ca="1" si="17"/>
        <v>-0.57750000000000001</v>
      </c>
    </row>
    <row r="124" spans="3:21" x14ac:dyDescent="0.25">
      <c r="E124" s="1">
        <f ca="1">EDATE(E123,12)</f>
        <v>58526</v>
      </c>
      <c r="F124">
        <f ca="1">F123</f>
        <v>0.57750000000000001</v>
      </c>
      <c r="P124" s="46"/>
      <c r="R124" s="46"/>
    </row>
    <row r="125" spans="3:21" x14ac:dyDescent="0.25">
      <c r="E125" s="1"/>
      <c r="P125" s="46"/>
      <c r="R125" s="46"/>
    </row>
    <row r="129" spans="1:20" x14ac:dyDescent="0.25">
      <c r="A129" s="7" t="s">
        <v>21</v>
      </c>
      <c r="B129" s="8">
        <v>6</v>
      </c>
      <c r="C129" s="8"/>
      <c r="D129" s="8">
        <v>7</v>
      </c>
      <c r="E129" s="8"/>
      <c r="F129" s="8">
        <v>100</v>
      </c>
    </row>
    <row r="130" spans="1:20" x14ac:dyDescent="0.25">
      <c r="A130" t="s">
        <v>29</v>
      </c>
      <c r="B130" t="s">
        <v>30</v>
      </c>
      <c r="C130" t="s">
        <v>31</v>
      </c>
      <c r="D130" t="s">
        <v>32</v>
      </c>
      <c r="E130" t="s">
        <v>33</v>
      </c>
      <c r="F130" t="s">
        <v>34</v>
      </c>
    </row>
    <row r="131" spans="1:20" x14ac:dyDescent="0.25">
      <c r="A131" s="1">
        <f ca="1">WORKDAY(Swap_Date,1)</f>
        <v>43551</v>
      </c>
      <c r="B131">
        <f ca="1">_xll.BDH(H131,"PX_LAST",Cash_Date,Cash_Date)</f>
        <v>1.75</v>
      </c>
      <c r="C131" s="1">
        <f ca="1">nextimm(Swap_Date)</f>
        <v>43635</v>
      </c>
      <c r="D131">
        <f ca="1">IF(ISNUMBER(_xll.BDH(I131,"PX_LAST",Future_Date,Future_Date)),100-_xll.BDH(I131,"PX_LAST",Future_Date,Future_Date),B134)</f>
        <v>2.0049999999999955</v>
      </c>
      <c r="E131" s="1">
        <f ca="1">EDATE(Swap_Date,24)</f>
        <v>44281</v>
      </c>
      <c r="F131">
        <f t="shared" ref="F131:F145" ca="1" si="20">IF(ISNUMBER(S131),S131,T131)</f>
        <v>1.8576999999999999</v>
      </c>
      <c r="H131" t="s">
        <v>200</v>
      </c>
      <c r="I131" t="s">
        <v>209</v>
      </c>
      <c r="J131" t="s">
        <v>698</v>
      </c>
      <c r="P131" s="46"/>
      <c r="R131" s="46">
        <f ca="1">_xll.BDH($J131,"Close",$C$2,$C$3,"BarType","T","Dir=V","cols=2;rows=1")</f>
        <v>43550.625</v>
      </c>
      <c r="S131">
        <v>1.8576999999999999</v>
      </c>
      <c r="T131">
        <f ca="1">_xll.BDH($J131,"LAST_PRICE",Swap_Date,Swap_Date)</f>
        <v>1.873</v>
      </c>
    </row>
    <row r="132" spans="1:20" x14ac:dyDescent="0.25">
      <c r="A132" s="1">
        <f ca="1">EDATE(Swap_Date,1)</f>
        <v>43581</v>
      </c>
      <c r="B132">
        <f ca="1">_xll.BDH(H132,"PX_LAST",Cash_Date,Cash_Date)</f>
        <v>1.9725000000000001</v>
      </c>
      <c r="C132" s="1">
        <f ca="1">nextimm(C131+1)</f>
        <v>43726</v>
      </c>
      <c r="D132">
        <f ca="1">IFERROR(100-_xll.BDH(I132,"PX_LAST",Future_Date,Future_Date),0.5*(D131+D133))</f>
        <v>1.9150000000000063</v>
      </c>
      <c r="E132" s="1">
        <f ca="1">EDATE(E131,12)</f>
        <v>44646</v>
      </c>
      <c r="F132">
        <f t="shared" ca="1" si="20"/>
        <v>1.8243</v>
      </c>
      <c r="H132" t="s">
        <v>201</v>
      </c>
      <c r="I132" t="s">
        <v>210</v>
      </c>
      <c r="J132" t="s">
        <v>699</v>
      </c>
      <c r="P132" s="46"/>
      <c r="R132" s="46">
        <f ca="1">_xll.BDH($J132,"Close",$C$2,$C$3,"BarType","T","Dir=V","cols=2;rows=1")</f>
        <v>43550.625</v>
      </c>
      <c r="S132">
        <v>1.8243</v>
      </c>
      <c r="T132">
        <f ca="1">_xll.BDH($J132,"LAST_PRICE",Swap_Date,Swap_Date)</f>
        <v>1.8258000000000001</v>
      </c>
    </row>
    <row r="133" spans="1:20" x14ac:dyDescent="0.25">
      <c r="A133" s="1">
        <f ca="1">EDATE(Swap_Date,2)</f>
        <v>43611</v>
      </c>
      <c r="B133">
        <f ca="1">IF(ISNUMBER(_xll.BDH(H133,"PX_LAST",Cash_Date,Cash_Date)),_xll.BDH(H133,"PX_LAST",Cash_Date,Cash_Date),0.5*(B132+B134))</f>
        <v>2</v>
      </c>
      <c r="C133" s="1">
        <f t="shared" ref="C133:C138" ca="1" si="21">nextimm(C132+1)</f>
        <v>43817</v>
      </c>
      <c r="D133">
        <f ca="1">100-_xll.BDH(I133,"PX_LAST",Future_Date,Future_Date)</f>
        <v>1.875</v>
      </c>
      <c r="E133" s="1">
        <f t="shared" ref="E133:E139" ca="1" si="22">EDATE(E132,12)</f>
        <v>45011</v>
      </c>
      <c r="F133">
        <f t="shared" ca="1" si="20"/>
        <v>1.8222</v>
      </c>
      <c r="H133" t="s">
        <v>202</v>
      </c>
      <c r="I133" t="s">
        <v>211</v>
      </c>
      <c r="J133" t="s">
        <v>700</v>
      </c>
      <c r="P133" s="46"/>
      <c r="R133" s="46">
        <f ca="1">_xll.BDH($J133,"Close",$C$2,$C$3,"BarType","T","Dir=V","cols=2;rows=1")</f>
        <v>43550.625</v>
      </c>
      <c r="S133">
        <v>1.8222</v>
      </c>
      <c r="T133">
        <f ca="1">_xll.BDH($J133,"LAST_PRICE",Swap_Date,Swap_Date)</f>
        <v>1.8239000000000001</v>
      </c>
    </row>
    <row r="134" spans="1:20" x14ac:dyDescent="0.25">
      <c r="A134" s="1">
        <f ca="1">EDATE(Swap_Date,3)</f>
        <v>43642</v>
      </c>
      <c r="B134">
        <f ca="1">_xll.BDH(H134,"PX_LAST",Cash_Date,Cash_Date)</f>
        <v>2.0175000000000001</v>
      </c>
      <c r="C134" s="1">
        <f t="shared" ca="1" si="21"/>
        <v>43908</v>
      </c>
      <c r="D134">
        <f ca="1">100-_xll.BDH(I134,"PX_LAST",Future_Date,Future_Date)</f>
        <v>1.8050000000000068</v>
      </c>
      <c r="E134" s="1">
        <f t="shared" ca="1" si="22"/>
        <v>45377</v>
      </c>
      <c r="F134">
        <f t="shared" ca="1" si="20"/>
        <v>1.8386</v>
      </c>
      <c r="H134" t="s">
        <v>203</v>
      </c>
      <c r="I134" t="s">
        <v>212</v>
      </c>
      <c r="J134" t="s">
        <v>701</v>
      </c>
      <c r="P134" s="46"/>
      <c r="R134" s="46">
        <f ca="1">_xll.BDH($J134,"Close",$C$2,$C$3,"BarType","T","Dir=V","cols=2;rows=1")</f>
        <v>43550.625</v>
      </c>
      <c r="S134">
        <v>1.8386</v>
      </c>
      <c r="T134">
        <f ca="1">_xll.BDH($J134,"LAST_PRICE",Swap_Date,Swap_Date)</f>
        <v>1.8371</v>
      </c>
    </row>
    <row r="135" spans="1:20" x14ac:dyDescent="0.25">
      <c r="A135" s="1">
        <f ca="1">EDATE(Swap_Date,6)</f>
        <v>43734</v>
      </c>
      <c r="B135">
        <f ca="1">_xll.BDH(H135,"PX_LAST",Cash_Date,Cash_Date)</f>
        <v>2.0862500000000002</v>
      </c>
      <c r="C135" s="1">
        <f t="shared" ca="1" si="21"/>
        <v>43999</v>
      </c>
      <c r="D135">
        <f ca="1">100-_xll.BDH(I135,"PX_LAST",Future_Date,Future_Date)</f>
        <v>1.7650000000000006</v>
      </c>
      <c r="E135" s="1">
        <f t="shared" ca="1" si="22"/>
        <v>45742</v>
      </c>
      <c r="F135">
        <f t="shared" ca="1" si="20"/>
        <v>1.8660000000000001</v>
      </c>
      <c r="H135" t="s">
        <v>204</v>
      </c>
      <c r="I135" t="s">
        <v>213</v>
      </c>
      <c r="J135" t="s">
        <v>702</v>
      </c>
      <c r="P135" s="46"/>
      <c r="R135" s="46">
        <f ca="1">_xll.BDH($J135,"Close",$C$2,$C$3,"BarType","T","Dir=V","cols=2;rows=1")</f>
        <v>43550.625</v>
      </c>
      <c r="S135">
        <v>1.8660000000000001</v>
      </c>
      <c r="T135">
        <f ca="1">_xll.BDH($J135,"LAST_PRICE",Swap_Date,Swap_Date)</f>
        <v>1.8639999999999999</v>
      </c>
    </row>
    <row r="136" spans="1:20" x14ac:dyDescent="0.25">
      <c r="A136" s="1">
        <f ca="1">EDATE(Swap_Date,12)</f>
        <v>43916</v>
      </c>
      <c r="B136">
        <f ca="1">_xll.BDH(H136,"PX_LAST",Cash_Date,Cash_Date)</f>
        <v>2.2400000000000002</v>
      </c>
      <c r="C136" s="1">
        <f t="shared" ca="1" si="21"/>
        <v>44090</v>
      </c>
      <c r="D136">
        <f ca="1">100-_xll.BDH(I136,"PX_LAST",Future_Date,Future_Date)</f>
        <v>1.75</v>
      </c>
      <c r="E136" s="1">
        <f t="shared" ca="1" si="22"/>
        <v>46107</v>
      </c>
      <c r="F136">
        <f t="shared" ca="1" si="20"/>
        <v>1.8985000000000001</v>
      </c>
      <c r="H136" t="s">
        <v>205</v>
      </c>
      <c r="I136" t="s">
        <v>591</v>
      </c>
      <c r="J136" t="s">
        <v>703</v>
      </c>
      <c r="P136" s="46"/>
      <c r="R136" s="46">
        <f ca="1">_xll.BDH($J136,"Close",$C$2,$C$3,"BarType","T","Dir=V","cols=2;rows=1")</f>
        <v>43550.625</v>
      </c>
      <c r="S136">
        <v>1.8985000000000001</v>
      </c>
      <c r="T136">
        <f ca="1">_xll.BDH($J136,"LAST_PRICE",Swap_Date,Swap_Date)</f>
        <v>1.8996</v>
      </c>
    </row>
    <row r="137" spans="1:20" x14ac:dyDescent="0.25">
      <c r="C137" s="1">
        <f t="shared" ca="1" si="21"/>
        <v>44181</v>
      </c>
      <c r="D137">
        <f ca="1">100-_xll.BDH(I137,"PX_LAST",Future_Date,Future_Date)</f>
        <v>1.7450000000000045</v>
      </c>
      <c r="E137" s="1">
        <f t="shared" ca="1" si="22"/>
        <v>46472</v>
      </c>
      <c r="F137">
        <f t="shared" ca="1" si="20"/>
        <v>1.9390000000000001</v>
      </c>
      <c r="I137" t="s">
        <v>592</v>
      </c>
      <c r="J137" t="s">
        <v>704</v>
      </c>
      <c r="P137" s="46"/>
      <c r="R137" s="46">
        <f ca="1">_xll.BDH($J137,"Close",$C$2,$C$3,"BarType","T","Dir=V","cols=2;rows=1")</f>
        <v>43550.625</v>
      </c>
      <c r="S137">
        <v>1.9390000000000001</v>
      </c>
      <c r="T137">
        <f ca="1">_xll.BDH($J137,"LAST_PRICE",Swap_Date,Swap_Date)</f>
        <v>1.9455</v>
      </c>
    </row>
    <row r="138" spans="1:20" x14ac:dyDescent="0.25">
      <c r="C138" s="1">
        <f t="shared" ca="1" si="21"/>
        <v>44272</v>
      </c>
      <c r="D138">
        <f ca="1">100-_xll.BDH(I138,"PX_LAST",Future_Date,Future_Date)</f>
        <v>1.8050000000000068</v>
      </c>
      <c r="E138" s="1">
        <f t="shared" ca="1" si="22"/>
        <v>46838</v>
      </c>
      <c r="F138">
        <f t="shared" ca="1" si="20"/>
        <v>1.9804999999999999</v>
      </c>
      <c r="I138" t="s">
        <v>212</v>
      </c>
      <c r="J138" t="s">
        <v>705</v>
      </c>
      <c r="P138" s="46"/>
      <c r="R138" s="46">
        <f ca="1">_xll.BDH($J138,"Close",$C$2,$C$3,"BarType","T","Dir=V","cols=2;rows=1")</f>
        <v>43550.625</v>
      </c>
      <c r="S138">
        <v>1.9804999999999999</v>
      </c>
      <c r="T138">
        <f ca="1">_xll.BDH($J138,"LAST_PRICE",Swap_Date,Swap_Date)</f>
        <v>1.9795</v>
      </c>
    </row>
    <row r="139" spans="1:20" x14ac:dyDescent="0.25">
      <c r="E139" s="1">
        <f t="shared" ca="1" si="22"/>
        <v>47203</v>
      </c>
      <c r="F139">
        <f t="shared" ca="1" si="20"/>
        <v>2.0314000000000001</v>
      </c>
      <c r="J139" t="s">
        <v>706</v>
      </c>
      <c r="P139" s="46"/>
      <c r="R139" s="46">
        <f ca="1">_xll.BDH($J139,"Close",$C$2,$C$3,"BarType","T","Dir=V","cols=2;rows=1")</f>
        <v>43550.625</v>
      </c>
      <c r="S139">
        <v>2.0314000000000001</v>
      </c>
      <c r="T139">
        <f ca="1">_xll.BDH($J139,"LAST_PRICE",Swap_Date,Swap_Date)</f>
        <v>2.0230000000000001</v>
      </c>
    </row>
    <row r="140" spans="1:20" x14ac:dyDescent="0.25">
      <c r="E140" s="1">
        <f ca="1">EDATE(E139,24)</f>
        <v>47933</v>
      </c>
      <c r="F140">
        <f t="shared" ca="1" si="20"/>
        <v>2.1221000000000001</v>
      </c>
      <c r="J140" t="s">
        <v>707</v>
      </c>
      <c r="P140" s="46"/>
      <c r="R140" s="46">
        <f ca="1">_xll.BDH($J140,"Close",$C$2,$C$3,"BarType","T","Dir=V","cols=2;rows=1")</f>
        <v>43550.625</v>
      </c>
      <c r="S140">
        <v>2.1221000000000001</v>
      </c>
      <c r="T140">
        <f ca="1">_xll.BDH($J140,"LAST_PRICE",Swap_Date,Swap_Date)</f>
        <v>2.1113</v>
      </c>
    </row>
    <row r="141" spans="1:20" x14ac:dyDescent="0.25">
      <c r="E141" s="1">
        <f ca="1">EDATE(E140,36)</f>
        <v>49029</v>
      </c>
      <c r="F141">
        <f t="shared" ca="1" si="20"/>
        <v>2.214</v>
      </c>
      <c r="J141" t="s">
        <v>708</v>
      </c>
      <c r="P141" s="46"/>
      <c r="R141" s="46">
        <f ca="1">_xll.BDH($J141,"Close",$C$2,$C$3,"BarType","T","Dir=V","cols=2;rows=1")</f>
        <v>43550.625</v>
      </c>
      <c r="S141">
        <v>2.214</v>
      </c>
      <c r="T141">
        <f ca="1">_xll.BDH($J141,"LAST_PRICE",Swap_Date,Swap_Date)</f>
        <v>2.222</v>
      </c>
    </row>
    <row r="142" spans="1:20" x14ac:dyDescent="0.25">
      <c r="E142" s="1">
        <f ca="1">EDATE(E141,60)</f>
        <v>50855</v>
      </c>
      <c r="F142">
        <f t="shared" ca="1" si="20"/>
        <v>2.3136999999999999</v>
      </c>
      <c r="J142" t="s">
        <v>709</v>
      </c>
      <c r="P142" s="46"/>
      <c r="R142" s="46">
        <f ca="1">_xll.BDH($J142,"Close",$C$2,$C$3,"BarType","T","Dir=V","cols=2;rows=1")</f>
        <v>43550.625</v>
      </c>
      <c r="S142">
        <v>2.3136999999999999</v>
      </c>
      <c r="T142">
        <f ca="1">_xll.BDH($J142,"LAST_PRICE",Swap_Date,Swap_Date)</f>
        <v>2.3087</v>
      </c>
    </row>
    <row r="143" spans="1:20" x14ac:dyDescent="0.25">
      <c r="E143" s="1">
        <f ca="1">EDATE(E142,60)</f>
        <v>52682</v>
      </c>
      <c r="F143">
        <f t="shared" ca="1" si="20"/>
        <v>2.3083999999999998</v>
      </c>
      <c r="J143" t="s">
        <v>710</v>
      </c>
      <c r="P143" s="46"/>
      <c r="R143" s="46">
        <f ca="1">_xll.BDH($J143,"Close",$C$2,$C$3,"BarType","T","Dir=V","cols=2;rows=1")</f>
        <v>43550.625</v>
      </c>
      <c r="S143">
        <v>2.3083999999999998</v>
      </c>
      <c r="T143">
        <f ca="1">_xll.BDH($J143,"LAST_PRICE",Swap_Date,Swap_Date)</f>
        <v>2.3037999999999998</v>
      </c>
    </row>
    <row r="144" spans="1:20" x14ac:dyDescent="0.25">
      <c r="E144" s="1">
        <f ca="1">EDATE(E143,60)</f>
        <v>54508</v>
      </c>
      <c r="F144">
        <f t="shared" ca="1" si="20"/>
        <v>2.2905000000000002</v>
      </c>
      <c r="J144" t="s">
        <v>711</v>
      </c>
      <c r="P144" s="46"/>
      <c r="R144" s="46">
        <f ca="1">_xll.BDH($J144,"Close",$C$2,$C$3,"BarType","T","Dir=V","cols=2;rows=1")</f>
        <v>43550.625</v>
      </c>
      <c r="S144">
        <v>2.2905000000000002</v>
      </c>
      <c r="T144">
        <f ca="1">_xll.BDH($J144,"LAST_PRICE",Swap_Date,Swap_Date)</f>
        <v>2.2839</v>
      </c>
    </row>
    <row r="145" spans="1:21" x14ac:dyDescent="0.25">
      <c r="E145" s="1">
        <f ca="1">EDATE(E144,120)</f>
        <v>58160</v>
      </c>
      <c r="F145">
        <f t="shared" ca="1" si="20"/>
        <v>2.2648999999999999</v>
      </c>
      <c r="J145" t="s">
        <v>712</v>
      </c>
      <c r="P145" s="46"/>
      <c r="R145" s="46">
        <f ca="1">_xll.BDH($J145,"Close",$C$2,$C$3,"BarType","T","Dir=V","cols=2;rows=1")</f>
        <v>43550.625</v>
      </c>
      <c r="S145">
        <v>2.2648999999999999</v>
      </c>
      <c r="T145">
        <f ca="1">_xll.BDH($J145,"LAST_PRICE",Swap_Date,Swap_Date)</f>
        <v>2.2694999999999999</v>
      </c>
    </row>
    <row r="146" spans="1:21" x14ac:dyDescent="0.25">
      <c r="E146" s="1">
        <f ca="1">EDATE(E145,12)</f>
        <v>58526</v>
      </c>
      <c r="F146">
        <f ca="1">F145</f>
        <v>2.2648999999999999</v>
      </c>
    </row>
    <row r="154" spans="1:21" x14ac:dyDescent="0.25">
      <c r="A154" s="7" t="s">
        <v>230</v>
      </c>
      <c r="B154" s="8">
        <v>6</v>
      </c>
      <c r="C154" s="8"/>
      <c r="D154" s="8">
        <v>0</v>
      </c>
      <c r="E154" s="8"/>
      <c r="F154" s="8">
        <v>100</v>
      </c>
      <c r="H154" t="s">
        <v>368</v>
      </c>
      <c r="K154" t="s">
        <v>369</v>
      </c>
      <c r="L154">
        <f ca="1">F165-F160</f>
        <v>0.66129999999999889</v>
      </c>
    </row>
    <row r="155" spans="1:21" x14ac:dyDescent="0.25">
      <c r="A155" t="s">
        <v>29</v>
      </c>
      <c r="B155" t="s">
        <v>30</v>
      </c>
      <c r="C155" t="s">
        <v>31</v>
      </c>
      <c r="D155" t="s">
        <v>32</v>
      </c>
      <c r="E155" t="s">
        <v>33</v>
      </c>
      <c r="F155" t="s">
        <v>34</v>
      </c>
    </row>
    <row r="156" spans="1:21" x14ac:dyDescent="0.25">
      <c r="A156" s="1">
        <f ca="1">WORKDAY(Swap_Date,1)</f>
        <v>43551</v>
      </c>
      <c r="B156">
        <f ca="1">B157</f>
        <v>6.4055</v>
      </c>
      <c r="C156" s="1">
        <f ca="1">nextimm(Swap_Date)</f>
        <v>43635</v>
      </c>
      <c r="D156" t="s">
        <v>246</v>
      </c>
      <c r="E156" s="1">
        <f ca="1">EDATE(Swap_Date,12)</f>
        <v>43916</v>
      </c>
      <c r="F156">
        <f t="shared" ref="F156:F172" ca="1" si="23">IF(ISNUMBER(S156),S156,T156)</f>
        <v>6.5243000000000002</v>
      </c>
      <c r="J156" t="s">
        <v>713</v>
      </c>
      <c r="L156" s="18"/>
      <c r="N156">
        <v>5.7073999999999998</v>
      </c>
      <c r="O156">
        <f ca="1">F156-N156</f>
        <v>0.8169000000000004</v>
      </c>
      <c r="P156" s="46"/>
      <c r="R156" s="46" t="str">
        <f ca="1">_xll.BDH($J156,"Close",$E$2,$E$3,"BarType","T","Dir=V")</f>
        <v>#N/A N/A</v>
      </c>
      <c r="T156">
        <f ca="1">IF(ISNUMBER(_xll.BDH($J156,"LAST_PRICE",Swap_Date,Swap_Date)),_xll.BDH($J156,"LAST_PRICE",Swap_Date,Swap_Date),U156)</f>
        <v>6.5243000000000002</v>
      </c>
      <c r="U156">
        <f ca="1">_xll.BDP(J156,"PX_LAST")</f>
        <v>6.6448</v>
      </c>
    </row>
    <row r="157" spans="1:21" x14ac:dyDescent="0.25">
      <c r="A157" s="1">
        <f ca="1">EDATE(Swap_Date,1)</f>
        <v>43581</v>
      </c>
      <c r="B157">
        <f ca="1">IF(ISNUMBER(_xll.BDH(H157,"PX_LAST",Cash_Date,Cash_Date)),_xll.BDH(H157,"PX_LAST",Cash_Date,Cash_Date),P157)</f>
        <v>6.4055</v>
      </c>
      <c r="C157" s="1">
        <f ca="1">nextimm(C156+1)</f>
        <v>43726</v>
      </c>
      <c r="D157" t="s">
        <v>246</v>
      </c>
      <c r="E157" s="1">
        <f ca="1">EDATE(E156,12)</f>
        <v>44281</v>
      </c>
      <c r="F157">
        <f t="shared" ca="1" si="23"/>
        <v>7.2778</v>
      </c>
      <c r="G157">
        <f t="shared" ref="G157:G164" ca="1" si="24">100*(F157-F156)</f>
        <v>75.34999999999998</v>
      </c>
      <c r="H157" t="s">
        <v>231</v>
      </c>
      <c r="J157" t="s">
        <v>714</v>
      </c>
      <c r="N157">
        <v>6.5526</v>
      </c>
      <c r="O157">
        <f t="shared" ref="O157:O164" ca="1" si="25">F157-N157</f>
        <v>0.72520000000000007</v>
      </c>
      <c r="P157" s="50">
        <f ca="1">_xll.BDP(H157,"PX_LAST")</f>
        <v>6.4137000000000004</v>
      </c>
      <c r="R157" s="46" t="str">
        <f ca="1">_xll.BDH($J157,"Close",$E$2,$E$3,"BarType","T","Dir=V")</f>
        <v>#N/A N/A</v>
      </c>
      <c r="T157">
        <f ca="1">IF(ISNUMBER(_xll.BDH($J157,"LAST_PRICE",Swap_Date,Swap_Date)),_xll.BDH($J157,"LAST_PRICE",Swap_Date,Swap_Date),U157)</f>
        <v>7.2778</v>
      </c>
      <c r="U157">
        <f ca="1">_xll.BDP(J157,"PX_LAST")</f>
        <v>7.4702000000000002</v>
      </c>
    </row>
    <row r="158" spans="1:21" x14ac:dyDescent="0.25">
      <c r="A158" s="1">
        <f ca="1">EDATE(A157,1)</f>
        <v>43611</v>
      </c>
      <c r="B158">
        <f ca="1">IF(ISNUMBER(_xll.BDH(H158,"PX_LAST",Cash_Date,Cash_Date)),_xll.BDH(H158,"PX_LAST",Cash_Date,Cash_Date),0.5*(B157+B159))</f>
        <v>6.4172500000000001</v>
      </c>
      <c r="C158" s="1">
        <f t="shared" ref="C158:C163" ca="1" si="26">nextimm(C157+1)</f>
        <v>43817</v>
      </c>
      <c r="D158" t="s">
        <v>246</v>
      </c>
      <c r="E158" s="1">
        <f ca="1">EDATE(E157,12)</f>
        <v>44646</v>
      </c>
      <c r="F158">
        <f t="shared" ca="1" si="23"/>
        <v>7.8906999999999998</v>
      </c>
      <c r="G158">
        <f t="shared" ca="1" si="24"/>
        <v>61.289999999999978</v>
      </c>
      <c r="H158" t="s">
        <v>232</v>
      </c>
      <c r="J158" t="s">
        <v>715</v>
      </c>
      <c r="N158">
        <v>7.1788999999999996</v>
      </c>
      <c r="O158">
        <f t="shared" ca="1" si="25"/>
        <v>0.71180000000000021</v>
      </c>
      <c r="P158" s="50"/>
      <c r="R158" s="46" t="str">
        <f ca="1">_xll.BDH($J158,"Close",$E$2,$E$3,"BarType","T","Dir=V")</f>
        <v>#N/A N/A</v>
      </c>
      <c r="T158">
        <f ca="1">IF(ISNUMBER(_xll.BDH($J158,"LAST_PRICE",Swap_Date,Swap_Date)),_xll.BDH($J158,"LAST_PRICE",Swap_Date,Swap_Date),U158)</f>
        <v>7.8906999999999998</v>
      </c>
      <c r="U158">
        <f ca="1">_xll.BDP(J158,"PX_LAST")</f>
        <v>8.1107999999999993</v>
      </c>
    </row>
    <row r="159" spans="1:21" x14ac:dyDescent="0.25">
      <c r="A159" s="1">
        <f ca="1">EDATE(A158,1)</f>
        <v>43642</v>
      </c>
      <c r="B159">
        <f ca="1">IF(ISNUMBER(_xll.BDH(H159,"PX_LAST",Cash_Date,Cash_Date)),_xll.BDH(H159,"PX_LAST",Cash_Date,Cash_Date),P159)</f>
        <v>6.4290000000000003</v>
      </c>
      <c r="C159" s="1">
        <f t="shared" ca="1" si="26"/>
        <v>43908</v>
      </c>
      <c r="D159" t="s">
        <v>246</v>
      </c>
      <c r="E159" s="1">
        <f t="shared" ref="E159:E165" ca="1" si="27">EDATE(E158,12)</f>
        <v>45011</v>
      </c>
      <c r="F159">
        <f t="shared" ca="1" si="23"/>
        <v>8.3231999999999999</v>
      </c>
      <c r="G159">
        <f t="shared" ca="1" si="24"/>
        <v>43.250000000000014</v>
      </c>
      <c r="H159" t="s">
        <v>233</v>
      </c>
      <c r="J159" t="s">
        <v>716</v>
      </c>
      <c r="N159">
        <v>7.5522999999999998</v>
      </c>
      <c r="O159">
        <f t="shared" ca="1" si="25"/>
        <v>0.77090000000000014</v>
      </c>
      <c r="P159" s="50">
        <f ca="1">_xll.BDP(H159,"PX_LAST")</f>
        <v>6.4390000000000001</v>
      </c>
      <c r="R159" s="46" t="str">
        <f ca="1">_xll.BDH($J159,"Close",$E$2,$E$3,"BarType","T","Dir=V")</f>
        <v>#N/A N/A</v>
      </c>
      <c r="T159">
        <f ca="1">IF(ISNUMBER(_xll.BDH($J159,"LAST_PRICE",Swap_Date,Swap_Date)),_xll.BDH($J159,"LAST_PRICE",Swap_Date,Swap_Date),U159)</f>
        <v>8.3231999999999999</v>
      </c>
      <c r="U159">
        <f ca="1">_xll.BDP(J159,"PX_LAST")</f>
        <v>8.5625</v>
      </c>
    </row>
    <row r="160" spans="1:21" x14ac:dyDescent="0.25">
      <c r="A160" s="1">
        <f ca="1">EDATE(A159,3)</f>
        <v>43734</v>
      </c>
      <c r="B160">
        <f ca="1">IF(ISNUMBER(_xll.BDH(H160,"PX_LAST",Cash_Date,Cash_Date)),_xll.BDH(H160,"PX_LAST",Cash_Date,Cash_Date),P160)</f>
        <v>6.4339000000000004</v>
      </c>
      <c r="C160" s="1">
        <f t="shared" ca="1" si="26"/>
        <v>43999</v>
      </c>
      <c r="D160" t="s">
        <v>246</v>
      </c>
      <c r="E160" s="1">
        <f t="shared" ca="1" si="27"/>
        <v>45377</v>
      </c>
      <c r="F160">
        <f t="shared" ca="1" si="23"/>
        <v>8.6599000000000004</v>
      </c>
      <c r="G160">
        <f t="shared" ca="1" si="24"/>
        <v>33.670000000000044</v>
      </c>
      <c r="H160" t="s">
        <v>234</v>
      </c>
      <c r="J160" t="s">
        <v>717</v>
      </c>
      <c r="N160">
        <v>7.8151999999999999</v>
      </c>
      <c r="O160">
        <f t="shared" ca="1" si="25"/>
        <v>0.84470000000000045</v>
      </c>
      <c r="P160" s="50">
        <f ca="1">_xll.BDP(H160,"PX_LAST")</f>
        <v>6.4877000000000002</v>
      </c>
      <c r="R160" s="46" t="str">
        <f ca="1">_xll.BDH($J160,"Close",$E$2,$E$3,"BarType","T","Dir=V")</f>
        <v>#N/A N/A</v>
      </c>
      <c r="T160">
        <f ca="1">IF(ISNUMBER(_xll.BDH($J160,"LAST_PRICE",Swap_Date,Swap_Date)),_xll.BDH($J160,"LAST_PRICE",Swap_Date,Swap_Date),U160)</f>
        <v>8.6599000000000004</v>
      </c>
      <c r="U160">
        <f ca="1">_xll.BDP(J160,"PX_LAST")</f>
        <v>8.8916000000000004</v>
      </c>
    </row>
    <row r="161" spans="1:21" x14ac:dyDescent="0.25">
      <c r="A161" s="1">
        <f ca="1">EDATE(A160,3)</f>
        <v>43825</v>
      </c>
      <c r="B161">
        <f ca="1">IF(ISNUMBER(_xll.BDH(H161,"PX_LAST",Cash_Date,Cash_Date)),_xll.BDH(H161,"PX_LAST",Cash_Date,Cash_Date),P161)</f>
        <v>6.4607000000000001</v>
      </c>
      <c r="C161" s="1">
        <f t="shared" ca="1" si="26"/>
        <v>44090</v>
      </c>
      <c r="D161" t="s">
        <v>246</v>
      </c>
      <c r="E161" s="1">
        <f t="shared" ca="1" si="27"/>
        <v>45742</v>
      </c>
      <c r="F161">
        <f t="shared" ca="1" si="23"/>
        <v>8.8674999999999997</v>
      </c>
      <c r="G161">
        <f t="shared" ca="1" si="24"/>
        <v>20.759999999999934</v>
      </c>
      <c r="H161" t="s">
        <v>235</v>
      </c>
      <c r="J161" t="s">
        <v>718</v>
      </c>
      <c r="N161">
        <v>8.0724999999999998</v>
      </c>
      <c r="O161">
        <f t="shared" ca="1" si="25"/>
        <v>0.79499999999999993</v>
      </c>
      <c r="P161" s="50">
        <f ca="1">_xll.BDP(H161,"PX_LAST")</f>
        <v>6.5598999999999998</v>
      </c>
      <c r="R161" s="46" t="str">
        <f ca="1">_xll.BDH($J161,"Close",$E$2,$E$3,"BarType","T","Dir=V")</f>
        <v>#N/A N/A</v>
      </c>
      <c r="T161">
        <f ca="1">IF(ISNUMBER(_xll.BDH($J161,"LAST_PRICE",Swap_Date,Swap_Date)),_xll.BDH($J161,"LAST_PRICE",Swap_Date,Swap_Date),U161)</f>
        <v>8.8674999999999997</v>
      </c>
      <c r="U161">
        <f ca="1">_xll.BDP(J161,"PX_LAST")</f>
        <v>9.0885999999999996</v>
      </c>
    </row>
    <row r="162" spans="1:21" x14ac:dyDescent="0.25">
      <c r="C162" s="1">
        <f t="shared" ca="1" si="26"/>
        <v>44181</v>
      </c>
      <c r="D162" t="s">
        <v>246</v>
      </c>
      <c r="E162" s="1">
        <f t="shared" ca="1" si="27"/>
        <v>46107</v>
      </c>
      <c r="F162">
        <f t="shared" ca="1" si="23"/>
        <v>9.0249000000000006</v>
      </c>
      <c r="G162">
        <f t="shared" ca="1" si="24"/>
        <v>15.740000000000087</v>
      </c>
      <c r="J162" t="s">
        <v>719</v>
      </c>
      <c r="N162">
        <v>8.2072000000000003</v>
      </c>
      <c r="O162">
        <f t="shared" ca="1" si="25"/>
        <v>0.81770000000000032</v>
      </c>
      <c r="P162" s="50"/>
      <c r="R162" s="46" t="str">
        <f ca="1">_xll.BDH($J162,"Close",$E$2,$E$3,"BarType","T","Dir=V")</f>
        <v>#N/A N/A</v>
      </c>
      <c r="T162">
        <f ca="1">IF(ISNUMBER(_xll.BDH($J162,"LAST_PRICE",Swap_Date,Swap_Date)),_xll.BDH($J162,"LAST_PRICE",Swap_Date,Swap_Date),U162)</f>
        <v>9.0249000000000006</v>
      </c>
      <c r="U162">
        <f ca="1">_xll.BDP(J162,"PX_LAST")</f>
        <v>9.2514000000000003</v>
      </c>
    </row>
    <row r="163" spans="1:21" x14ac:dyDescent="0.25">
      <c r="C163" s="1">
        <f t="shared" ca="1" si="26"/>
        <v>44272</v>
      </c>
      <c r="D163" t="s">
        <v>246</v>
      </c>
      <c r="E163" s="1">
        <f t="shared" ca="1" si="27"/>
        <v>46472</v>
      </c>
      <c r="F163">
        <f t="shared" ca="1" si="23"/>
        <v>9.1714000000000002</v>
      </c>
      <c r="G163">
        <f t="shared" ca="1" si="24"/>
        <v>14.649999999999963</v>
      </c>
      <c r="J163" t="s">
        <v>720</v>
      </c>
      <c r="N163">
        <v>8.3289000000000009</v>
      </c>
      <c r="O163">
        <f t="shared" ca="1" si="25"/>
        <v>0.84249999999999936</v>
      </c>
      <c r="P163" s="46"/>
      <c r="R163" s="46" t="str">
        <f ca="1">_xll.BDH($J163,"Close",$E$2,$E$3,"BarType","T","Dir=V")</f>
        <v>#N/A N/A</v>
      </c>
      <c r="T163">
        <f ca="1">IF(ISNUMBER(_xll.BDH($J163,"LAST_PRICE",Swap_Date,Swap_Date)),_xll.BDH($J163,"LAST_PRICE",Swap_Date,Swap_Date),U163)</f>
        <v>9.1714000000000002</v>
      </c>
      <c r="U163">
        <f ca="1">_xll.BDP(J163,"PX_LAST")</f>
        <v>9.3999000000000006</v>
      </c>
    </row>
    <row r="164" spans="1:21" x14ac:dyDescent="0.25">
      <c r="E164" s="1">
        <f t="shared" ca="1" si="27"/>
        <v>46838</v>
      </c>
      <c r="F164">
        <f t="shared" ca="1" si="23"/>
        <v>9.2710000000000008</v>
      </c>
      <c r="G164">
        <f t="shared" ca="1" si="24"/>
        <v>9.9600000000000577</v>
      </c>
      <c r="J164" t="s">
        <v>721</v>
      </c>
      <c r="N164">
        <v>8.3926999999999996</v>
      </c>
      <c r="O164">
        <f t="shared" ca="1" si="25"/>
        <v>0.87830000000000119</v>
      </c>
      <c r="P164" s="46"/>
      <c r="R164" s="46" t="str">
        <f ca="1">_xll.BDH($J164,"Close",$E$2,$E$3,"BarType","T","Dir=V")</f>
        <v>#N/A N/A</v>
      </c>
      <c r="T164">
        <f ca="1">IF(ISNUMBER(_xll.BDH($J164,"LAST_PRICE",Swap_Date,Swap_Date)),_xll.BDH($J164,"LAST_PRICE",Swap_Date,Swap_Date),U164)</f>
        <v>9.2710000000000008</v>
      </c>
      <c r="U164">
        <f ca="1">_xll.BDP(J164,"PX_LAST")</f>
        <v>9.4880999999999993</v>
      </c>
    </row>
    <row r="165" spans="1:21" x14ac:dyDescent="0.25">
      <c r="E165" s="1">
        <f t="shared" ca="1" si="27"/>
        <v>47203</v>
      </c>
      <c r="F165">
        <f t="shared" ca="1" si="23"/>
        <v>9.3211999999999993</v>
      </c>
      <c r="G165">
        <f ca="1">100*(F165-F164)</f>
        <v>5.0199999999998468</v>
      </c>
      <c r="J165" t="s">
        <v>722</v>
      </c>
      <c r="O165">
        <f ca="1">O164</f>
        <v>0.87830000000000119</v>
      </c>
      <c r="P165" s="46"/>
      <c r="R165" s="46" t="str">
        <f ca="1">_xll.BDH($J165,"Close",$E$2,$E$3,"BarType","T","Dir=V")</f>
        <v>#N/A N/A</v>
      </c>
      <c r="T165">
        <f ca="1">IF(ISNUMBER(_xll.BDH($J165,"LAST_PRICE",Swap_Date,Swap_Date)),_xll.BDH($J165,"LAST_PRICE",Swap_Date,Swap_Date),U165)</f>
        <v>9.3211999999999993</v>
      </c>
      <c r="U165">
        <f ca="1">_xll.BDP(J165,"PX_LAST")</f>
        <v>9.5311000000000003</v>
      </c>
    </row>
    <row r="166" spans="1:21" x14ac:dyDescent="0.25">
      <c r="E166" s="1">
        <f ca="1">EDATE(E165,24)</f>
        <v>47933</v>
      </c>
      <c r="F166">
        <f t="shared" ca="1" si="23"/>
        <v>9.3211999999999993</v>
      </c>
      <c r="J166" t="s">
        <v>722</v>
      </c>
      <c r="O166">
        <f t="shared" ref="O166:O172" ca="1" si="28">O165</f>
        <v>0.87830000000000119</v>
      </c>
      <c r="P166" s="46"/>
      <c r="R166" s="46" t="str">
        <f ca="1">_xll.BDH($J166,"Close",$E$2,$E$3,"BarType","T","Dir=V")</f>
        <v>#N/A N/A</v>
      </c>
      <c r="T166">
        <f ca="1">IF(ISNUMBER(_xll.BDH($J166,"LAST_PRICE",Swap_Date,Swap_Date)),_xll.BDH($J166,"LAST_PRICE",Swap_Date,Swap_Date),U166)</f>
        <v>9.3211999999999993</v>
      </c>
      <c r="U166">
        <f ca="1">_xll.BDP(J166,"PX_LAST")</f>
        <v>9.5311000000000003</v>
      </c>
    </row>
    <row r="167" spans="1:21" x14ac:dyDescent="0.25">
      <c r="E167" s="1">
        <f ca="1">EDATE(E166,36)</f>
        <v>49029</v>
      </c>
      <c r="F167">
        <f t="shared" ca="1" si="23"/>
        <v>9.3211999999999993</v>
      </c>
      <c r="J167" t="s">
        <v>722</v>
      </c>
      <c r="O167">
        <f t="shared" ca="1" si="28"/>
        <v>0.87830000000000119</v>
      </c>
      <c r="P167" s="46"/>
      <c r="R167" s="46" t="str">
        <f ca="1">_xll.BDH($J167,"Close",$E$2,$E$3,"BarType","T","Dir=V")</f>
        <v>#N/A N/A</v>
      </c>
      <c r="T167">
        <f ca="1">IF(ISNUMBER(_xll.BDH($J167,"LAST_PRICE",Swap_Date,Swap_Date)),_xll.BDH($J167,"LAST_PRICE",Swap_Date,Swap_Date),U167)</f>
        <v>9.3211999999999993</v>
      </c>
      <c r="U167">
        <f ca="1">_xll.BDP(J167,"PX_LAST")</f>
        <v>9.5311000000000003</v>
      </c>
    </row>
    <row r="168" spans="1:21" x14ac:dyDescent="0.25">
      <c r="E168" s="1">
        <f ca="1">EDATE(E167,60)</f>
        <v>50855</v>
      </c>
      <c r="F168">
        <f t="shared" ca="1" si="23"/>
        <v>9.3211999999999993</v>
      </c>
      <c r="J168" t="s">
        <v>722</v>
      </c>
      <c r="O168">
        <f t="shared" ca="1" si="28"/>
        <v>0.87830000000000119</v>
      </c>
      <c r="P168" s="46"/>
      <c r="R168" s="46" t="str">
        <f ca="1">_xll.BDH($J168,"Close",$E$2,$E$3,"BarType","T","Dir=V")</f>
        <v>#N/A N/A</v>
      </c>
      <c r="T168">
        <f ca="1">IF(ISNUMBER(_xll.BDH($J168,"LAST_PRICE",Swap_Date,Swap_Date)),_xll.BDH($J168,"LAST_PRICE",Swap_Date,Swap_Date),U168)</f>
        <v>9.3211999999999993</v>
      </c>
      <c r="U168">
        <f ca="1">_xll.BDP(J168,"PX_LAST")</f>
        <v>9.5311000000000003</v>
      </c>
    </row>
    <row r="169" spans="1:21" x14ac:dyDescent="0.25">
      <c r="E169" s="1">
        <f ca="1">EDATE(E168,60)</f>
        <v>52682</v>
      </c>
      <c r="F169">
        <f t="shared" ca="1" si="23"/>
        <v>9.3211999999999993</v>
      </c>
      <c r="J169" t="s">
        <v>722</v>
      </c>
      <c r="O169">
        <f t="shared" ca="1" si="28"/>
        <v>0.87830000000000119</v>
      </c>
      <c r="P169" s="46"/>
      <c r="R169" s="46" t="str">
        <f ca="1">_xll.BDH($J169,"Close",$E$2,$E$3,"BarType","T","Dir=V")</f>
        <v>#N/A N/A</v>
      </c>
      <c r="T169">
        <f ca="1">IF(ISNUMBER(_xll.BDH($J169,"LAST_PRICE",Swap_Date,Swap_Date)),_xll.BDH($J169,"LAST_PRICE",Swap_Date,Swap_Date),U169)</f>
        <v>9.3211999999999993</v>
      </c>
      <c r="U169">
        <f ca="1">_xll.BDP(J169,"PX_LAST")</f>
        <v>9.5311000000000003</v>
      </c>
    </row>
    <row r="170" spans="1:21" x14ac:dyDescent="0.25">
      <c r="E170" s="1">
        <f ca="1">EDATE(E169,60)</f>
        <v>54508</v>
      </c>
      <c r="F170">
        <f t="shared" ca="1" si="23"/>
        <v>9.3211999999999993</v>
      </c>
      <c r="J170" t="s">
        <v>722</v>
      </c>
      <c r="O170">
        <f t="shared" ca="1" si="28"/>
        <v>0.87830000000000119</v>
      </c>
      <c r="P170" s="46"/>
      <c r="R170" s="46" t="str">
        <f ca="1">_xll.BDH($J170,"Close",$E$2,$E$3,"BarType","T","Dir=V")</f>
        <v>#N/A N/A</v>
      </c>
      <c r="T170">
        <f ca="1">IF(ISNUMBER(_xll.BDH($J170,"LAST_PRICE",Swap_Date,Swap_Date)),_xll.BDH($J170,"LAST_PRICE",Swap_Date,Swap_Date),U170)</f>
        <v>9.3211999999999993</v>
      </c>
      <c r="U170">
        <f ca="1">_xll.BDP(J170,"PX_LAST")</f>
        <v>9.5311000000000003</v>
      </c>
    </row>
    <row r="171" spans="1:21" x14ac:dyDescent="0.25">
      <c r="E171" s="1">
        <f ca="1">EDATE(E170,120)</f>
        <v>58160</v>
      </c>
      <c r="F171">
        <f t="shared" ca="1" si="23"/>
        <v>9.3211999999999993</v>
      </c>
      <c r="J171" t="s">
        <v>722</v>
      </c>
      <c r="O171">
        <f t="shared" ca="1" si="28"/>
        <v>0.87830000000000119</v>
      </c>
      <c r="P171" s="46"/>
      <c r="R171" s="46" t="str">
        <f ca="1">_xll.BDH($J171,"Close",$E$2,$E$3,"BarType","T","Dir=V")</f>
        <v>#N/A N/A</v>
      </c>
      <c r="T171">
        <f ca="1">IF(ISNUMBER(_xll.BDH($J171,"LAST_PRICE",Swap_Date,Swap_Date)),_xll.BDH($J171,"LAST_PRICE",Swap_Date,Swap_Date),U171)</f>
        <v>9.3211999999999993</v>
      </c>
      <c r="U171">
        <f ca="1">_xll.BDP(J171,"PX_LAST")</f>
        <v>9.5311000000000003</v>
      </c>
    </row>
    <row r="172" spans="1:21" x14ac:dyDescent="0.25">
      <c r="E172" s="1">
        <f ca="1">EDATE(E171,12)</f>
        <v>58526</v>
      </c>
      <c r="F172">
        <f t="shared" ca="1" si="23"/>
        <v>9.3211999999999993</v>
      </c>
      <c r="J172" t="s">
        <v>722</v>
      </c>
      <c r="O172">
        <f t="shared" ca="1" si="28"/>
        <v>0.87830000000000119</v>
      </c>
      <c r="P172" s="46"/>
      <c r="R172" s="46" t="str">
        <f ca="1">_xll.BDH($J172,"Close",$E$2,$E$3,"BarType","T","Dir=V")</f>
        <v>#N/A N/A</v>
      </c>
      <c r="T172">
        <f ca="1">IF(ISNUMBER(_xll.BDH($J172,"LAST_PRICE",Swap_Date,Swap_Date)),_xll.BDH($J172,"LAST_PRICE",Swap_Date,Swap_Date),U172)</f>
        <v>9.3211999999999993</v>
      </c>
      <c r="U172">
        <f ca="1">_xll.BDP(J172,"PX_LAST")</f>
        <v>9.5311000000000003</v>
      </c>
    </row>
    <row r="179" spans="1:20" x14ac:dyDescent="0.25">
      <c r="A179" t="s">
        <v>510</v>
      </c>
      <c r="B179">
        <v>6</v>
      </c>
      <c r="D179">
        <v>0</v>
      </c>
      <c r="F179">
        <v>100</v>
      </c>
    </row>
    <row r="180" spans="1:20" x14ac:dyDescent="0.25">
      <c r="A180" t="s">
        <v>29</v>
      </c>
      <c r="B180" t="s">
        <v>30</v>
      </c>
      <c r="C180" t="s">
        <v>31</v>
      </c>
      <c r="D180" t="s">
        <v>32</v>
      </c>
      <c r="E180" t="s">
        <v>33</v>
      </c>
      <c r="F180" t="s">
        <v>34</v>
      </c>
    </row>
    <row r="181" spans="1:20" x14ac:dyDescent="0.25">
      <c r="A181" s="1">
        <f ca="1">WORKDAY(Swap_Date,1)</f>
        <v>43551</v>
      </c>
      <c r="B181">
        <f ca="1">IF(ISNUMBER(_xll.BDH(H181,"PX_LAST",Cash_Date,Cash_Date)),_xll.BDH(H181,"PX_LAST",Cash_Date,Cash_Date),B186)</f>
        <v>4.28</v>
      </c>
      <c r="C181" s="1">
        <f ca="1">nextimm(Swap_Date)</f>
        <v>43635</v>
      </c>
      <c r="D181" t="s">
        <v>246</v>
      </c>
      <c r="E181" s="1">
        <f ca="1">EDATE(Swap_Date,24)</f>
        <v>44281</v>
      </c>
      <c r="F181">
        <f ca="1">IF(ISNUMBER(S181),S181,F184)</f>
        <v>5.0999999999999996</v>
      </c>
      <c r="H181" t="s">
        <v>511</v>
      </c>
      <c r="J181" t="s">
        <v>723</v>
      </c>
      <c r="P181" s="46"/>
      <c r="R181" s="46" t="str">
        <f ca="1">_xll.BDH($J181,"Close",$C$2,$C$3,"BarType","T","Dir=V")</f>
        <v>#N/A N/A</v>
      </c>
      <c r="T181">
        <f ca="1">_xll.BDH($J181,"LAST_PRICE",Swap_Date,Swap_Date)</f>
        <v>4.45</v>
      </c>
    </row>
    <row r="182" spans="1:20" x14ac:dyDescent="0.25">
      <c r="A182" s="1">
        <f ca="1">EDATE(Swap_Date,1)</f>
        <v>43581</v>
      </c>
      <c r="B182">
        <f ca="1">IF(ISNUMBER(_xll.BDH(H182,"PX_LAST",Cash_Date,Cash_Date)),_xll.BDH(H182,"PX_LAST",Cash_Date,Cash_Date),B181)</f>
        <v>4.1100000000000003</v>
      </c>
      <c r="C182" s="1">
        <f ca="1">nextimm(C181+1)</f>
        <v>43726</v>
      </c>
      <c r="D182" t="s">
        <v>246</v>
      </c>
      <c r="E182" s="1">
        <f ca="1">EDATE(E181,12)</f>
        <v>44646</v>
      </c>
      <c r="F182">
        <f ca="1">IF(ISNUMBER(S182),S182,F184)</f>
        <v>5.0999999999999996</v>
      </c>
      <c r="H182" t="s">
        <v>531</v>
      </c>
      <c r="J182" t="s">
        <v>724</v>
      </c>
      <c r="P182" s="46"/>
      <c r="R182" s="46" t="str">
        <f ca="1">_xll.BDH($J182,"Close",$C$2,$C$3,"BarType","T","Dir=V")</f>
        <v>#N/A N/A</v>
      </c>
      <c r="T182">
        <f ca="1">_xll.BDH($J182,"LAST_PRICE",Swap_Date,Swap_Date)</f>
        <v>4.6899999999999995</v>
      </c>
    </row>
    <row r="183" spans="1:20" x14ac:dyDescent="0.25">
      <c r="A183" s="1">
        <f ca="1">EDATE(Swap_Date,2)</f>
        <v>43611</v>
      </c>
      <c r="B183">
        <f ca="1">0.5*(B182+B184)</f>
        <v>4.12</v>
      </c>
      <c r="C183" s="1">
        <f t="shared" ref="C183:C188" ca="1" si="29">nextimm(C182+1)</f>
        <v>43817</v>
      </c>
      <c r="D183" t="s">
        <v>246</v>
      </c>
      <c r="E183" s="1">
        <f t="shared" ref="E183:E196" ca="1" si="30">EDATE(E182,12)</f>
        <v>45011</v>
      </c>
      <c r="F183">
        <f ca="1">IF(ISNUMBER(S183),S183,F184)</f>
        <v>5.0999999999999996</v>
      </c>
      <c r="J183" t="s">
        <v>725</v>
      </c>
      <c r="P183" s="46"/>
      <c r="R183" s="46" t="str">
        <f ca="1">_xll.BDH($J183,"Close",$C$2,$C$3,"BarType","T","Dir=V")</f>
        <v>#N/A N/A</v>
      </c>
      <c r="T183">
        <f ca="1">_xll.BDH($J183,"LAST_PRICE",Swap_Date,Swap_Date)</f>
        <v>4.8949999999999996</v>
      </c>
    </row>
    <row r="184" spans="1:20" x14ac:dyDescent="0.25">
      <c r="A184" s="1">
        <f ca="1">EDATE(Swap_Date,3)</f>
        <v>43642</v>
      </c>
      <c r="B184">
        <f ca="1">IF(ISNUMBER(_xll.BDH(H184,"PX_LAST",Cash_Date,Cash_Date)),_xll.BDH(H184,"PX_LAST",Cash_Date,Cash_Date),B181)</f>
        <v>4.13</v>
      </c>
      <c r="C184" s="1">
        <f t="shared" ca="1" si="29"/>
        <v>43908</v>
      </c>
      <c r="D184" t="s">
        <v>246</v>
      </c>
      <c r="E184" s="1">
        <f t="shared" ca="1" si="30"/>
        <v>45377</v>
      </c>
      <c r="F184">
        <f t="shared" ref="F184:F197" ca="1" si="31">IF(ISNUMBER(S184),S184,T184)</f>
        <v>5.0999999999999996</v>
      </c>
      <c r="H184" t="s">
        <v>532</v>
      </c>
      <c r="J184" t="s">
        <v>726</v>
      </c>
      <c r="P184" s="46"/>
      <c r="R184" s="46" t="str">
        <f ca="1">_xll.BDH($J184,"Close",$C$2,$C$3,"BarType","T","Dir=V")</f>
        <v>#N/A N/A</v>
      </c>
      <c r="T184">
        <f ca="1">_xll.BDH($J184,"LAST_PRICE",Swap_Date,Swap_Date)</f>
        <v>5.0999999999999996</v>
      </c>
    </row>
    <row r="185" spans="1:20" x14ac:dyDescent="0.25">
      <c r="A185" s="1">
        <f ca="1">EDATE(Swap_Date,6)</f>
        <v>43734</v>
      </c>
      <c r="B185">
        <f ca="1">IF(ISNUMBER(_xll.BDH(H185,"PX_LAST",Cash_Date,Cash_Date)),_xll.BDH(H185,"PX_LAST",Cash_Date,Cash_Date),B181)</f>
        <v>4.22</v>
      </c>
      <c r="C185" s="1">
        <f t="shared" ca="1" si="29"/>
        <v>43999</v>
      </c>
      <c r="D185" t="s">
        <v>246</v>
      </c>
      <c r="E185" s="1">
        <f t="shared" ca="1" si="30"/>
        <v>45742</v>
      </c>
      <c r="F185">
        <f ca="1">IF(ISNUMBER(S185),S185,F186)</f>
        <v>5.4050000000000002</v>
      </c>
      <c r="H185" t="s">
        <v>533</v>
      </c>
      <c r="J185" t="s">
        <v>727</v>
      </c>
      <c r="P185" s="46"/>
      <c r="R185" s="46" t="str">
        <f ca="1">_xll.BDH($J185,"Close",$C$2,$C$3,"BarType","T","Dir=V")</f>
        <v>#N/A N/A</v>
      </c>
      <c r="T185">
        <f ca="1">_xll.BDH($J185,"LAST_PRICE",Swap_Date,Swap_Date)</f>
        <v>5.25</v>
      </c>
    </row>
    <row r="186" spans="1:20" x14ac:dyDescent="0.25">
      <c r="A186" s="1">
        <f ca="1">EDATE(Swap_Date,12)</f>
        <v>43916</v>
      </c>
      <c r="B186">
        <f ca="1">_xll.BDH(H186,"PX_LAST",Cash_Date,Cash_Date)</f>
        <v>4.28</v>
      </c>
      <c r="C186" s="1">
        <f t="shared" ca="1" si="29"/>
        <v>44090</v>
      </c>
      <c r="D186" t="s">
        <v>246</v>
      </c>
      <c r="E186" s="1">
        <f t="shared" ca="1" si="30"/>
        <v>46107</v>
      </c>
      <c r="F186">
        <f t="shared" ca="1" si="31"/>
        <v>5.4050000000000002</v>
      </c>
      <c r="H186" t="s">
        <v>534</v>
      </c>
      <c r="J186" t="s">
        <v>728</v>
      </c>
      <c r="P186" s="46"/>
      <c r="R186" s="46" t="str">
        <f ca="1">_xll.BDH($J186,"Close",$C$2,$C$3,"BarType","T","Dir=V")</f>
        <v>#N/A N/A</v>
      </c>
      <c r="T186">
        <f ca="1">_xll.BDH($J186,"LAST_PRICE",Swap_Date,Swap_Date)</f>
        <v>5.4050000000000002</v>
      </c>
    </row>
    <row r="187" spans="1:20" x14ac:dyDescent="0.25">
      <c r="A187" s="10">
        <f ca="1">EDATE(Swap_Date,18)</f>
        <v>44100</v>
      </c>
      <c r="B187">
        <f ca="1">IF(ISNUMBER(_xll.BDH(H187,"PX_LAST",Cash_Date,Cash_Date)),_xll.BDH(H187,"PX_LAST",Cash_Date,Cash_Date),B181)</f>
        <v>4.4400000000000004</v>
      </c>
      <c r="C187" s="1">
        <f t="shared" ca="1" si="29"/>
        <v>44181</v>
      </c>
      <c r="D187" t="s">
        <v>246</v>
      </c>
      <c r="E187" s="1">
        <f t="shared" ca="1" si="30"/>
        <v>46472</v>
      </c>
      <c r="F187">
        <f ca="1">IF(ISNUMBER(S187),S187,F189)</f>
        <v>5.77</v>
      </c>
      <c r="H187" t="s">
        <v>535</v>
      </c>
      <c r="J187" t="s">
        <v>729</v>
      </c>
      <c r="P187" s="46"/>
      <c r="R187" s="46" t="str">
        <f ca="1">_xll.BDH($J187,"Close",$C$2,$C$3,"BarType","T","Dir=V")</f>
        <v>#N/A N/A</v>
      </c>
      <c r="T187">
        <f ca="1">_xll.BDH($J187,"LAST_PRICE",Swap_Date,Swap_Date)</f>
        <v>5.5250000000000004</v>
      </c>
    </row>
    <row r="188" spans="1:20" x14ac:dyDescent="0.25">
      <c r="A188" s="10">
        <f ca="1">EDATE(Swap_Date,24)</f>
        <v>44281</v>
      </c>
      <c r="B188" s="11">
        <f ca="1">B187+(B187-B186)</f>
        <v>4.6000000000000005</v>
      </c>
      <c r="C188" s="1">
        <f t="shared" ca="1" si="29"/>
        <v>44272</v>
      </c>
      <c r="D188" t="s">
        <v>246</v>
      </c>
      <c r="E188" s="1">
        <f t="shared" ca="1" si="30"/>
        <v>46838</v>
      </c>
      <c r="F188">
        <f ca="1">IF(ISNUMBER(S188),S188,F189)</f>
        <v>5.77</v>
      </c>
      <c r="J188" t="s">
        <v>730</v>
      </c>
      <c r="P188" s="46"/>
      <c r="R188" s="46" t="str">
        <f ca="1">_xll.BDH($J188,"Close",$C$2,$C$3,"BarType","T","Dir=V")</f>
        <v>#N/A N/A</v>
      </c>
      <c r="T188">
        <f ca="1">_xll.BDH($J188,"LAST_PRICE",Swap_Date,Swap_Date)</f>
        <v>5.64</v>
      </c>
    </row>
    <row r="189" spans="1:20" x14ac:dyDescent="0.25">
      <c r="E189" s="1">
        <f t="shared" ca="1" si="30"/>
        <v>47203</v>
      </c>
      <c r="F189">
        <f t="shared" ca="1" si="31"/>
        <v>5.77</v>
      </c>
      <c r="J189" t="s">
        <v>731</v>
      </c>
      <c r="P189" s="46"/>
      <c r="R189" s="46" t="str">
        <f ca="1">_xll.BDH($J189,"Close",$C$2,$C$3,"BarType","T","Dir=V")</f>
        <v>#N/A N/A</v>
      </c>
      <c r="T189">
        <f ca="1">_xll.BDH($J189,"LAST_PRICE",Swap_Date,Swap_Date)</f>
        <v>5.77</v>
      </c>
    </row>
    <row r="190" spans="1:20" x14ac:dyDescent="0.25">
      <c r="E190" s="1">
        <f t="shared" ca="1" si="30"/>
        <v>47568</v>
      </c>
      <c r="F190">
        <f t="shared" ca="1" si="31"/>
        <v>5.8324999999999996</v>
      </c>
      <c r="J190" t="s">
        <v>732</v>
      </c>
      <c r="P190" s="46"/>
      <c r="R190" s="46" t="str">
        <f ca="1">_xll.BDH($J190,"Close",$C$2,$C$3,"BarType","T","Dir=V")</f>
        <v>#N/A Invalid Security</v>
      </c>
      <c r="T190">
        <f ca="1">0.5*(T189+T191)</f>
        <v>5.8324999999999996</v>
      </c>
    </row>
    <row r="191" spans="1:20" x14ac:dyDescent="0.25">
      <c r="E191" s="1">
        <f t="shared" ca="1" si="30"/>
        <v>47933</v>
      </c>
      <c r="F191">
        <f t="shared" ca="1" si="31"/>
        <v>5.8949999999999996</v>
      </c>
      <c r="J191" t="s">
        <v>733</v>
      </c>
      <c r="P191" s="46"/>
      <c r="R191" s="46" t="str">
        <f ca="1">_xll.BDH($J191,"Close",$C$2,$C$3,"BarType","T","Dir=V")</f>
        <v>#N/A N/A</v>
      </c>
      <c r="T191">
        <f ca="1">_xll.BDH($J191,"LAST_PRICE",Swap_Date,Swap_Date)</f>
        <v>5.8949999999999996</v>
      </c>
    </row>
    <row r="192" spans="1:20" x14ac:dyDescent="0.25">
      <c r="E192" s="1">
        <f t="shared" ca="1" si="30"/>
        <v>48299</v>
      </c>
      <c r="F192">
        <f t="shared" ca="1" si="31"/>
        <v>5.9429999999999996</v>
      </c>
      <c r="J192" t="s">
        <v>734</v>
      </c>
      <c r="P192" s="46"/>
      <c r="R192" s="46" t="str">
        <f ca="1">_xll.BDH($J192,"Close",$C$2,$C$3,"BarType","T","Dir=V")</f>
        <v>#N/A Invalid Security</v>
      </c>
      <c r="T192">
        <f ca="1">0.3*(T194-T191)+T191</f>
        <v>5.9429999999999996</v>
      </c>
    </row>
    <row r="193" spans="5:20" x14ac:dyDescent="0.25">
      <c r="E193" s="1">
        <f t="shared" ca="1" si="30"/>
        <v>48664</v>
      </c>
      <c r="F193">
        <f t="shared" ca="1" si="31"/>
        <v>6.001666666666666</v>
      </c>
      <c r="J193" t="s">
        <v>735</v>
      </c>
      <c r="P193" s="46"/>
      <c r="R193" s="46" t="str">
        <f ca="1">_xll.BDH($J193,"Close",$C$2,$C$3,"BarType","T","Dir=V")</f>
        <v>#N/A Invalid Security</v>
      </c>
      <c r="T193">
        <f ca="1">2/3*(T194-T191)+T191</f>
        <v>6.001666666666666</v>
      </c>
    </row>
    <row r="194" spans="5:20" x14ac:dyDescent="0.25">
      <c r="E194" s="1">
        <f t="shared" ca="1" si="30"/>
        <v>49029</v>
      </c>
      <c r="F194">
        <f t="shared" ca="1" si="31"/>
        <v>6.0549999999999997</v>
      </c>
      <c r="J194" t="s">
        <v>736</v>
      </c>
      <c r="P194" s="46"/>
      <c r="R194" s="46" t="str">
        <f ca="1">_xll.BDH($J194,"Close",$C$2,$C$3,"BarType","T","Dir=V")</f>
        <v>#N/A N/A</v>
      </c>
      <c r="T194">
        <f ca="1">_xll.BDH($J194,"LAST_PRICE",Swap_Date,Swap_Date)</f>
        <v>6.0549999999999997</v>
      </c>
    </row>
    <row r="195" spans="5:20" x14ac:dyDescent="0.25">
      <c r="E195" s="1">
        <f t="shared" ca="1" si="30"/>
        <v>49394</v>
      </c>
      <c r="F195">
        <f t="shared" ca="1" si="31"/>
        <v>5.8116666666666665</v>
      </c>
      <c r="J195" t="s">
        <v>737</v>
      </c>
      <c r="P195" s="46"/>
      <c r="R195" s="46" t="str">
        <f ca="1">_xll.BDH($J195,"Close",$C$2,$C$3,"BarType","T","Dir=V")</f>
        <v>#N/A Invalid Security</v>
      </c>
      <c r="T195">
        <f ca="1">1/3*(T197-T194)+T194</f>
        <v>5.8116666666666665</v>
      </c>
    </row>
    <row r="196" spans="5:20" x14ac:dyDescent="0.25">
      <c r="E196" s="1">
        <f t="shared" ca="1" si="30"/>
        <v>49760</v>
      </c>
      <c r="F196">
        <f t="shared" ca="1" si="31"/>
        <v>5.5683333333333334</v>
      </c>
      <c r="J196" t="s">
        <v>738</v>
      </c>
      <c r="P196" s="46"/>
      <c r="R196" s="46" t="str">
        <f ca="1">_xll.BDH($J196,"Close",$C$2,$C$3,"BarType","T","Dir=V")</f>
        <v>#N/A Invalid Security</v>
      </c>
      <c r="T196">
        <f ca="1">2/3*(T197-T194)+T194</f>
        <v>5.5683333333333334</v>
      </c>
    </row>
    <row r="197" spans="5:20" x14ac:dyDescent="0.25">
      <c r="E197" s="1">
        <f ca="1">EDATE(E196,36)</f>
        <v>50855</v>
      </c>
      <c r="F197">
        <f t="shared" ca="1" si="31"/>
        <v>5.3250000000000002</v>
      </c>
      <c r="J197" t="s">
        <v>739</v>
      </c>
      <c r="P197" s="46"/>
      <c r="R197" s="46" t="str">
        <f ca="1">_xll.BDH($J197,"Close",$C$2,$C$3,"BarType","T","Dir=V")</f>
        <v>#N/A N/A</v>
      </c>
      <c r="T197">
        <f ca="1">_xll.BDH($J197,"LAST_PRICE",Swap_Date,Swap_Date)</f>
        <v>5.3250000000000002</v>
      </c>
    </row>
    <row r="198" spans="5:20" x14ac:dyDescent="0.25">
      <c r="E198" s="1">
        <f ca="1">EDATE(E197,60)</f>
        <v>52682</v>
      </c>
      <c r="F198">
        <f ca="1">F197</f>
        <v>5.3250000000000002</v>
      </c>
    </row>
    <row r="199" spans="5:20" x14ac:dyDescent="0.25">
      <c r="E199" s="1">
        <f ca="1">EDATE(E198,60)</f>
        <v>54508</v>
      </c>
      <c r="F199">
        <f t="shared" ref="F199:F201" ca="1" si="32">F198</f>
        <v>5.3250000000000002</v>
      </c>
    </row>
    <row r="200" spans="5:20" x14ac:dyDescent="0.25">
      <c r="E200" s="1">
        <f ca="1">EDATE(E199,120)</f>
        <v>58160</v>
      </c>
      <c r="F200">
        <f t="shared" ca="1" si="32"/>
        <v>5.3250000000000002</v>
      </c>
    </row>
    <row r="201" spans="5:20" x14ac:dyDescent="0.25">
      <c r="E201" s="1">
        <f ca="1">EDATE(E200,12)</f>
        <v>58526</v>
      </c>
      <c r="F201">
        <f t="shared" ca="1" si="32"/>
        <v>5.3250000000000002</v>
      </c>
    </row>
  </sheetData>
  <mergeCells count="1">
    <mergeCell ref="M56:N5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42AB6-2B76-40A4-9C06-C0C737F1B139}">
  <sheetPr codeName="Sheet32"/>
  <dimension ref="A1:P202"/>
  <sheetViews>
    <sheetView zoomScale="70" zoomScaleNormal="70" workbookViewId="0">
      <selection activeCell="M3" sqref="M3"/>
    </sheetView>
  </sheetViews>
  <sheetFormatPr defaultRowHeight="15" x14ac:dyDescent="0.25"/>
  <cols>
    <col min="1" max="1" width="9.7109375" customWidth="1"/>
    <col min="3" max="3" width="12.7109375" customWidth="1"/>
    <col min="4" max="4" width="10.28515625" customWidth="1"/>
    <col min="5" max="5" width="9.5703125" bestFit="1" customWidth="1"/>
    <col min="6" max="6" width="10.85546875" customWidth="1"/>
    <col min="9" max="9" width="11.7109375" customWidth="1"/>
    <col min="11" max="11" width="14.28515625" customWidth="1"/>
  </cols>
  <sheetData>
    <row r="1" spans="1:10" x14ac:dyDescent="0.25">
      <c r="A1" s="81" t="s">
        <v>69</v>
      </c>
      <c r="B1" s="81"/>
      <c r="C1" s="9"/>
    </row>
    <row r="2" spans="1:10" x14ac:dyDescent="0.25">
      <c r="A2" s="81" t="s">
        <v>70</v>
      </c>
      <c r="B2" s="81"/>
      <c r="C2" s="9"/>
    </row>
    <row r="3" spans="1:10" x14ac:dyDescent="0.25">
      <c r="A3" s="81" t="s">
        <v>71</v>
      </c>
      <c r="B3" s="81"/>
      <c r="C3" s="3"/>
      <c r="E3" s="2"/>
      <c r="F3" s="3"/>
      <c r="I3" s="3"/>
    </row>
    <row r="4" spans="1:10" x14ac:dyDescent="0.25">
      <c r="A4" t="s">
        <v>12</v>
      </c>
      <c r="B4">
        <v>6</v>
      </c>
      <c r="D4">
        <v>7</v>
      </c>
      <c r="F4">
        <v>100</v>
      </c>
      <c r="H4" t="s">
        <v>35</v>
      </c>
    </row>
    <row r="5" spans="1:10" x14ac:dyDescent="0.25">
      <c r="A5" t="s">
        <v>29</v>
      </c>
      <c r="B5" t="s">
        <v>30</v>
      </c>
      <c r="C5" t="s">
        <v>31</v>
      </c>
      <c r="D5" t="s">
        <v>32</v>
      </c>
      <c r="E5" t="s">
        <v>33</v>
      </c>
      <c r="F5" t="s">
        <v>34</v>
      </c>
    </row>
    <row r="6" spans="1:10" x14ac:dyDescent="0.25">
      <c r="A6" s="1">
        <f ca="1">WORKDAY(Swap_Date,1)</f>
        <v>43551</v>
      </c>
      <c r="B6">
        <f ca="1">_xll.BDP(H6,"PX_LAST")</f>
        <v>2.3938800000000002</v>
      </c>
      <c r="C6" s="1">
        <f ca="1">nextimm(Swap_Date)</f>
        <v>43635</v>
      </c>
      <c r="D6">
        <f ca="1">IF(ISNUMBER(_xll.BDP(I6,"PX_LAST")),100-_xll.BDP(I6,"PX_LAST"),B9)</f>
        <v>2.519999999999996</v>
      </c>
      <c r="E6" s="1">
        <f ca="1">EDATE(Swap_Date,24)</f>
        <v>44281</v>
      </c>
      <c r="F6">
        <f ca="1">_xll.BDP(J6,"PX_LAST")</f>
        <v>2.3412000000000002</v>
      </c>
      <c r="H6" t="s">
        <v>36</v>
      </c>
      <c r="I6" t="s">
        <v>45</v>
      </c>
      <c r="J6" t="s">
        <v>50</v>
      </c>
    </row>
    <row r="7" spans="1:10" x14ac:dyDescent="0.25">
      <c r="A7" s="1">
        <f ca="1">EDATE(Swap_Date,1)</f>
        <v>43581</v>
      </c>
      <c r="B7">
        <f ca="1">_xll.BDP(H7,"PX_LAST")</f>
        <v>2.4954999999999998</v>
      </c>
      <c r="C7" s="1">
        <f ca="1">nextimm(C6+1)</f>
        <v>43726</v>
      </c>
      <c r="D7">
        <f ca="1">100-_xll.BDP(I7,"PX_LAST")</f>
        <v>2.4249999999999972</v>
      </c>
      <c r="E7" s="1">
        <f ca="1">EDATE(E6,12)</f>
        <v>44646</v>
      </c>
      <c r="F7">
        <f ca="1">_xll.BDP(J7,"PX_LAST")</f>
        <v>2.2549999999999999</v>
      </c>
      <c r="H7" t="s">
        <v>37</v>
      </c>
      <c r="I7" t="s">
        <v>46</v>
      </c>
      <c r="J7" t="s">
        <v>51</v>
      </c>
    </row>
    <row r="8" spans="1:10" x14ac:dyDescent="0.25">
      <c r="A8" s="1">
        <f ca="1">EDATE(Swap_Date,2)</f>
        <v>43611</v>
      </c>
      <c r="B8">
        <f ca="1">_xll.BDP(H8,"PX_LAST")</f>
        <v>2.55775</v>
      </c>
      <c r="C8" s="1">
        <f t="shared" ref="C8:C13" ca="1" si="0">nextimm(C7+1)</f>
        <v>43817</v>
      </c>
      <c r="D8">
        <f ca="1">100-_xll.BDP(I8,"PX_LAST")</f>
        <v>2.3700000000000045</v>
      </c>
      <c r="E8" s="1">
        <f t="shared" ref="E8:E21" ca="1" si="1">EDATE(E7,12)</f>
        <v>45011</v>
      </c>
      <c r="F8">
        <f ca="1">_xll.BDP(J8,"PX_LAST")</f>
        <v>2.2286000000000001</v>
      </c>
      <c r="H8" t="s">
        <v>38</v>
      </c>
      <c r="I8" t="s">
        <v>47</v>
      </c>
      <c r="J8" t="s">
        <v>52</v>
      </c>
    </row>
    <row r="9" spans="1:10" x14ac:dyDescent="0.25">
      <c r="A9" s="1">
        <f ca="1">EDATE(Swap_Date,3)</f>
        <v>43642</v>
      </c>
      <c r="B9">
        <f ca="1">_xll.BDP(H9,"PX_LAST")</f>
        <v>2.5973800000000002</v>
      </c>
      <c r="C9" s="1">
        <f t="shared" ca="1" si="0"/>
        <v>43908</v>
      </c>
      <c r="D9">
        <f ca="1">100-_xll.BDP(I9,"PX_LAST")</f>
        <v>2.230000000000004</v>
      </c>
      <c r="E9" s="1">
        <f t="shared" ca="1" si="1"/>
        <v>45377</v>
      </c>
      <c r="F9">
        <f ca="1">_xll.BDP(J9,"PX_LAST")</f>
        <v>2.2336999999999998</v>
      </c>
      <c r="H9" t="s">
        <v>39</v>
      </c>
      <c r="I9" t="s">
        <v>48</v>
      </c>
      <c r="J9" t="s">
        <v>53</v>
      </c>
    </row>
    <row r="10" spans="1:10" x14ac:dyDescent="0.25">
      <c r="A10" s="1">
        <f ca="1">EDATE(Swap_Date,6)</f>
        <v>43734</v>
      </c>
      <c r="B10">
        <f ca="1">_xll.BDP(H10,"PX_LAST")</f>
        <v>2.6821299999999999</v>
      </c>
      <c r="C10" s="1">
        <f t="shared" ca="1" si="0"/>
        <v>43999</v>
      </c>
      <c r="D10">
        <f ca="1">100-_xll.BDP(I10,"PX_LAST")</f>
        <v>2.1299999999999955</v>
      </c>
      <c r="E10" s="1">
        <f t="shared" ca="1" si="1"/>
        <v>45742</v>
      </c>
      <c r="F10">
        <f ca="1">_xll.BDP(J10,"PX_LAST")</f>
        <v>2.2532000000000001</v>
      </c>
      <c r="H10" t="s">
        <v>40</v>
      </c>
      <c r="I10" t="s">
        <v>49</v>
      </c>
      <c r="J10" t="s">
        <v>54</v>
      </c>
    </row>
    <row r="11" spans="1:10" x14ac:dyDescent="0.25">
      <c r="A11" s="1">
        <f ca="1">EDATE(Swap_Date,12)</f>
        <v>43916</v>
      </c>
      <c r="B11">
        <f ca="1">_xll.BDP(H11,"PX_LAST")</f>
        <v>2.7246299999999999</v>
      </c>
      <c r="C11" s="1">
        <f t="shared" ca="1" si="0"/>
        <v>44090</v>
      </c>
      <c r="D11">
        <f ca="1">100-_xll.BDP(I11,"PX_LAST")</f>
        <v>2.0649999999999977</v>
      </c>
      <c r="E11" s="1">
        <f t="shared" ca="1" si="1"/>
        <v>46107</v>
      </c>
      <c r="F11">
        <f ca="1">_xll.BDP(J11,"PX_LAST")</f>
        <v>2.2783000000000002</v>
      </c>
      <c r="H11" t="s">
        <v>41</v>
      </c>
      <c r="I11" t="s">
        <v>581</v>
      </c>
      <c r="J11" t="s">
        <v>55</v>
      </c>
    </row>
    <row r="12" spans="1:10" x14ac:dyDescent="0.25">
      <c r="C12" s="1">
        <f t="shared" ca="1" si="0"/>
        <v>44181</v>
      </c>
      <c r="D12">
        <f ca="1">100-_xll.BDP(I12,"PX_LAST")</f>
        <v>2.0549999999999926</v>
      </c>
      <c r="E12" s="1">
        <f t="shared" ca="1" si="1"/>
        <v>46472</v>
      </c>
      <c r="F12">
        <f ca="1">_xll.BDP(J12,"PX_LAST")</f>
        <v>2.3079999999999998</v>
      </c>
      <c r="I12" t="s">
        <v>582</v>
      </c>
      <c r="J12" t="s">
        <v>56</v>
      </c>
    </row>
    <row r="13" spans="1:10" x14ac:dyDescent="0.25">
      <c r="C13" s="1">
        <f t="shared" ca="1" si="0"/>
        <v>44272</v>
      </c>
      <c r="D13">
        <f ca="1">100-_xll.BDP(I13,"PX_LAST")</f>
        <v>2.230000000000004</v>
      </c>
      <c r="E13" s="1">
        <f t="shared" ca="1" si="1"/>
        <v>46838</v>
      </c>
      <c r="F13">
        <f ca="1">_xll.BDP(J13,"PX_LAST")</f>
        <v>2.3395000000000001</v>
      </c>
      <c r="I13" t="s">
        <v>48</v>
      </c>
      <c r="J13" t="s">
        <v>57</v>
      </c>
    </row>
    <row r="14" spans="1:10" x14ac:dyDescent="0.25">
      <c r="E14" s="1">
        <f t="shared" ca="1" si="1"/>
        <v>47203</v>
      </c>
      <c r="F14">
        <f ca="1">_xll.BDP(J14,"PX_LAST")</f>
        <v>2.3717000000000001</v>
      </c>
      <c r="J14" t="s">
        <v>26</v>
      </c>
    </row>
    <row r="15" spans="1:10" x14ac:dyDescent="0.25">
      <c r="E15" s="1">
        <f t="shared" ca="1" si="1"/>
        <v>47568</v>
      </c>
      <c r="F15">
        <f ca="1">_xll.BDP(J15,"PX_LAST")</f>
        <v>2.4028999999999998</v>
      </c>
      <c r="J15" t="s">
        <v>58</v>
      </c>
    </row>
    <row r="16" spans="1:10" x14ac:dyDescent="0.25">
      <c r="E16" s="1">
        <f t="shared" ca="1" si="1"/>
        <v>47933</v>
      </c>
      <c r="F16">
        <f ca="1">_xll.BDP(J16,"PX_LAST")</f>
        <v>2.4300999999999999</v>
      </c>
      <c r="J16" t="s">
        <v>59</v>
      </c>
    </row>
    <row r="17" spans="1:10" x14ac:dyDescent="0.25">
      <c r="E17" s="1">
        <f t="shared" ca="1" si="1"/>
        <v>48299</v>
      </c>
      <c r="F17">
        <f ca="1">_xll.BDP(J17,"PX_LAST")</f>
        <v>2.4525000000000001</v>
      </c>
      <c r="J17" t="s">
        <v>60</v>
      </c>
    </row>
    <row r="18" spans="1:10" x14ac:dyDescent="0.25">
      <c r="E18" s="1">
        <f t="shared" ca="1" si="1"/>
        <v>48664</v>
      </c>
      <c r="F18">
        <f ca="1">_xll.BDP(J18,"PX_LAST")</f>
        <v>2.4735</v>
      </c>
      <c r="J18" t="s">
        <v>61</v>
      </c>
    </row>
    <row r="19" spans="1:10" x14ac:dyDescent="0.25">
      <c r="E19" s="1">
        <f t="shared" ca="1" si="1"/>
        <v>49029</v>
      </c>
      <c r="F19">
        <f ca="1">_xll.BDP(J19,"PX_LAST")</f>
        <v>2.4903</v>
      </c>
      <c r="J19" t="s">
        <v>62</v>
      </c>
    </row>
    <row r="20" spans="1:10" x14ac:dyDescent="0.25">
      <c r="E20" s="1">
        <f t="shared" ca="1" si="1"/>
        <v>49394</v>
      </c>
      <c r="F20">
        <f ca="1">_xll.BDP(J20,"PX_LAST")</f>
        <v>2.5049999999999999</v>
      </c>
      <c r="J20" t="s">
        <v>63</v>
      </c>
    </row>
    <row r="21" spans="1:10" x14ac:dyDescent="0.25">
      <c r="E21" s="1">
        <f t="shared" ca="1" si="1"/>
        <v>49760</v>
      </c>
      <c r="F21">
        <f ca="1">_xll.BDP(J21,"PX_LAST")</f>
        <v>2.5188000000000001</v>
      </c>
      <c r="J21" t="s">
        <v>64</v>
      </c>
    </row>
    <row r="22" spans="1:10" x14ac:dyDescent="0.25">
      <c r="E22" s="1">
        <f ca="1">EDATE(E21,36)</f>
        <v>50855</v>
      </c>
      <c r="F22">
        <f ca="1">_xll.BDP(J22,"PX_LAST")</f>
        <v>2.5419999999999998</v>
      </c>
      <c r="J22" t="s">
        <v>65</v>
      </c>
    </row>
    <row r="23" spans="1:10" x14ac:dyDescent="0.25">
      <c r="E23" s="1">
        <f ca="1">EDATE(E22,60)</f>
        <v>52682</v>
      </c>
      <c r="F23">
        <f ca="1">_xll.BDP(J23,"PX_LAST")</f>
        <v>2.5588000000000002</v>
      </c>
      <c r="J23" t="s">
        <v>66</v>
      </c>
    </row>
    <row r="24" spans="1:10" x14ac:dyDescent="0.25">
      <c r="E24" s="1">
        <f ca="1">EDATE(E23,60)</f>
        <v>54508</v>
      </c>
      <c r="F24">
        <f ca="1">_xll.BDP(J24,"PX_LAST")</f>
        <v>2.5648</v>
      </c>
      <c r="J24" t="s">
        <v>67</v>
      </c>
    </row>
    <row r="25" spans="1:10" x14ac:dyDescent="0.25">
      <c r="E25" s="1">
        <f ca="1">EDATE(E24,120)</f>
        <v>58160</v>
      </c>
      <c r="F25">
        <f ca="1">_xll.BDP(J25,"PX_LAST")</f>
        <v>2.5464000000000002</v>
      </c>
      <c r="J25" t="s">
        <v>68</v>
      </c>
    </row>
    <row r="26" spans="1:10" x14ac:dyDescent="0.25">
      <c r="E26" s="1">
        <f ca="1">EDATE(E25,12)</f>
        <v>58526</v>
      </c>
      <c r="F26">
        <f ca="1">F25</f>
        <v>2.5464000000000002</v>
      </c>
    </row>
    <row r="29" spans="1:10" x14ac:dyDescent="0.25">
      <c r="A29" t="s">
        <v>13</v>
      </c>
      <c r="B29">
        <v>6</v>
      </c>
      <c r="D29">
        <v>7</v>
      </c>
      <c r="F29">
        <v>100</v>
      </c>
    </row>
    <row r="30" spans="1:10" x14ac:dyDescent="0.25">
      <c r="A30" t="s">
        <v>29</v>
      </c>
      <c r="B30" t="s">
        <v>30</v>
      </c>
      <c r="C30" t="s">
        <v>31</v>
      </c>
      <c r="D30" t="s">
        <v>32</v>
      </c>
      <c r="E30" t="s">
        <v>33</v>
      </c>
      <c r="F30" t="s">
        <v>34</v>
      </c>
    </row>
    <row r="31" spans="1:10" x14ac:dyDescent="0.25">
      <c r="A31" s="1">
        <f ca="1">WORKDAY(Swap_Date,1)</f>
        <v>43551</v>
      </c>
      <c r="B31">
        <f ca="1">_xll.BDP(H31,"PX_LAST")</f>
        <v>-0.36230000000000001</v>
      </c>
      <c r="C31" s="1">
        <f ca="1">nextimm(Swap_Date)</f>
        <v>43635</v>
      </c>
      <c r="D31">
        <f ca="1">IF(ISNUMBER(_xll.BDP(I31,"PX_LAST")),100-_xll.BDP(I31,"PX_LAST"),B34)</f>
        <v>-0.30500000000000682</v>
      </c>
      <c r="E31" s="1">
        <f ca="1">EDATE(Swap_Date,24)</f>
        <v>44281</v>
      </c>
      <c r="F31">
        <f ca="1">_xll.BDP(J31,"PX_LAST")</f>
        <v>-0.20250000000000001</v>
      </c>
      <c r="H31" t="s">
        <v>6</v>
      </c>
      <c r="I31" t="s">
        <v>80</v>
      </c>
      <c r="J31" t="s">
        <v>85</v>
      </c>
    </row>
    <row r="32" spans="1:10" x14ac:dyDescent="0.25">
      <c r="A32" s="1">
        <f ca="1">EDATE(Swap_Date,1)</f>
        <v>43581</v>
      </c>
      <c r="B32">
        <f ca="1">_xll.BDP(H32,"PX_LAST")</f>
        <v>-0.36799999999999999</v>
      </c>
      <c r="C32" s="1">
        <f ca="1">nextimm(C31+1)</f>
        <v>43726</v>
      </c>
      <c r="D32">
        <f ca="1">IFERROR(100-_xll.BDP(I32,"PX_LAST"),0.5*(D31+D33))</f>
        <v>-0.31000000000000227</v>
      </c>
      <c r="E32" s="1">
        <f ca="1">EDATE(E31,12)</f>
        <v>44646</v>
      </c>
      <c r="F32">
        <f ca="1">_xll.BDP(J32,"PX_LAST")</f>
        <v>-0.1431</v>
      </c>
      <c r="H32" t="s">
        <v>72</v>
      </c>
      <c r="I32" t="s">
        <v>81</v>
      </c>
      <c r="J32" t="s">
        <v>86</v>
      </c>
    </row>
    <row r="33" spans="1:10" x14ac:dyDescent="0.25">
      <c r="A33" s="1">
        <f ca="1">EDATE(Swap_Date,2)</f>
        <v>43611</v>
      </c>
      <c r="B33">
        <f ca="1">IF(_xll.BDP(H33,"PX_LAST")="#N/A N/A",0.5*(B32+B34),_xll.BDP(H33,"PX_LAST"))</f>
        <v>-0.33600000000000002</v>
      </c>
      <c r="C33" s="1">
        <f t="shared" ref="C33:C38" ca="1" si="2">nextimm(C32+1)</f>
        <v>43817</v>
      </c>
      <c r="D33">
        <f ca="1">100-_xll.BDP(I33,"PX_LAST")</f>
        <v>-0.30500000000000682</v>
      </c>
      <c r="E33" s="1">
        <f t="shared" ref="E33:E46" ca="1" si="3">EDATE(E32,12)</f>
        <v>45011</v>
      </c>
      <c r="F33">
        <f ca="1">_xll.BDP(J33,"PX_LAST")</f>
        <v>-7.0699999999999999E-2</v>
      </c>
      <c r="H33" t="s">
        <v>73</v>
      </c>
      <c r="I33" t="s">
        <v>82</v>
      </c>
      <c r="J33" t="s">
        <v>89</v>
      </c>
    </row>
    <row r="34" spans="1:10" x14ac:dyDescent="0.25">
      <c r="A34" s="1">
        <f ca="1">EDATE(Swap_Date,3)</f>
        <v>43642</v>
      </c>
      <c r="B34">
        <f ca="1">_xll.BDP(H34,"PX_LAST")</f>
        <v>-0.309</v>
      </c>
      <c r="C34" s="1">
        <f t="shared" ca="1" si="2"/>
        <v>43908</v>
      </c>
      <c r="D34">
        <f ca="1">100-_xll.BDP(I34,"PX_LAST")</f>
        <v>-0.29500000000000171</v>
      </c>
      <c r="E34" s="1">
        <f t="shared" ca="1" si="3"/>
        <v>45377</v>
      </c>
      <c r="F34">
        <f ca="1">_xll.BDP(J34,"PX_LAST")</f>
        <v>8.8999999999999999E-3</v>
      </c>
      <c r="H34" t="s">
        <v>74</v>
      </c>
      <c r="I34" t="s">
        <v>83</v>
      </c>
      <c r="J34" t="s">
        <v>87</v>
      </c>
    </row>
    <row r="35" spans="1:10" x14ac:dyDescent="0.25">
      <c r="A35" s="1">
        <f ca="1">EDATE(Swap_Date,6)</f>
        <v>43734</v>
      </c>
      <c r="B35">
        <f ca="1">_xll.BDP(H35,"PX_LAST")</f>
        <v>-0.22700000000000001</v>
      </c>
      <c r="C35" s="1">
        <f t="shared" ca="1" si="2"/>
        <v>43999</v>
      </c>
      <c r="D35">
        <f ca="1">100-_xll.BDP(I35,"PX_LAST")</f>
        <v>-0.27500000000000568</v>
      </c>
      <c r="E35" s="1">
        <f t="shared" ca="1" si="3"/>
        <v>45742</v>
      </c>
      <c r="F35">
        <f ca="1">_xll.BDP(J35,"PX_LAST")</f>
        <v>9.4799999999999995E-2</v>
      </c>
      <c r="H35" t="s">
        <v>75</v>
      </c>
      <c r="I35" t="s">
        <v>84</v>
      </c>
      <c r="J35" t="s">
        <v>90</v>
      </c>
    </row>
    <row r="36" spans="1:10" x14ac:dyDescent="0.25">
      <c r="A36" s="1">
        <f ca="1">EDATE(Swap_Date,12)</f>
        <v>43916</v>
      </c>
      <c r="B36">
        <f ca="1">_xll.BDP(H36,"PX_LAST")</f>
        <v>-0.109</v>
      </c>
      <c r="C36" s="1">
        <f t="shared" ca="1" si="2"/>
        <v>44090</v>
      </c>
      <c r="D36">
        <f ca="1">100-_xll.BDP(I36,"PX_LAST")</f>
        <v>-0.25</v>
      </c>
      <c r="E36" s="1">
        <f t="shared" ca="1" si="3"/>
        <v>46107</v>
      </c>
      <c r="F36">
        <f ca="1">_xll.BDP(J36,"PX_LAST")</f>
        <v>0.185</v>
      </c>
      <c r="H36" t="s">
        <v>76</v>
      </c>
      <c r="I36" t="s">
        <v>583</v>
      </c>
      <c r="J36" t="s">
        <v>88</v>
      </c>
    </row>
    <row r="37" spans="1:10" x14ac:dyDescent="0.25">
      <c r="C37" s="1">
        <f t="shared" ca="1" si="2"/>
        <v>44181</v>
      </c>
      <c r="D37">
        <f ca="1">100-_xll.BDP(I37,"PX_LAST")</f>
        <v>-0.21500000000000341</v>
      </c>
      <c r="E37" s="1">
        <f t="shared" ca="1" si="3"/>
        <v>46472</v>
      </c>
      <c r="F37">
        <f ca="1">_xll.BDP(J37,"PX_LAST")</f>
        <v>0.27750000000000002</v>
      </c>
      <c r="I37" t="s">
        <v>584</v>
      </c>
      <c r="J37" t="s">
        <v>91</v>
      </c>
    </row>
    <row r="38" spans="1:10" x14ac:dyDescent="0.25">
      <c r="C38" s="1">
        <f t="shared" ca="1" si="2"/>
        <v>44272</v>
      </c>
      <c r="D38">
        <f ca="1">100-_xll.BDP(I38,"PX_LAST")</f>
        <v>-0.29500000000000171</v>
      </c>
      <c r="E38" s="1">
        <f t="shared" ca="1" si="3"/>
        <v>46838</v>
      </c>
      <c r="F38">
        <f ca="1">_xll.BDP(J38,"PX_LAST")</f>
        <v>0.36899999999999999</v>
      </c>
      <c r="I38" t="s">
        <v>83</v>
      </c>
      <c r="J38" t="s">
        <v>92</v>
      </c>
    </row>
    <row r="39" spans="1:10" x14ac:dyDescent="0.25">
      <c r="E39" s="1">
        <f t="shared" ca="1" si="3"/>
        <v>47203</v>
      </c>
      <c r="F39">
        <f ca="1">_xll.BDP(J39,"PX_LAST")</f>
        <v>0.45650000000000002</v>
      </c>
      <c r="J39" t="s">
        <v>27</v>
      </c>
    </row>
    <row r="40" spans="1:10" x14ac:dyDescent="0.25">
      <c r="E40" s="1">
        <f t="shared" ca="1" si="3"/>
        <v>47568</v>
      </c>
      <c r="F40">
        <f ca="1">_xll.BDP(J40,"PX_LAST")</f>
        <v>0.53900000000000003</v>
      </c>
      <c r="J40" t="s">
        <v>93</v>
      </c>
    </row>
    <row r="41" spans="1:10" x14ac:dyDescent="0.25">
      <c r="E41" s="1">
        <f t="shared" ca="1" si="3"/>
        <v>47933</v>
      </c>
      <c r="F41">
        <f ca="1">_xll.BDP(J41,"PX_LAST")</f>
        <v>0.61350000000000005</v>
      </c>
      <c r="J41" t="s">
        <v>94</v>
      </c>
    </row>
    <row r="42" spans="1:10" x14ac:dyDescent="0.25">
      <c r="E42" s="1">
        <f t="shared" ca="1" si="3"/>
        <v>48299</v>
      </c>
      <c r="F42">
        <f ca="1">_xll.BDP(J42,"PX_LAST")</f>
        <v>0.68049999999999999</v>
      </c>
      <c r="J42" t="s">
        <v>95</v>
      </c>
    </row>
    <row r="43" spans="1:10" x14ac:dyDescent="0.25">
      <c r="E43" s="1">
        <f t="shared" ca="1" si="3"/>
        <v>48664</v>
      </c>
      <c r="F43">
        <f ca="1">_xll.BDP(J43,"PX_LAST")</f>
        <v>0.73899999999999999</v>
      </c>
      <c r="J43" t="s">
        <v>96</v>
      </c>
    </row>
    <row r="44" spans="1:10" x14ac:dyDescent="0.25">
      <c r="E44" s="1">
        <f t="shared" ca="1" si="3"/>
        <v>49029</v>
      </c>
      <c r="F44">
        <f ca="1">_xll.BDP(J44,"PX_LAST")</f>
        <v>0.78990000000000005</v>
      </c>
      <c r="J44" t="s">
        <v>97</v>
      </c>
    </row>
    <row r="45" spans="1:10" x14ac:dyDescent="0.25">
      <c r="E45" s="1">
        <f t="shared" ca="1" si="3"/>
        <v>49394</v>
      </c>
      <c r="F45">
        <f ca="1">_xll.BDP(J45,"PX_LAST")</f>
        <v>0.83389999999999997</v>
      </c>
      <c r="J45" t="s">
        <v>98</v>
      </c>
    </row>
    <row r="46" spans="1:10" x14ac:dyDescent="0.25">
      <c r="E46" s="1">
        <f t="shared" ca="1" si="3"/>
        <v>49760</v>
      </c>
      <c r="F46">
        <f ca="1">_xll.BDP(J46,"PX_LAST")</f>
        <v>0.87139999999999995</v>
      </c>
      <c r="J46" t="s">
        <v>99</v>
      </c>
    </row>
    <row r="47" spans="1:10" x14ac:dyDescent="0.25">
      <c r="E47" s="1">
        <f ca="1">EDATE(E46,36)</f>
        <v>50855</v>
      </c>
      <c r="F47">
        <f ca="1">_xll.BDP(J47,"PX_LAST")</f>
        <v>0.95299999999999996</v>
      </c>
      <c r="J47" t="s">
        <v>100</v>
      </c>
    </row>
    <row r="48" spans="1:10" x14ac:dyDescent="0.25">
      <c r="E48" s="1">
        <f ca="1">EDATE(E47,60)</f>
        <v>52682</v>
      </c>
      <c r="F48">
        <f ca="1">_xll.BDP(J48,"PX_LAST")</f>
        <v>1.0148999999999999</v>
      </c>
      <c r="J48" t="s">
        <v>101</v>
      </c>
    </row>
    <row r="49" spans="1:16" x14ac:dyDescent="0.25">
      <c r="E49" s="1">
        <f ca="1">EDATE(E48,60)</f>
        <v>54508</v>
      </c>
      <c r="F49">
        <f ca="1">_xll.BDP(J49,"PX_LAST")</f>
        <v>1.0328999999999999</v>
      </c>
      <c r="J49" t="s">
        <v>102</v>
      </c>
    </row>
    <row r="50" spans="1:16" x14ac:dyDescent="0.25">
      <c r="E50" s="1">
        <f ca="1">EDATE(E49,120)</f>
        <v>58160</v>
      </c>
      <c r="F50">
        <f ca="1">_xll.BDP(J50,"PX_LAST")</f>
        <v>1.026</v>
      </c>
      <c r="J50" t="s">
        <v>103</v>
      </c>
    </row>
    <row r="51" spans="1:16" x14ac:dyDescent="0.25">
      <c r="E51" s="1">
        <f ca="1">EDATE(E50,12)</f>
        <v>58526</v>
      </c>
      <c r="F51">
        <f ca="1">F50</f>
        <v>1.026</v>
      </c>
    </row>
    <row r="54" spans="1:16" x14ac:dyDescent="0.25">
      <c r="A54" t="s">
        <v>19</v>
      </c>
      <c r="B54">
        <v>6</v>
      </c>
      <c r="D54">
        <v>7</v>
      </c>
      <c r="F54">
        <v>100</v>
      </c>
    </row>
    <row r="55" spans="1:16" x14ac:dyDescent="0.25">
      <c r="A55" t="s">
        <v>29</v>
      </c>
      <c r="B55" t="s">
        <v>30</v>
      </c>
      <c r="C55" t="s">
        <v>31</v>
      </c>
      <c r="D55" t="s">
        <v>32</v>
      </c>
      <c r="E55" t="s">
        <v>33</v>
      </c>
      <c r="F55" t="s">
        <v>34</v>
      </c>
    </row>
    <row r="56" spans="1:16" ht="15.6" customHeight="1" x14ac:dyDescent="0.25">
      <c r="A56" s="1">
        <f ca="1">WORKDAY(Swap_Date,1)</f>
        <v>43551</v>
      </c>
      <c r="B56">
        <f ca="1">_xll.BDP(H56,"PX_LAST")</f>
        <v>-0.10199999999999999</v>
      </c>
      <c r="C56" s="1">
        <f ca="1">nextimm(Swap_Date)</f>
        <v>43635</v>
      </c>
      <c r="D56">
        <f ca="1">IF(ISNUMBER(_xll.BDP(I56,"PX_LAST")),100-_xll.BDP(I56,"PX_LAST"),B59)</f>
        <v>1.9999999999996021E-2</v>
      </c>
      <c r="E56" s="1">
        <f ca="1">EDATE(Swap_Date,24)</f>
        <v>44281</v>
      </c>
      <c r="F56">
        <f ca="1">_xll.BDP(J56,"PX_LAST")</f>
        <v>-4.1200000000000001E-2</v>
      </c>
      <c r="H56" t="s">
        <v>0</v>
      </c>
      <c r="I56" t="s">
        <v>107</v>
      </c>
      <c r="J56" t="s">
        <v>112</v>
      </c>
      <c r="M56" s="80" t="s">
        <v>132</v>
      </c>
      <c r="N56" s="80"/>
      <c r="P56">
        <v>-8.5330000000000003E-2</v>
      </c>
    </row>
    <row r="57" spans="1:16" ht="15.6" customHeight="1" x14ac:dyDescent="0.25">
      <c r="A57" s="1">
        <f ca="1">EDATE(Swap_Date,1)</f>
        <v>43581</v>
      </c>
      <c r="B57">
        <f ca="1">_xll.BDP(H57,"PX_LAST")</f>
        <v>-0.1065</v>
      </c>
      <c r="C57" s="1">
        <f ca="1">nextimm(C56+1)</f>
        <v>43726</v>
      </c>
      <c r="D57">
        <f ca="1">IFERROR(100-_xll.BDP(I57,"PX_LAST"),0.5*(D56+D58))</f>
        <v>1.9999999999996021E-2</v>
      </c>
      <c r="E57" s="1">
        <f ca="1">EDATE(E56,12)</f>
        <v>44646</v>
      </c>
      <c r="F57">
        <f ca="1">_xll.BDP(J57,"PX_LAST")</f>
        <v>-5.3749999999999999E-2</v>
      </c>
      <c r="H57" t="s">
        <v>1</v>
      </c>
      <c r="I57" t="s">
        <v>108</v>
      </c>
      <c r="J57" t="s">
        <v>113</v>
      </c>
      <c r="M57" s="4" t="s">
        <v>133</v>
      </c>
      <c r="N57" s="5">
        <f ca="1">_xll.BDP("JYSSTL1 index","PX_LAST")</f>
        <v>8.0625</v>
      </c>
      <c r="P57">
        <v>-0.107</v>
      </c>
    </row>
    <row r="58" spans="1:16" ht="15.6" customHeight="1" x14ac:dyDescent="0.25">
      <c r="A58" s="1">
        <f ca="1">EDATE(Swap_Date,2)</f>
        <v>43611</v>
      </c>
      <c r="B58">
        <f ca="1">_xll.BDP(H58,"PX_LAST")</f>
        <v>-8.0829999999999999E-2</v>
      </c>
      <c r="C58" s="1">
        <f t="shared" ref="C58:C63" ca="1" si="4">nextimm(C57+1)</f>
        <v>43817</v>
      </c>
      <c r="D58">
        <f ca="1">100-_xll.BDP(I58,"PX_LAST")</f>
        <v>1.0000000000005116E-2</v>
      </c>
      <c r="E58" s="1">
        <f t="shared" ref="E58:E71" ca="1" si="5">EDATE(E57,12)</f>
        <v>45011</v>
      </c>
      <c r="F58">
        <f ca="1">_xll.BDP(J58,"PX_LAST")</f>
        <v>-5.5629999999999999E-2</v>
      </c>
      <c r="H58" t="s">
        <v>2</v>
      </c>
      <c r="I58" t="s">
        <v>109</v>
      </c>
      <c r="J58" t="s">
        <v>114</v>
      </c>
      <c r="M58" s="4" t="s">
        <v>134</v>
      </c>
      <c r="N58" s="6">
        <f ca="1">_xll.BDP("JYSSTL2 index","PX_LAST")</f>
        <v>8.25</v>
      </c>
      <c r="P58">
        <v>-0.13500000000000001</v>
      </c>
    </row>
    <row r="59" spans="1:16" x14ac:dyDescent="0.25">
      <c r="A59" s="1">
        <f ca="1">EDATE(Swap_Date,3)</f>
        <v>43642</v>
      </c>
      <c r="B59">
        <f ca="1">_xll.BDP(H59,"PX_LAST")</f>
        <v>-6.0670000000000002E-2</v>
      </c>
      <c r="C59" s="1">
        <f t="shared" ca="1" si="4"/>
        <v>43908</v>
      </c>
      <c r="D59">
        <f ca="1">100-_xll.BDP(I59,"PX_LAST")</f>
        <v>0</v>
      </c>
      <c r="E59" s="1">
        <f t="shared" ca="1" si="5"/>
        <v>45377</v>
      </c>
      <c r="F59">
        <f ca="1">_xll.BDP(J59,"PX_LAST")</f>
        <v>-4.4999999999999998E-2</v>
      </c>
      <c r="H59" t="s">
        <v>3</v>
      </c>
      <c r="I59" t="s">
        <v>110</v>
      </c>
      <c r="J59" t="s">
        <v>115</v>
      </c>
      <c r="P59">
        <v>-0.11466999999999999</v>
      </c>
    </row>
    <row r="60" spans="1:16" x14ac:dyDescent="0.25">
      <c r="A60" s="1">
        <f ca="1">EDATE(Swap_Date,6)</f>
        <v>43734</v>
      </c>
      <c r="B60">
        <f ca="1">_xll.BDP(H60,"PX_LAST")</f>
        <v>1.217E-2</v>
      </c>
      <c r="C60" s="1">
        <f t="shared" ca="1" si="4"/>
        <v>43999</v>
      </c>
      <c r="D60">
        <f ca="1">100-_xll.BDP(I60,"PX_LAST")</f>
        <v>-4.9999999999954525E-3</v>
      </c>
      <c r="E60" s="1">
        <f t="shared" ca="1" si="5"/>
        <v>45742</v>
      </c>
      <c r="F60">
        <f ca="1">_xll.BDP(J60,"PX_LAST")</f>
        <v>-2.6200000000000001E-2</v>
      </c>
      <c r="H60" t="s">
        <v>4</v>
      </c>
      <c r="I60" t="s">
        <v>111</v>
      </c>
      <c r="J60" t="s">
        <v>116</v>
      </c>
      <c r="P60">
        <v>-2.5000000000000001E-3</v>
      </c>
    </row>
    <row r="61" spans="1:16" x14ac:dyDescent="0.25">
      <c r="A61" s="1">
        <f ca="1">EDATE(Swap_Date,12)</f>
        <v>43916</v>
      </c>
      <c r="B61">
        <f ca="1">_xll.BDP(H61,"PX_LAST")</f>
        <v>9.4670000000000004E-2</v>
      </c>
      <c r="C61" s="1">
        <f t="shared" ca="1" si="4"/>
        <v>44090</v>
      </c>
      <c r="D61">
        <f ca="1">100-_xll.BDP(I61,"PX_LAST")</f>
        <v>-4.9999999999954525E-3</v>
      </c>
      <c r="E61" s="1">
        <f t="shared" ca="1" si="5"/>
        <v>46107</v>
      </c>
      <c r="F61">
        <f ca="1">_xll.BDP(J61,"PX_LAST")</f>
        <v>3.7399999999999998E-3</v>
      </c>
      <c r="H61" t="s">
        <v>5</v>
      </c>
      <c r="I61" t="s">
        <v>585</v>
      </c>
      <c r="J61" t="s">
        <v>117</v>
      </c>
      <c r="P61">
        <v>0.11167000000000001</v>
      </c>
    </row>
    <row r="62" spans="1:16" x14ac:dyDescent="0.25">
      <c r="C62" s="1">
        <f t="shared" ca="1" si="4"/>
        <v>44181</v>
      </c>
      <c r="D62">
        <f ca="1">100-_xll.BDP(I62,"PX_LAST")</f>
        <v>-4.9999999999954525E-3</v>
      </c>
      <c r="E62" s="1">
        <f t="shared" ca="1" si="5"/>
        <v>46472</v>
      </c>
      <c r="F62">
        <f ca="1">_xll.BDP(J62,"PX_LAST")</f>
        <v>2.7199999999999998E-2</v>
      </c>
      <c r="I62" t="s">
        <v>586</v>
      </c>
      <c r="J62" t="s">
        <v>118</v>
      </c>
    </row>
    <row r="63" spans="1:16" x14ac:dyDescent="0.25">
      <c r="C63" s="1">
        <f t="shared" ca="1" si="4"/>
        <v>44272</v>
      </c>
      <c r="D63">
        <f ca="1">100-_xll.BDP(I63,"PX_LAST")</f>
        <v>0</v>
      </c>
      <c r="E63" s="1">
        <f t="shared" ca="1" si="5"/>
        <v>46838</v>
      </c>
      <c r="F63">
        <f ca="1">_xll.BDP(J63,"PX_LAST")</f>
        <v>5.7599999999999998E-2</v>
      </c>
      <c r="I63" t="s">
        <v>110</v>
      </c>
      <c r="J63" t="s">
        <v>119</v>
      </c>
    </row>
    <row r="64" spans="1:16" x14ac:dyDescent="0.25">
      <c r="E64" s="1">
        <f t="shared" ca="1" si="5"/>
        <v>47203</v>
      </c>
      <c r="F64">
        <f ca="1">_xll.BDP(J64,"PX_LAST")</f>
        <v>9.6250000000000002E-2</v>
      </c>
      <c r="J64" t="s">
        <v>120</v>
      </c>
    </row>
    <row r="65" spans="1:10" x14ac:dyDescent="0.25">
      <c r="E65" s="1">
        <f t="shared" ca="1" si="5"/>
        <v>47568</v>
      </c>
      <c r="F65">
        <f ca="1">_xll.BDP(J65,"PX_LAST")</f>
        <v>0.13125000000000001</v>
      </c>
      <c r="J65" t="s">
        <v>121</v>
      </c>
    </row>
    <row r="66" spans="1:10" x14ac:dyDescent="0.25">
      <c r="E66" s="1">
        <f t="shared" ca="1" si="5"/>
        <v>47933</v>
      </c>
      <c r="F66">
        <f ca="1">_xll.BDP(J66,"PX_LAST")</f>
        <v>0.16625000000000001</v>
      </c>
      <c r="J66" t="s">
        <v>122</v>
      </c>
    </row>
    <row r="67" spans="1:10" x14ac:dyDescent="0.25">
      <c r="E67" s="1">
        <f t="shared" ca="1" si="5"/>
        <v>48299</v>
      </c>
      <c r="F67">
        <f ca="1">_xll.BDP(J67,"PX_LAST")</f>
        <v>0.20250000000000001</v>
      </c>
      <c r="J67" t="s">
        <v>123</v>
      </c>
    </row>
    <row r="68" spans="1:10" x14ac:dyDescent="0.25">
      <c r="E68" s="1">
        <f t="shared" ca="1" si="5"/>
        <v>48664</v>
      </c>
      <c r="F68">
        <f ca="1">_xll.BDP(J68,"PX_LAST")</f>
        <v>0.23624999999999999</v>
      </c>
      <c r="J68" t="s">
        <v>124</v>
      </c>
    </row>
    <row r="69" spans="1:10" x14ac:dyDescent="0.25">
      <c r="E69" s="1">
        <f t="shared" ca="1" si="5"/>
        <v>49029</v>
      </c>
      <c r="F69">
        <f ca="1">_xll.BDP(J69,"PX_LAST")</f>
        <v>0.26750000000000002</v>
      </c>
      <c r="J69" t="s">
        <v>125</v>
      </c>
    </row>
    <row r="70" spans="1:10" x14ac:dyDescent="0.25">
      <c r="E70" s="1">
        <f t="shared" ca="1" si="5"/>
        <v>49394</v>
      </c>
      <c r="F70">
        <f ca="1">_xll.BDP(J70,"PX_LAST")</f>
        <v>0.28349999999999997</v>
      </c>
      <c r="J70" t="s">
        <v>126</v>
      </c>
    </row>
    <row r="71" spans="1:10" x14ac:dyDescent="0.25">
      <c r="E71" s="1">
        <f t="shared" ca="1" si="5"/>
        <v>49760</v>
      </c>
      <c r="F71">
        <f ca="1">_xll.BDP(J71,"PX_LAST")</f>
        <v>0.31324999999999997</v>
      </c>
      <c r="J71" t="s">
        <v>127</v>
      </c>
    </row>
    <row r="72" spans="1:10" x14ac:dyDescent="0.25">
      <c r="E72" s="1">
        <f ca="1">EDATE(E71,36)</f>
        <v>50855</v>
      </c>
      <c r="F72">
        <f ca="1">_xll.BDP(J72,"PX_LAST")</f>
        <v>0.39150000000000001</v>
      </c>
      <c r="J72" t="s">
        <v>128</v>
      </c>
    </row>
    <row r="73" spans="1:10" x14ac:dyDescent="0.25">
      <c r="E73" s="1">
        <f ca="1">EDATE(E72,60)</f>
        <v>52682</v>
      </c>
      <c r="F73">
        <f ca="1">_xll.BDP(J73,"PX_LAST")</f>
        <v>0.48749999999999999</v>
      </c>
      <c r="J73" t="s">
        <v>129</v>
      </c>
    </row>
    <row r="74" spans="1:10" x14ac:dyDescent="0.25">
      <c r="E74" s="1">
        <f ca="1">EDATE(E73,60)</f>
        <v>54508</v>
      </c>
      <c r="F74">
        <f ca="1">_xll.BDP(J74,"PX_LAST")</f>
        <v>0.53249999999999997</v>
      </c>
      <c r="J74" t="s">
        <v>130</v>
      </c>
    </row>
    <row r="75" spans="1:10" x14ac:dyDescent="0.25">
      <c r="E75" s="1">
        <f ca="1">EDATE(E74,120)</f>
        <v>58160</v>
      </c>
      <c r="F75">
        <f ca="1">_xll.BDP(J75,"PX_LAST")</f>
        <v>0.57794000000000001</v>
      </c>
      <c r="J75" t="s">
        <v>131</v>
      </c>
    </row>
    <row r="76" spans="1:10" x14ac:dyDescent="0.25">
      <c r="E76" s="1">
        <f ca="1">EDATE(E75,12)</f>
        <v>58526</v>
      </c>
      <c r="F76">
        <f ca="1">F75</f>
        <v>0.57794000000000001</v>
      </c>
    </row>
    <row r="79" spans="1:10" x14ac:dyDescent="0.25">
      <c r="A79" t="s">
        <v>14</v>
      </c>
      <c r="B79">
        <v>6</v>
      </c>
      <c r="D79">
        <v>7</v>
      </c>
      <c r="F79">
        <v>100</v>
      </c>
    </row>
    <row r="80" spans="1:10" x14ac:dyDescent="0.25">
      <c r="A80" t="s">
        <v>29</v>
      </c>
      <c r="B80" t="s">
        <v>30</v>
      </c>
      <c r="C80" t="s">
        <v>31</v>
      </c>
      <c r="D80" t="s">
        <v>32</v>
      </c>
      <c r="E80" t="s">
        <v>33</v>
      </c>
      <c r="F80" t="s">
        <v>34</v>
      </c>
    </row>
    <row r="81" spans="1:10" x14ac:dyDescent="0.25">
      <c r="A81" s="1">
        <f ca="1">WORKDAY(Swap_Date,1)</f>
        <v>43551</v>
      </c>
      <c r="B81">
        <f ca="1">_xll.BDP(H81,"PX_LAST")</f>
        <v>0.67762999999999995</v>
      </c>
      <c r="C81" s="1">
        <f ca="1">nextimm(Swap_Date)</f>
        <v>43635</v>
      </c>
      <c r="D81">
        <f ca="1">IF(ISNUMBER(_xll.BDP(I81,"PX_LAST")),100-_xll.BDP(I81,"PX_LAST"),B84)</f>
        <v>0.84499999999999886</v>
      </c>
      <c r="E81" s="1">
        <f ca="1">EDATE(Swap_Date,24)</f>
        <v>44281</v>
      </c>
      <c r="F81">
        <f ca="1">_xll.BDP(J81,"PX_LAST")</f>
        <v>0.95116999999999996</v>
      </c>
      <c r="H81" t="s">
        <v>135</v>
      </c>
      <c r="I81" t="s">
        <v>144</v>
      </c>
      <c r="J81" t="s">
        <v>149</v>
      </c>
    </row>
    <row r="82" spans="1:10" x14ac:dyDescent="0.25">
      <c r="A82" s="1">
        <f ca="1">EDATE(Swap_Date,1)</f>
        <v>43581</v>
      </c>
      <c r="B82">
        <f ca="1">_xll.BDP(H82,"PX_LAST")</f>
        <v>0.73112999999999995</v>
      </c>
      <c r="C82" s="1">
        <f ca="1">nextimm(C81+1)</f>
        <v>43726</v>
      </c>
      <c r="D82">
        <f ca="1">IFERROR(100-_xll.BDP(I82,"PX_LAST"),0.5*(D81+D83))</f>
        <v>0.82999999999999829</v>
      </c>
      <c r="E82" s="1">
        <f ca="1">EDATE(E81,12)</f>
        <v>44646</v>
      </c>
      <c r="F82">
        <f ca="1">_xll.BDP(J82,"PX_LAST")</f>
        <v>0.98599999999999999</v>
      </c>
      <c r="H82" t="s">
        <v>136</v>
      </c>
      <c r="I82" t="s">
        <v>145</v>
      </c>
      <c r="J82" t="s">
        <v>150</v>
      </c>
    </row>
    <row r="83" spans="1:10" x14ac:dyDescent="0.25">
      <c r="A83" s="1">
        <f ca="1">EDATE(Swap_Date,2)</f>
        <v>43611</v>
      </c>
      <c r="B83">
        <f ca="1">_xll.BDP(H83,"PX_LAST")</f>
        <v>0.77688000000000001</v>
      </c>
      <c r="C83" s="1">
        <f t="shared" ref="C83:C88" ca="1" si="6">nextimm(C82+1)</f>
        <v>43817</v>
      </c>
      <c r="D83">
        <f ca="1">100-_xll.BDP(I83,"PX_LAST")</f>
        <v>0.83499999999999375</v>
      </c>
      <c r="E83" s="1">
        <f t="shared" ref="E83:E96" ca="1" si="7">EDATE(E82,12)</f>
        <v>45011</v>
      </c>
      <c r="F83">
        <f ca="1">_xll.BDP(J83,"PX_LAST")</f>
        <v>1.0249999999999999</v>
      </c>
      <c r="H83" t="s">
        <v>137</v>
      </c>
      <c r="I83" t="s">
        <v>146</v>
      </c>
      <c r="J83" t="s">
        <v>151</v>
      </c>
    </row>
    <row r="84" spans="1:10" x14ac:dyDescent="0.25">
      <c r="A84" s="1">
        <f ca="1">EDATE(Swap_Date,3)</f>
        <v>43642</v>
      </c>
      <c r="B84">
        <f ca="1">_xll.BDP(H84,"PX_LAST")</f>
        <v>0.83625000000000005</v>
      </c>
      <c r="C84" s="1">
        <f t="shared" ca="1" si="6"/>
        <v>43908</v>
      </c>
      <c r="D84">
        <f ca="1">100-_xll.BDP(I84,"PX_LAST")</f>
        <v>0.82999999999999829</v>
      </c>
      <c r="E84" s="1">
        <f t="shared" ca="1" si="7"/>
        <v>45377</v>
      </c>
      <c r="F84">
        <f ca="1">_xll.BDP(J84,"PX_LAST")</f>
        <v>1.06</v>
      </c>
      <c r="H84" t="s">
        <v>138</v>
      </c>
      <c r="I84" t="s">
        <v>147</v>
      </c>
      <c r="J84" t="s">
        <v>152</v>
      </c>
    </row>
    <row r="85" spans="1:10" x14ac:dyDescent="0.25">
      <c r="A85" s="1">
        <f ca="1">EDATE(Swap_Date,6)</f>
        <v>43734</v>
      </c>
      <c r="B85">
        <f ca="1">_xll.BDP(H85,"PX_LAST")</f>
        <v>0.94838</v>
      </c>
      <c r="C85" s="1">
        <f t="shared" ca="1" si="6"/>
        <v>43999</v>
      </c>
      <c r="D85">
        <f ca="1">100-_xll.BDP(I85,"PX_LAST")</f>
        <v>0.84999999999999432</v>
      </c>
      <c r="E85" s="1">
        <f t="shared" ca="1" si="7"/>
        <v>45742</v>
      </c>
      <c r="F85">
        <f ca="1">_xll.BDP(J85,"PX_LAST")</f>
        <v>1.09056</v>
      </c>
      <c r="H85" t="s">
        <v>139</v>
      </c>
      <c r="I85" t="s">
        <v>148</v>
      </c>
      <c r="J85" t="s">
        <v>153</v>
      </c>
    </row>
    <row r="86" spans="1:10" x14ac:dyDescent="0.25">
      <c r="A86" s="1">
        <f ca="1">EDATE(Swap_Date,12)</f>
        <v>43916</v>
      </c>
      <c r="B86">
        <f ca="1">_xll.BDP(H86,"PX_LAST")</f>
        <v>1.0611299999999999</v>
      </c>
      <c r="C86" s="1">
        <f t="shared" ca="1" si="6"/>
        <v>44090</v>
      </c>
      <c r="D86">
        <f ca="1">100-_xll.BDP(I86,"PX_LAST")</f>
        <v>0.87999999999999545</v>
      </c>
      <c r="E86" s="1">
        <f t="shared" ca="1" si="7"/>
        <v>46107</v>
      </c>
      <c r="F86">
        <f ca="1">_xll.BDP(J86,"PX_LAST")</f>
        <v>1.1205000000000001</v>
      </c>
      <c r="H86" t="s">
        <v>140</v>
      </c>
      <c r="I86" t="s">
        <v>587</v>
      </c>
      <c r="J86" t="s">
        <v>154</v>
      </c>
    </row>
    <row r="87" spans="1:10" x14ac:dyDescent="0.25">
      <c r="C87" s="1">
        <f t="shared" ca="1" si="6"/>
        <v>44181</v>
      </c>
      <c r="D87">
        <f ca="1">100-_xll.BDP(I87,"PX_LAST")</f>
        <v>0.90999999999999659</v>
      </c>
      <c r="E87" s="1">
        <f t="shared" ca="1" si="7"/>
        <v>46472</v>
      </c>
      <c r="F87">
        <f ca="1">_xll.BDP(J87,"PX_LAST")</f>
        <v>1.1499999999999999</v>
      </c>
      <c r="I87" t="s">
        <v>588</v>
      </c>
      <c r="J87" t="s">
        <v>155</v>
      </c>
    </row>
    <row r="88" spans="1:10" x14ac:dyDescent="0.25">
      <c r="C88" s="1">
        <f t="shared" ca="1" si="6"/>
        <v>44272</v>
      </c>
      <c r="D88">
        <f ca="1">100-_xll.BDP(I88,"PX_LAST")</f>
        <v>0.82999999999999829</v>
      </c>
      <c r="E88" s="1">
        <f t="shared" ca="1" si="7"/>
        <v>46838</v>
      </c>
      <c r="F88">
        <f ca="1">_xll.BDP(J88,"PX_LAST")</f>
        <v>1.179</v>
      </c>
      <c r="I88" t="s">
        <v>147</v>
      </c>
      <c r="J88" t="s">
        <v>156</v>
      </c>
    </row>
    <row r="89" spans="1:10" x14ac:dyDescent="0.25">
      <c r="E89" s="1">
        <f t="shared" ca="1" si="7"/>
        <v>47203</v>
      </c>
      <c r="F89">
        <f ca="1">_xll.BDP(J89,"PX_LAST")</f>
        <v>1.206</v>
      </c>
      <c r="J89" t="s">
        <v>28</v>
      </c>
    </row>
    <row r="90" spans="1:10" x14ac:dyDescent="0.25">
      <c r="E90" s="1">
        <f t="shared" ca="1" si="7"/>
        <v>47568</v>
      </c>
      <c r="F90">
        <f ca="1">_xll.BDP(J90,"PX_LAST")</f>
        <v>1.23211</v>
      </c>
      <c r="J90" t="s">
        <v>157</v>
      </c>
    </row>
    <row r="91" spans="1:10" x14ac:dyDescent="0.25">
      <c r="E91" s="1">
        <f t="shared" ca="1" si="7"/>
        <v>47933</v>
      </c>
      <c r="F91">
        <f ca="1">_xll.BDP(J91,"PX_LAST")</f>
        <v>1.2529999999999999</v>
      </c>
      <c r="J91" t="s">
        <v>158</v>
      </c>
    </row>
    <row r="92" spans="1:10" x14ac:dyDescent="0.25">
      <c r="E92" s="1">
        <f t="shared" ca="1" si="7"/>
        <v>48299</v>
      </c>
      <c r="F92">
        <f ca="1">_xll.BDP(J92,"PX_LAST")</f>
        <v>1.2729999999999999</v>
      </c>
      <c r="J92" t="s">
        <v>159</v>
      </c>
    </row>
    <row r="93" spans="1:10" x14ac:dyDescent="0.25">
      <c r="E93" s="1">
        <f t="shared" ca="1" si="7"/>
        <v>48664</v>
      </c>
      <c r="F93">
        <f ca="1">_xll.BDP(J93,"PX_LAST")</f>
        <v>1.2875000000000001</v>
      </c>
      <c r="J93" t="s">
        <v>160</v>
      </c>
    </row>
    <row r="94" spans="1:10" x14ac:dyDescent="0.25">
      <c r="E94" s="1">
        <f t="shared" ca="1" si="7"/>
        <v>49029</v>
      </c>
      <c r="F94">
        <f ca="1">_xll.BDP(J94,"PX_LAST")</f>
        <v>1.30125</v>
      </c>
      <c r="J94" t="s">
        <v>161</v>
      </c>
    </row>
    <row r="95" spans="1:10" x14ac:dyDescent="0.25">
      <c r="E95" s="1">
        <f t="shared" ca="1" si="7"/>
        <v>49394</v>
      </c>
      <c r="F95">
        <f ca="1">_xll.BDP(J95,"PX_LAST")</f>
        <v>1.3120000000000001</v>
      </c>
      <c r="J95" t="s">
        <v>162</v>
      </c>
    </row>
    <row r="96" spans="1:10" x14ac:dyDescent="0.25">
      <c r="E96" s="1">
        <f t="shared" ca="1" si="7"/>
        <v>49760</v>
      </c>
      <c r="F96">
        <f ca="1">_xll.BDP(J96,"PX_LAST")</f>
        <v>1.3212999999999999</v>
      </c>
      <c r="J96" t="s">
        <v>163</v>
      </c>
    </row>
    <row r="97" spans="1:10" x14ac:dyDescent="0.25">
      <c r="E97" s="1">
        <f ca="1">EDATE(E96,36)</f>
        <v>50855</v>
      </c>
      <c r="F97">
        <f ca="1">_xll.BDP(J97,"PX_LAST")</f>
        <v>1.3405</v>
      </c>
      <c r="J97" t="s">
        <v>164</v>
      </c>
    </row>
    <row r="98" spans="1:10" x14ac:dyDescent="0.25">
      <c r="E98" s="1">
        <f ca="1">EDATE(E97,60)</f>
        <v>52682</v>
      </c>
      <c r="F98">
        <f ca="1">_xll.BDP(J98,"PX_LAST")</f>
        <v>1.3469899999999999</v>
      </c>
      <c r="J98" t="s">
        <v>165</v>
      </c>
    </row>
    <row r="99" spans="1:10" x14ac:dyDescent="0.25">
      <c r="E99" s="1">
        <f ca="1">EDATE(E98,60)</f>
        <v>54508</v>
      </c>
      <c r="F99">
        <f ca="1">_xll.BDP(J99,"PX_LAST")</f>
        <v>1.3440000000000001</v>
      </c>
      <c r="J99" t="s">
        <v>166</v>
      </c>
    </row>
    <row r="100" spans="1:10" x14ac:dyDescent="0.25">
      <c r="E100" s="1">
        <f ca="1">EDATE(E99,120)</f>
        <v>58160</v>
      </c>
      <c r="F100">
        <f ca="1">_xll.BDP(J100,"PX_LAST")</f>
        <v>1.3187500000000001</v>
      </c>
      <c r="J100" t="s">
        <v>167</v>
      </c>
    </row>
    <row r="101" spans="1:10" x14ac:dyDescent="0.25">
      <c r="E101" s="1">
        <f ca="1">EDATE(E100,12)</f>
        <v>58526</v>
      </c>
      <c r="F101">
        <f ca="1">F100</f>
        <v>1.3187500000000001</v>
      </c>
    </row>
    <row r="104" spans="1:10" x14ac:dyDescent="0.25">
      <c r="A104" t="s">
        <v>247</v>
      </c>
      <c r="B104">
        <v>6</v>
      </c>
      <c r="D104">
        <v>7</v>
      </c>
      <c r="F104">
        <v>100</v>
      </c>
    </row>
    <row r="105" spans="1:10" x14ac:dyDescent="0.25">
      <c r="A105" t="s">
        <v>29</v>
      </c>
      <c r="B105" t="s">
        <v>30</v>
      </c>
      <c r="C105" t="s">
        <v>31</v>
      </c>
      <c r="D105" t="s">
        <v>32</v>
      </c>
      <c r="E105" t="s">
        <v>33</v>
      </c>
      <c r="F105" t="s">
        <v>34</v>
      </c>
    </row>
    <row r="106" spans="1:10" x14ac:dyDescent="0.25">
      <c r="A106" s="1">
        <f ca="1">WORKDAY(Swap_Date,1)</f>
        <v>43551</v>
      </c>
      <c r="B106">
        <f ca="1">_xll.BDP(H106,"PX_LAST")</f>
        <v>-0.78580000000000005</v>
      </c>
      <c r="C106" s="1">
        <f ca="1">nextimm(Swap_Date)</f>
        <v>43635</v>
      </c>
      <c r="D106">
        <f ca="1">IF(ISNUMBER(_xll.BDP(I106,"PX_LAST")),100-_xll.BDP(I106,"PX_LAST"),B109)</f>
        <v>-0.71999999999999886</v>
      </c>
      <c r="E106" s="1">
        <f ca="1">EDATE(Swap_Date,24)</f>
        <v>44281</v>
      </c>
      <c r="F106">
        <f ca="1">_xll.BDP(J106,"PX_LAST")</f>
        <v>-0.65690000000000004</v>
      </c>
      <c r="H106" t="s">
        <v>168</v>
      </c>
      <c r="I106" t="s">
        <v>177</v>
      </c>
      <c r="J106" t="s">
        <v>182</v>
      </c>
    </row>
    <row r="107" spans="1:10" x14ac:dyDescent="0.25">
      <c r="A107" s="1">
        <f ca="1">EDATE(Swap_Date,1)</f>
        <v>43581</v>
      </c>
      <c r="B107">
        <f ca="1">_xll.BDP(H107,"PX_LAST")</f>
        <v>-0.78380000000000005</v>
      </c>
      <c r="C107" s="1">
        <f ca="1">nextimm(C106+1)</f>
        <v>43726</v>
      </c>
      <c r="D107">
        <f ca="1">IFERROR(100-_xll.BDP(I107,"PX_LAST"),0.5*(D106+D108))</f>
        <v>-0.75</v>
      </c>
      <c r="E107" s="1">
        <f ca="1">EDATE(E106,12)</f>
        <v>44646</v>
      </c>
      <c r="F107">
        <f ca="1">_xll.BDP(J107,"PX_LAST")</f>
        <v>-0.6</v>
      </c>
      <c r="H107" t="s">
        <v>169</v>
      </c>
      <c r="I107" t="s">
        <v>178</v>
      </c>
      <c r="J107" t="s">
        <v>183</v>
      </c>
    </row>
    <row r="108" spans="1:10" x14ac:dyDescent="0.25">
      <c r="A108" s="1">
        <f ca="1">EDATE(Swap_Date,2)</f>
        <v>43611</v>
      </c>
      <c r="B108">
        <f ca="1">_xll.BDP(H108,"PX_LAST")</f>
        <v>-0.7258</v>
      </c>
      <c r="C108" s="1">
        <f t="shared" ref="C108:C113" ca="1" si="8">nextimm(C107+1)</f>
        <v>43817</v>
      </c>
      <c r="D108">
        <f ca="1">100-_xll.BDP(I108,"PX_LAST")</f>
        <v>-0.75</v>
      </c>
      <c r="E108" s="1">
        <f t="shared" ref="E108:E119" ca="1" si="9">EDATE(E107,12)</f>
        <v>45011</v>
      </c>
      <c r="F108">
        <f ca="1">_xll.BDP(J108,"PX_LAST")</f>
        <v>-0.52749999999999997</v>
      </c>
      <c r="H108" t="s">
        <v>170</v>
      </c>
      <c r="I108" t="s">
        <v>179</v>
      </c>
      <c r="J108" t="s">
        <v>184</v>
      </c>
    </row>
    <row r="109" spans="1:10" x14ac:dyDescent="0.25">
      <c r="A109" s="1">
        <f ca="1">EDATE(Swap_Date,3)</f>
        <v>43642</v>
      </c>
      <c r="B109">
        <f ca="1">_xll.BDP(H109,"PX_LAST")</f>
        <v>-0.70320000000000005</v>
      </c>
      <c r="C109" s="1">
        <f t="shared" ca="1" si="8"/>
        <v>43908</v>
      </c>
      <c r="D109">
        <f ca="1">100-_xll.BDP(I109,"PX_LAST")</f>
        <v>-0.73999999999999488</v>
      </c>
      <c r="E109" s="1">
        <f t="shared" ca="1" si="9"/>
        <v>45377</v>
      </c>
      <c r="F109">
        <f ca="1">_xll.BDP(J109,"PX_LAST")</f>
        <v>-0.44500000000000001</v>
      </c>
      <c r="H109" t="s">
        <v>171</v>
      </c>
      <c r="I109" t="s">
        <v>180</v>
      </c>
      <c r="J109" t="s">
        <v>185</v>
      </c>
    </row>
    <row r="110" spans="1:10" x14ac:dyDescent="0.25">
      <c r="A110" s="1">
        <f ca="1">EDATE(Swap_Date,6)</f>
        <v>43734</v>
      </c>
      <c r="B110">
        <f ca="1">_xll.BDP(H110,"PX_LAST")</f>
        <v>-0.63939999999999997</v>
      </c>
      <c r="C110" s="1">
        <f t="shared" ca="1" si="8"/>
        <v>43999</v>
      </c>
      <c r="D110">
        <f ca="1">100-_xll.BDP(I110,"PX_LAST")</f>
        <v>-0.73000000000000398</v>
      </c>
      <c r="E110" s="1">
        <f t="shared" ca="1" si="9"/>
        <v>45742</v>
      </c>
      <c r="F110">
        <f ca="1">_xll.BDP(J110,"PX_LAST")</f>
        <v>-0.35749999999999998</v>
      </c>
      <c r="H110" t="s">
        <v>172</v>
      </c>
      <c r="I110" t="s">
        <v>181</v>
      </c>
      <c r="J110" t="s">
        <v>186</v>
      </c>
    </row>
    <row r="111" spans="1:10" x14ac:dyDescent="0.25">
      <c r="A111" s="1">
        <f ca="1">EDATE(Swap_Date,12)</f>
        <v>43916</v>
      </c>
      <c r="B111">
        <f ca="1">_xll.BDP(H111,"PX_LAST")</f>
        <v>-0.50600000000000001</v>
      </c>
      <c r="C111" s="1">
        <f t="shared" ca="1" si="8"/>
        <v>44090</v>
      </c>
      <c r="D111">
        <f ca="1">100-_xll.BDP(I111,"PX_LAST")</f>
        <v>-0.70999999999999375</v>
      </c>
      <c r="E111" s="1">
        <f t="shared" ca="1" si="9"/>
        <v>46107</v>
      </c>
      <c r="F111">
        <f ca="1">_xll.BDP(J111,"PX_LAST")</f>
        <v>-0.26750000000000002</v>
      </c>
      <c r="H111" t="s">
        <v>173</v>
      </c>
      <c r="I111" t="s">
        <v>589</v>
      </c>
      <c r="J111" t="s">
        <v>187</v>
      </c>
    </row>
    <row r="112" spans="1:10" x14ac:dyDescent="0.25">
      <c r="C112" s="1">
        <f t="shared" ca="1" si="8"/>
        <v>44181</v>
      </c>
      <c r="D112">
        <f ca="1">100-_xll.BDP(I112,"PX_LAST")</f>
        <v>-0.68999999999999773</v>
      </c>
      <c r="E112" s="1">
        <f t="shared" ca="1" si="9"/>
        <v>46472</v>
      </c>
      <c r="F112">
        <f ca="1">_xll.BDP(J112,"PX_LAST")</f>
        <v>-0.17799999999999999</v>
      </c>
      <c r="I112" t="s">
        <v>590</v>
      </c>
      <c r="J112" t="s">
        <v>188</v>
      </c>
    </row>
    <row r="113" spans="3:10" x14ac:dyDescent="0.25">
      <c r="C113" s="1">
        <f t="shared" ca="1" si="8"/>
        <v>44272</v>
      </c>
      <c r="D113">
        <f ca="1">100-_xll.BDP(I113,"PX_LAST")</f>
        <v>-0.73999999999999488</v>
      </c>
      <c r="E113" s="1">
        <f t="shared" ca="1" si="9"/>
        <v>46838</v>
      </c>
      <c r="F113">
        <f ca="1">_xll.BDP(J113,"PX_LAST")</f>
        <v>-0.09</v>
      </c>
      <c r="I113" t="s">
        <v>180</v>
      </c>
      <c r="J113" t="s">
        <v>189</v>
      </c>
    </row>
    <row r="114" spans="3:10" x14ac:dyDescent="0.25">
      <c r="E114" s="1">
        <f t="shared" ca="1" si="9"/>
        <v>47203</v>
      </c>
      <c r="F114">
        <f ca="1">_xll.BDP(J114,"PX_LAST")</f>
        <v>-4.0000000000000001E-3</v>
      </c>
      <c r="J114" t="s">
        <v>190</v>
      </c>
    </row>
    <row r="115" spans="3:10" x14ac:dyDescent="0.25">
      <c r="E115" s="1">
        <f t="shared" ca="1" si="9"/>
        <v>47568</v>
      </c>
      <c r="F115">
        <f ca="1">_xll.BDP(J115,"PX_LAST")</f>
        <v>7.2499999999999995E-2</v>
      </c>
      <c r="J115" t="s">
        <v>191</v>
      </c>
    </row>
    <row r="116" spans="3:10" x14ac:dyDescent="0.25">
      <c r="E116" s="1">
        <f t="shared" ca="1" si="9"/>
        <v>47933</v>
      </c>
      <c r="F116">
        <f ca="1">_xll.BDP(J116,"PX_LAST")</f>
        <v>0.14099999999999999</v>
      </c>
      <c r="J116" t="s">
        <v>192</v>
      </c>
    </row>
    <row r="117" spans="3:10" x14ac:dyDescent="0.25">
      <c r="E117" s="1">
        <f t="shared" ca="1" si="9"/>
        <v>48299</v>
      </c>
      <c r="F117">
        <f ca="1">_xll.BDP(J117,"PX_LAST")</f>
        <v>0.2</v>
      </c>
      <c r="J117" t="s">
        <v>193</v>
      </c>
    </row>
    <row r="118" spans="3:10" x14ac:dyDescent="0.25">
      <c r="E118" s="1">
        <f t="shared" ca="1" si="9"/>
        <v>48664</v>
      </c>
      <c r="F118">
        <f ca="1">_xll.BDP(J118,"PX_LAST")</f>
        <v>0.2838</v>
      </c>
      <c r="J118" t="s">
        <v>194</v>
      </c>
    </row>
    <row r="119" spans="3:10" x14ac:dyDescent="0.25">
      <c r="E119" s="1">
        <f t="shared" ca="1" si="9"/>
        <v>49029</v>
      </c>
      <c r="F119">
        <f ca="1">_xll.BDP(J119,"PX_LAST")</f>
        <v>0.31</v>
      </c>
      <c r="J119" t="s">
        <v>195</v>
      </c>
    </row>
    <row r="120" spans="3:10" x14ac:dyDescent="0.25">
      <c r="E120" s="1">
        <f ca="1">EDATE(E119,60)</f>
        <v>50855</v>
      </c>
      <c r="F120">
        <f ca="1">_xll.BDP(J120,"PX_LAST")</f>
        <v>0.45350000000000001</v>
      </c>
      <c r="J120" t="s">
        <v>196</v>
      </c>
    </row>
    <row r="121" spans="3:10" x14ac:dyDescent="0.25">
      <c r="E121" s="1">
        <f ca="1">EDATE(E120,60)</f>
        <v>52682</v>
      </c>
      <c r="F121">
        <f ca="1">_xll.BDP(J121,"PX_LAST")</f>
        <v>0.49249999999999999</v>
      </c>
      <c r="J121" t="s">
        <v>197</v>
      </c>
    </row>
    <row r="122" spans="3:10" x14ac:dyDescent="0.25">
      <c r="E122" s="1">
        <f ca="1">EDATE(E121,60)</f>
        <v>54508</v>
      </c>
      <c r="F122">
        <f ca="1">_xll.BDP(J122,"PX_LAST")</f>
        <v>0.5</v>
      </c>
      <c r="J122" t="s">
        <v>198</v>
      </c>
    </row>
    <row r="123" spans="3:10" x14ac:dyDescent="0.25">
      <c r="E123" s="1">
        <f ca="1">EDATE(E122,120)</f>
        <v>58160</v>
      </c>
      <c r="F123">
        <f ca="1">_xll.BDP(J123,"PX_LAST")</f>
        <v>0.52249999999999996</v>
      </c>
      <c r="J123" t="s">
        <v>199</v>
      </c>
    </row>
    <row r="124" spans="3:10" x14ac:dyDescent="0.25">
      <c r="E124" s="1">
        <f ca="1">EDATE(E123,12)</f>
        <v>58526</v>
      </c>
      <c r="F124">
        <f ca="1">F123</f>
        <v>0.52249999999999996</v>
      </c>
    </row>
    <row r="125" spans="3:10" x14ac:dyDescent="0.25">
      <c r="E125" s="1"/>
    </row>
    <row r="129" spans="1:10" x14ac:dyDescent="0.25">
      <c r="A129" s="7" t="s">
        <v>21</v>
      </c>
      <c r="B129" s="8">
        <v>6</v>
      </c>
      <c r="C129" s="8"/>
      <c r="D129" s="8">
        <v>7</v>
      </c>
      <c r="E129" s="8"/>
      <c r="F129" s="8">
        <v>100</v>
      </c>
    </row>
    <row r="130" spans="1:10" x14ac:dyDescent="0.25">
      <c r="A130" t="s">
        <v>29</v>
      </c>
      <c r="B130" t="s">
        <v>30</v>
      </c>
      <c r="C130" t="s">
        <v>31</v>
      </c>
      <c r="D130" t="s">
        <v>32</v>
      </c>
      <c r="E130" t="s">
        <v>33</v>
      </c>
      <c r="F130" t="s">
        <v>34</v>
      </c>
    </row>
    <row r="131" spans="1:10" x14ac:dyDescent="0.25">
      <c r="A131" s="1">
        <f ca="1">WORKDAY(Swap_Date,1)</f>
        <v>43551</v>
      </c>
      <c r="B131">
        <f ca="1">_xll.BDP(H131,"PX_LAST")</f>
        <v>1.75</v>
      </c>
      <c r="C131" s="1">
        <f ca="1">nextimm(Swap_Date)</f>
        <v>43635</v>
      </c>
      <c r="D131">
        <f ca="1">IF(ISNUMBER(_xll.BDP(I131,"PX_LAST")),100-_xll.BDP(I131,"PX_LAST"),B134)</f>
        <v>1.9899999999999949</v>
      </c>
      <c r="E131" s="1">
        <f ca="1">EDATE(Swap_Date,24)</f>
        <v>44281</v>
      </c>
      <c r="F131">
        <f ca="1">_xll.BDP(J131,"PX_LAST")</f>
        <v>1.841</v>
      </c>
      <c r="H131" t="s">
        <v>200</v>
      </c>
      <c r="I131" t="s">
        <v>209</v>
      </c>
      <c r="J131" t="s">
        <v>214</v>
      </c>
    </row>
    <row r="132" spans="1:10" x14ac:dyDescent="0.25">
      <c r="A132" s="1">
        <f ca="1">EDATE(Swap_Date,1)</f>
        <v>43581</v>
      </c>
      <c r="B132">
        <f ca="1">_xll.BDP(H132,"PX_LAST")</f>
        <v>1.9725000000000001</v>
      </c>
      <c r="C132" s="1">
        <f ca="1">nextimm(C131+1)</f>
        <v>43726</v>
      </c>
      <c r="D132">
        <f ca="1">IFERROR(100-_xll.BDP(I132,"PX_LAST"),0.5*(D131+D133))</f>
        <v>1.8900000000000006</v>
      </c>
      <c r="E132" s="1">
        <f ca="1">EDATE(E131,12)</f>
        <v>44646</v>
      </c>
      <c r="F132">
        <f ca="1">_xll.BDP(J132,"PX_LAST")</f>
        <v>1.8048</v>
      </c>
      <c r="H132" t="s">
        <v>201</v>
      </c>
      <c r="I132" t="s">
        <v>210</v>
      </c>
      <c r="J132" t="s">
        <v>215</v>
      </c>
    </row>
    <row r="133" spans="1:10" x14ac:dyDescent="0.25">
      <c r="A133" s="1">
        <f ca="1">EDATE(Swap_Date,2)</f>
        <v>43611</v>
      </c>
      <c r="B133">
        <f ca="1">_xll.BDP(H133,"PX_LAST")</f>
        <v>2</v>
      </c>
      <c r="C133" s="1">
        <f t="shared" ref="C133:C138" ca="1" si="10">nextimm(C132+1)</f>
        <v>43817</v>
      </c>
      <c r="D133">
        <f ca="1">100-_xll.BDP(I133,"PX_LAST")</f>
        <v>1.8449999999999989</v>
      </c>
      <c r="E133" s="1">
        <f t="shared" ref="E133:E139" ca="1" si="11">EDATE(E132,12)</f>
        <v>45011</v>
      </c>
      <c r="F133">
        <f ca="1">_xll.BDP(J133,"PX_LAST")</f>
        <v>1.8043</v>
      </c>
      <c r="H133" t="s">
        <v>202</v>
      </c>
      <c r="I133" t="s">
        <v>211</v>
      </c>
      <c r="J133" t="s">
        <v>216</v>
      </c>
    </row>
    <row r="134" spans="1:10" x14ac:dyDescent="0.25">
      <c r="A134" s="1">
        <f ca="1">EDATE(Swap_Date,3)</f>
        <v>43642</v>
      </c>
      <c r="B134">
        <f ca="1">_xll.BDP(H134,"PX_LAST")</f>
        <v>2.01125</v>
      </c>
      <c r="C134" s="1">
        <f t="shared" ca="1" si="10"/>
        <v>43908</v>
      </c>
      <c r="D134">
        <f ca="1">100-_xll.BDP(I134,"PX_LAST")</f>
        <v>1.7800000000000011</v>
      </c>
      <c r="E134" s="1">
        <f t="shared" ca="1" si="11"/>
        <v>45377</v>
      </c>
      <c r="F134">
        <f ca="1">_xll.BDP(J134,"PX_LAST")</f>
        <v>1.8220000000000001</v>
      </c>
      <c r="H134" t="s">
        <v>203</v>
      </c>
      <c r="I134" t="s">
        <v>212</v>
      </c>
      <c r="J134" t="s">
        <v>217</v>
      </c>
    </row>
    <row r="135" spans="1:10" x14ac:dyDescent="0.25">
      <c r="A135" s="1">
        <f ca="1">EDATE(Swap_Date,6)</f>
        <v>43734</v>
      </c>
      <c r="B135">
        <f ca="1">_xll.BDP(H135,"PX_LAST")</f>
        <v>2.0775000000000001</v>
      </c>
      <c r="C135" s="1">
        <f t="shared" ca="1" si="10"/>
        <v>43999</v>
      </c>
      <c r="D135">
        <f ca="1">100-_xll.BDP(I135,"PX_LAST")</f>
        <v>1.7549999999999955</v>
      </c>
      <c r="E135" s="1">
        <f t="shared" ca="1" si="11"/>
        <v>45742</v>
      </c>
      <c r="F135">
        <f ca="1">_xll.BDP(J135,"PX_LAST")</f>
        <v>1.8444</v>
      </c>
      <c r="H135" t="s">
        <v>204</v>
      </c>
      <c r="I135" t="s">
        <v>213</v>
      </c>
      <c r="J135" t="s">
        <v>218</v>
      </c>
    </row>
    <row r="136" spans="1:10" x14ac:dyDescent="0.25">
      <c r="A136" s="1">
        <f ca="1">EDATE(Swap_Date,12)</f>
        <v>43916</v>
      </c>
      <c r="B136">
        <f ca="1">_xll.BDP(H136,"PX_LAST")</f>
        <v>2.2174999999999998</v>
      </c>
      <c r="C136" s="1">
        <f t="shared" ca="1" si="10"/>
        <v>44090</v>
      </c>
      <c r="D136">
        <f ca="1">100-_xll.BDP(I136,"PX_LAST")</f>
        <v>1.7450000000000045</v>
      </c>
      <c r="E136" s="1">
        <f t="shared" ca="1" si="11"/>
        <v>46107</v>
      </c>
      <c r="F136">
        <f ca="1">_xll.BDP(J136,"PX_LAST")</f>
        <v>1.8781000000000001</v>
      </c>
      <c r="H136" t="s">
        <v>205</v>
      </c>
      <c r="I136" t="s">
        <v>591</v>
      </c>
      <c r="J136" t="s">
        <v>219</v>
      </c>
    </row>
    <row r="137" spans="1:10" x14ac:dyDescent="0.25">
      <c r="C137" s="1">
        <f t="shared" ca="1" si="10"/>
        <v>44181</v>
      </c>
      <c r="D137">
        <f ca="1">100-_xll.BDP(I137,"PX_LAST")</f>
        <v>1.7399999999999949</v>
      </c>
      <c r="E137" s="1">
        <f t="shared" ca="1" si="11"/>
        <v>46472</v>
      </c>
      <c r="F137">
        <f ca="1">_xll.BDP(J137,"PX_LAST")</f>
        <v>1.9155</v>
      </c>
      <c r="I137" t="s">
        <v>592</v>
      </c>
      <c r="J137" t="s">
        <v>220</v>
      </c>
    </row>
    <row r="138" spans="1:10" x14ac:dyDescent="0.25">
      <c r="C138" s="1">
        <f t="shared" ca="1" si="10"/>
        <v>44272</v>
      </c>
      <c r="D138">
        <f ca="1">100-_xll.BDP(I138,"PX_LAST")</f>
        <v>1.7800000000000011</v>
      </c>
      <c r="E138" s="1">
        <f t="shared" ca="1" si="11"/>
        <v>46838</v>
      </c>
      <c r="F138">
        <f ca="1">_xll.BDP(J138,"PX_LAST")</f>
        <v>1.9553</v>
      </c>
      <c r="I138" t="s">
        <v>212</v>
      </c>
      <c r="J138" t="s">
        <v>221</v>
      </c>
    </row>
    <row r="139" spans="1:10" x14ac:dyDescent="0.25">
      <c r="E139" s="1">
        <f t="shared" ca="1" si="11"/>
        <v>47203</v>
      </c>
      <c r="F139">
        <f ca="1">_xll.BDP(J139,"PX_LAST")</f>
        <v>1.9987999999999999</v>
      </c>
      <c r="J139" t="s">
        <v>222</v>
      </c>
    </row>
    <row r="140" spans="1:10" x14ac:dyDescent="0.25">
      <c r="E140" s="1">
        <f ca="1">EDATE(E139,24)</f>
        <v>47933</v>
      </c>
      <c r="F140">
        <f ca="1">_xll.BDP(J140,"PX_LAST")</f>
        <v>2.0851999999999999</v>
      </c>
      <c r="J140" t="s">
        <v>223</v>
      </c>
    </row>
    <row r="141" spans="1:10" x14ac:dyDescent="0.25">
      <c r="E141" s="1">
        <f ca="1">EDATE(E140,36)</f>
        <v>49029</v>
      </c>
      <c r="F141">
        <f ca="1">_xll.BDP(J141,"PX_LAST")</f>
        <v>2.1928999999999998</v>
      </c>
      <c r="J141" t="s">
        <v>224</v>
      </c>
    </row>
    <row r="142" spans="1:10" x14ac:dyDescent="0.25">
      <c r="E142" s="1">
        <f ca="1">EDATE(E141,60)</f>
        <v>50855</v>
      </c>
      <c r="F142">
        <f ca="1">_xll.BDP(J142,"PX_LAST")</f>
        <v>2.2850000000000001</v>
      </c>
      <c r="J142" t="s">
        <v>225</v>
      </c>
    </row>
    <row r="143" spans="1:10" x14ac:dyDescent="0.25">
      <c r="E143" s="1">
        <f ca="1">EDATE(E142,60)</f>
        <v>52682</v>
      </c>
      <c r="F143">
        <f ca="1">_xll.BDP(J143,"PX_LAST")</f>
        <v>2.2839999999999998</v>
      </c>
      <c r="J143" t="s">
        <v>226</v>
      </c>
    </row>
    <row r="144" spans="1:10" x14ac:dyDescent="0.25">
      <c r="E144" s="1">
        <f ca="1">EDATE(E143,60)</f>
        <v>54508</v>
      </c>
      <c r="F144">
        <f ca="1">_xll.BDP(J144,"PX_LAST")</f>
        <v>2.2669999999999999</v>
      </c>
      <c r="J144" t="s">
        <v>227</v>
      </c>
    </row>
    <row r="145" spans="1:16" x14ac:dyDescent="0.25">
      <c r="E145" s="1">
        <f ca="1">EDATE(E144,120)</f>
        <v>58160</v>
      </c>
      <c r="F145">
        <f ca="1">_xll.BDP(J145,"PX_LAST")</f>
        <v>2.2574000000000001</v>
      </c>
      <c r="J145" t="s">
        <v>228</v>
      </c>
    </row>
    <row r="146" spans="1:16" x14ac:dyDescent="0.25">
      <c r="E146" s="1">
        <f ca="1">EDATE(E145,12)</f>
        <v>58526</v>
      </c>
      <c r="F146">
        <f ca="1">F145</f>
        <v>2.2574000000000001</v>
      </c>
    </row>
    <row r="154" spans="1:16" x14ac:dyDescent="0.25">
      <c r="A154" s="7" t="s">
        <v>230</v>
      </c>
      <c r="B154" s="8">
        <v>6</v>
      </c>
      <c r="C154" s="8"/>
      <c r="D154" s="8">
        <v>0</v>
      </c>
      <c r="E154" s="8"/>
      <c r="F154" s="8">
        <v>100</v>
      </c>
      <c r="H154" t="s">
        <v>368</v>
      </c>
      <c r="K154" t="s">
        <v>369</v>
      </c>
      <c r="L154">
        <f ca="1">F165-F160</f>
        <v>0.63949999999999996</v>
      </c>
    </row>
    <row r="155" spans="1:16" x14ac:dyDescent="0.25">
      <c r="A155" t="s">
        <v>29</v>
      </c>
      <c r="B155" t="s">
        <v>30</v>
      </c>
      <c r="C155" t="s">
        <v>31</v>
      </c>
      <c r="D155" t="s">
        <v>32</v>
      </c>
      <c r="E155" t="s">
        <v>33</v>
      </c>
      <c r="F155" t="s">
        <v>34</v>
      </c>
    </row>
    <row r="156" spans="1:16" x14ac:dyDescent="0.25">
      <c r="A156" s="1">
        <f ca="1">WORKDAY(Swap_Date,1)</f>
        <v>43551</v>
      </c>
      <c r="B156">
        <f ca="1">B157</f>
        <v>6.4137000000000004</v>
      </c>
      <c r="C156" s="1">
        <f ca="1">nextimm(Swap_Date)</f>
        <v>43635</v>
      </c>
      <c r="D156" t="s">
        <v>246</v>
      </c>
      <c r="E156" s="1">
        <f ca="1">EDATE(Swap_Date,12)</f>
        <v>43916</v>
      </c>
      <c r="F156">
        <f ca="1">_xll.BDP(J156,"PX_LAST")</f>
        <v>6.6448</v>
      </c>
      <c r="J156" t="s">
        <v>236</v>
      </c>
      <c r="L156" s="18"/>
      <c r="N156">
        <v>5.7073999999999998</v>
      </c>
      <c r="O156">
        <f ca="1">F156-N156</f>
        <v>0.93740000000000023</v>
      </c>
      <c r="P156">
        <f ca="1">F156-O156</f>
        <v>5.7073999999999998</v>
      </c>
    </row>
    <row r="157" spans="1:16" x14ac:dyDescent="0.25">
      <c r="A157" s="1">
        <f ca="1">EDATE(Swap_Date,1)</f>
        <v>43581</v>
      </c>
      <c r="B157">
        <f ca="1">_xll.BDP(H157,"PX_LAST")</f>
        <v>6.4137000000000004</v>
      </c>
      <c r="C157" s="1">
        <f ca="1">nextimm(C156+1)</f>
        <v>43726</v>
      </c>
      <c r="D157" t="s">
        <v>246</v>
      </c>
      <c r="E157" s="1">
        <f ca="1">EDATE(E156,12)</f>
        <v>44281</v>
      </c>
      <c r="F157">
        <f ca="1">_xll.BDP(J157,"PX_LAST")</f>
        <v>7.4702000000000002</v>
      </c>
      <c r="G157">
        <f t="shared" ref="G157:G164" ca="1" si="12">100*(F157-F156)</f>
        <v>82.54000000000002</v>
      </c>
      <c r="H157" t="s">
        <v>231</v>
      </c>
      <c r="J157" t="s">
        <v>237</v>
      </c>
      <c r="N157">
        <v>6.5526</v>
      </c>
      <c r="O157">
        <f t="shared" ref="O157:O164" ca="1" si="13">F157-N157</f>
        <v>0.91760000000000019</v>
      </c>
      <c r="P157">
        <f t="shared" ref="P157:P172" ca="1" si="14">F157-O157</f>
        <v>6.5526</v>
      </c>
    </row>
    <row r="158" spans="1:16" x14ac:dyDescent="0.25">
      <c r="A158" s="1">
        <f ca="1">EDATE(A157,1)</f>
        <v>43611</v>
      </c>
      <c r="B158">
        <f ca="1">$B$157</f>
        <v>6.4137000000000004</v>
      </c>
      <c r="C158" s="1">
        <f t="shared" ref="C158:C163" ca="1" si="15">nextimm(C157+1)</f>
        <v>43817</v>
      </c>
      <c r="D158" t="s">
        <v>246</v>
      </c>
      <c r="E158" s="1">
        <f ca="1">EDATE(E157,12)</f>
        <v>44646</v>
      </c>
      <c r="F158">
        <f ca="1">_xll.BDP(J158,"PX_LAST")</f>
        <v>8.1107999999999993</v>
      </c>
      <c r="G158">
        <f t="shared" ca="1" si="12"/>
        <v>64.059999999999917</v>
      </c>
      <c r="H158" t="s">
        <v>232</v>
      </c>
      <c r="J158" t="s">
        <v>238</v>
      </c>
      <c r="N158">
        <v>7.1788999999999996</v>
      </c>
      <c r="O158">
        <f t="shared" ca="1" si="13"/>
        <v>0.93189999999999973</v>
      </c>
      <c r="P158">
        <f t="shared" ca="1" si="14"/>
        <v>7.1788999999999996</v>
      </c>
    </row>
    <row r="159" spans="1:16" x14ac:dyDescent="0.25">
      <c r="A159" s="1">
        <f ca="1">EDATE(A158,1)</f>
        <v>43642</v>
      </c>
      <c r="B159">
        <f ca="1">_xll.BDP(H159,"PX_LAST")</f>
        <v>6.4390000000000001</v>
      </c>
      <c r="C159" s="1">
        <f t="shared" ca="1" si="15"/>
        <v>43908</v>
      </c>
      <c r="D159" t="s">
        <v>246</v>
      </c>
      <c r="E159" s="1">
        <f t="shared" ref="E159:E165" ca="1" si="16">EDATE(E158,12)</f>
        <v>45011</v>
      </c>
      <c r="F159">
        <f ca="1">_xll.BDP(J159,"PX_LAST")</f>
        <v>8.5625</v>
      </c>
      <c r="G159">
        <f t="shared" ca="1" si="12"/>
        <v>45.170000000000066</v>
      </c>
      <c r="H159" t="s">
        <v>233</v>
      </c>
      <c r="J159" t="s">
        <v>239</v>
      </c>
      <c r="N159">
        <v>7.5522999999999998</v>
      </c>
      <c r="O159">
        <f t="shared" ca="1" si="13"/>
        <v>1.0102000000000002</v>
      </c>
      <c r="P159">
        <f t="shared" ca="1" si="14"/>
        <v>7.5522999999999998</v>
      </c>
    </row>
    <row r="160" spans="1:16" x14ac:dyDescent="0.25">
      <c r="A160" s="1">
        <f ca="1">EDATE(A159,3)</f>
        <v>43734</v>
      </c>
      <c r="B160">
        <f ca="1">_xll.BDP(H160,"PX_LAST")</f>
        <v>6.4877000000000002</v>
      </c>
      <c r="C160" s="1">
        <f t="shared" ca="1" si="15"/>
        <v>43999</v>
      </c>
      <c r="D160" t="s">
        <v>246</v>
      </c>
      <c r="E160" s="1">
        <f t="shared" ca="1" si="16"/>
        <v>45377</v>
      </c>
      <c r="F160">
        <f ca="1">_xll.BDP(J160,"PX_LAST")</f>
        <v>8.8916000000000004</v>
      </c>
      <c r="G160">
        <f t="shared" ca="1" si="12"/>
        <v>32.910000000000039</v>
      </c>
      <c r="H160" t="s">
        <v>234</v>
      </c>
      <c r="J160" t="s">
        <v>240</v>
      </c>
      <c r="N160">
        <v>7.8151999999999999</v>
      </c>
      <c r="O160">
        <f t="shared" ca="1" si="13"/>
        <v>1.0764000000000005</v>
      </c>
      <c r="P160">
        <f t="shared" ca="1" si="14"/>
        <v>7.8151999999999999</v>
      </c>
    </row>
    <row r="161" spans="1:16" x14ac:dyDescent="0.25">
      <c r="A161" s="1">
        <f ca="1">EDATE(A160,3)</f>
        <v>43825</v>
      </c>
      <c r="B161">
        <f ca="1">_xll.BDP(H161,"PX_LAST")</f>
        <v>6.5598999999999998</v>
      </c>
      <c r="C161" s="1">
        <f t="shared" ca="1" si="15"/>
        <v>44090</v>
      </c>
      <c r="D161" t="s">
        <v>246</v>
      </c>
      <c r="E161" s="1">
        <f t="shared" ca="1" si="16"/>
        <v>45742</v>
      </c>
      <c r="F161">
        <f ca="1">_xll.BDP(J161,"PX_LAST")</f>
        <v>9.0885999999999996</v>
      </c>
      <c r="G161">
        <f t="shared" ca="1" si="12"/>
        <v>19.699999999999918</v>
      </c>
      <c r="H161" t="s">
        <v>235</v>
      </c>
      <c r="J161" t="s">
        <v>241</v>
      </c>
      <c r="N161">
        <v>8.0724999999999998</v>
      </c>
      <c r="O161">
        <f t="shared" ca="1" si="13"/>
        <v>1.0160999999999998</v>
      </c>
      <c r="P161">
        <f t="shared" ca="1" si="14"/>
        <v>8.0724999999999998</v>
      </c>
    </row>
    <row r="162" spans="1:16" x14ac:dyDescent="0.25">
      <c r="C162" s="1">
        <f t="shared" ca="1" si="15"/>
        <v>44181</v>
      </c>
      <c r="D162" t="s">
        <v>246</v>
      </c>
      <c r="E162" s="1">
        <f t="shared" ca="1" si="16"/>
        <v>46107</v>
      </c>
      <c r="F162">
        <f ca="1">_xll.BDP(J162,"PX_LAST")</f>
        <v>9.2514000000000003</v>
      </c>
      <c r="G162">
        <f t="shared" ca="1" si="12"/>
        <v>16.280000000000072</v>
      </c>
      <c r="J162" t="s">
        <v>242</v>
      </c>
      <c r="N162">
        <v>8.2072000000000003</v>
      </c>
      <c r="O162">
        <f t="shared" ca="1" si="13"/>
        <v>1.0442</v>
      </c>
      <c r="P162">
        <f t="shared" ca="1" si="14"/>
        <v>8.2072000000000003</v>
      </c>
    </row>
    <row r="163" spans="1:16" x14ac:dyDescent="0.25">
      <c r="C163" s="1">
        <f t="shared" ca="1" si="15"/>
        <v>44272</v>
      </c>
      <c r="D163" t="s">
        <v>246</v>
      </c>
      <c r="E163" s="1">
        <f t="shared" ca="1" si="16"/>
        <v>46472</v>
      </c>
      <c r="F163">
        <f ca="1">_xll.BDP(J163,"PX_LAST")</f>
        <v>9.3999000000000006</v>
      </c>
      <c r="G163">
        <f t="shared" ca="1" si="12"/>
        <v>14.85000000000003</v>
      </c>
      <c r="J163" t="s">
        <v>243</v>
      </c>
      <c r="N163">
        <v>8.3289000000000009</v>
      </c>
      <c r="O163">
        <f t="shared" ca="1" si="13"/>
        <v>1.0709999999999997</v>
      </c>
      <c r="P163">
        <f t="shared" ca="1" si="14"/>
        <v>8.3289000000000009</v>
      </c>
    </row>
    <row r="164" spans="1:16" x14ac:dyDescent="0.25">
      <c r="E164" s="1">
        <f t="shared" ca="1" si="16"/>
        <v>46838</v>
      </c>
      <c r="F164">
        <f ca="1">_xll.BDP(J164,"PX_LAST")</f>
        <v>9.4880999999999993</v>
      </c>
      <c r="G164">
        <f t="shared" ca="1" si="12"/>
        <v>8.8199999999998724</v>
      </c>
      <c r="J164" t="s">
        <v>244</v>
      </c>
      <c r="N164">
        <v>8.3926999999999996</v>
      </c>
      <c r="O164">
        <f t="shared" ca="1" si="13"/>
        <v>1.0953999999999997</v>
      </c>
      <c r="P164">
        <f t="shared" ca="1" si="14"/>
        <v>8.3926999999999996</v>
      </c>
    </row>
    <row r="165" spans="1:16" x14ac:dyDescent="0.25">
      <c r="E165" s="1">
        <f t="shared" ca="1" si="16"/>
        <v>47203</v>
      </c>
      <c r="F165">
        <f ca="1">_xll.BDP(J165,"PX_LAST")</f>
        <v>9.5311000000000003</v>
      </c>
      <c r="G165">
        <f ca="1">100*(F165-F164)</f>
        <v>4.3000000000001037</v>
      </c>
      <c r="J165" t="s">
        <v>245</v>
      </c>
      <c r="O165">
        <f ca="1">O164</f>
        <v>1.0953999999999997</v>
      </c>
      <c r="P165">
        <f t="shared" ca="1" si="14"/>
        <v>8.4357000000000006</v>
      </c>
    </row>
    <row r="166" spans="1:16" x14ac:dyDescent="0.25">
      <c r="E166" s="1">
        <f ca="1">EDATE(E165,24)</f>
        <v>47933</v>
      </c>
      <c r="F166">
        <f ca="1">F165+(E166-E165)/(E167-E165)*(F167-F165)</f>
        <v>9.6589299561883912</v>
      </c>
      <c r="J166" t="s">
        <v>245</v>
      </c>
      <c r="O166">
        <f t="shared" ref="O166:O172" ca="1" si="17">O165</f>
        <v>1.0953999999999997</v>
      </c>
      <c r="P166">
        <f t="shared" ca="1" si="14"/>
        <v>8.5635299561883915</v>
      </c>
    </row>
    <row r="167" spans="1:16" x14ac:dyDescent="0.25">
      <c r="E167" s="1">
        <f ca="1">EDATE(E166,36)</f>
        <v>49029</v>
      </c>
      <c r="F167">
        <f ca="1">F165+(F165-F160)/2</f>
        <v>9.8508500000000012</v>
      </c>
      <c r="J167" t="s">
        <v>245</v>
      </c>
      <c r="O167">
        <f t="shared" ca="1" si="17"/>
        <v>1.0953999999999997</v>
      </c>
      <c r="P167">
        <f t="shared" ca="1" si="14"/>
        <v>8.7554500000000015</v>
      </c>
    </row>
    <row r="168" spans="1:16" x14ac:dyDescent="0.25">
      <c r="E168" s="1">
        <f ca="1">EDATE(E167,60)</f>
        <v>50855</v>
      </c>
      <c r="F168">
        <f ca="1">F167+(F165-F160)/4</f>
        <v>10.010725000000001</v>
      </c>
      <c r="J168" t="s">
        <v>245</v>
      </c>
      <c r="O168">
        <f t="shared" ca="1" si="17"/>
        <v>1.0953999999999997</v>
      </c>
      <c r="P168">
        <f t="shared" ca="1" si="14"/>
        <v>8.9153250000000011</v>
      </c>
    </row>
    <row r="169" spans="1:16" x14ac:dyDescent="0.25">
      <c r="E169" s="1">
        <f ca="1">EDATE(E168,60)</f>
        <v>52682</v>
      </c>
      <c r="F169">
        <f ca="1">F168+(F165-F160)/8</f>
        <v>10.090662500000001</v>
      </c>
      <c r="J169" t="s">
        <v>245</v>
      </c>
      <c r="O169">
        <f t="shared" ca="1" si="17"/>
        <v>1.0953999999999997</v>
      </c>
      <c r="P169">
        <f t="shared" ca="1" si="14"/>
        <v>8.9952625000000008</v>
      </c>
    </row>
    <row r="170" spans="1:16" x14ac:dyDescent="0.25">
      <c r="E170" s="1">
        <f ca="1">EDATE(E169,60)</f>
        <v>54508</v>
      </c>
      <c r="F170">
        <f ca="1">F169+(F165-F160)/16</f>
        <v>10.13063125</v>
      </c>
      <c r="J170" t="s">
        <v>245</v>
      </c>
      <c r="O170">
        <f t="shared" ca="1" si="17"/>
        <v>1.0953999999999997</v>
      </c>
      <c r="P170">
        <f t="shared" ca="1" si="14"/>
        <v>9.0352312500000007</v>
      </c>
    </row>
    <row r="171" spans="1:16" x14ac:dyDescent="0.25">
      <c r="E171" s="1">
        <f ca="1">EDATE(E170,120)</f>
        <v>58160</v>
      </c>
      <c r="F171">
        <f ca="1">F170+(F165-F160)/64</f>
        <v>10.1406234375</v>
      </c>
      <c r="J171" t="s">
        <v>245</v>
      </c>
      <c r="O171">
        <f t="shared" ca="1" si="17"/>
        <v>1.0953999999999997</v>
      </c>
      <c r="P171">
        <f t="shared" ca="1" si="14"/>
        <v>9.0452234375000007</v>
      </c>
    </row>
    <row r="172" spans="1:16" x14ac:dyDescent="0.25">
      <c r="E172" s="1">
        <f ca="1">EDATE(E171,12)</f>
        <v>58526</v>
      </c>
      <c r="F172">
        <f ca="1">F171</f>
        <v>10.1406234375</v>
      </c>
      <c r="J172" t="s">
        <v>245</v>
      </c>
      <c r="O172">
        <f t="shared" ca="1" si="17"/>
        <v>1.0953999999999997</v>
      </c>
      <c r="P172">
        <f t="shared" ca="1" si="14"/>
        <v>9.0452234375000007</v>
      </c>
    </row>
    <row r="179" spans="1:10" x14ac:dyDescent="0.25">
      <c r="A179" t="s">
        <v>510</v>
      </c>
      <c r="B179">
        <v>8</v>
      </c>
      <c r="D179">
        <v>0</v>
      </c>
      <c r="F179">
        <v>100</v>
      </c>
    </row>
    <row r="180" spans="1:10" x14ac:dyDescent="0.25">
      <c r="A180" t="s">
        <v>29</v>
      </c>
      <c r="B180" t="s">
        <v>30</v>
      </c>
      <c r="C180" t="s">
        <v>31</v>
      </c>
      <c r="D180" t="s">
        <v>32</v>
      </c>
      <c r="E180" t="s">
        <v>33</v>
      </c>
      <c r="F180" t="s">
        <v>34</v>
      </c>
    </row>
    <row r="181" spans="1:10" x14ac:dyDescent="0.25">
      <c r="A181" s="1">
        <f ca="1">WORKDAY(Swap_Date,1)</f>
        <v>43551</v>
      </c>
      <c r="B181">
        <f ca="1">_xll.BDP(H181,"PX_LAST")</f>
        <v>4.25</v>
      </c>
      <c r="C181" s="1">
        <f ca="1">nextimm(Swap_Date)</f>
        <v>43635</v>
      </c>
      <c r="D181" t="s">
        <v>246</v>
      </c>
      <c r="E181" s="1">
        <f ca="1">EDATE(Swap_Date,24)</f>
        <v>44281</v>
      </c>
      <c r="F181">
        <f ca="1">_xll.BDP(J181,"PX_LAST")</f>
        <v>4.46</v>
      </c>
      <c r="H181" t="s">
        <v>511</v>
      </c>
      <c r="J181" t="s">
        <v>512</v>
      </c>
    </row>
    <row r="182" spans="1:10" x14ac:dyDescent="0.25">
      <c r="A182" s="1">
        <f ca="1">EDATE(Swap_Date,1)</f>
        <v>43581</v>
      </c>
      <c r="B182">
        <f ca="1">_xll.BDP(H182,"PX_LAST")</f>
        <v>4.12</v>
      </c>
      <c r="C182" s="1">
        <f ca="1">nextimm(C181+1)</f>
        <v>43726</v>
      </c>
      <c r="D182" t="s">
        <v>246</v>
      </c>
      <c r="E182" s="1">
        <f ca="1">EDATE(E181,12)</f>
        <v>44646</v>
      </c>
      <c r="F182">
        <f ca="1">_xll.BDP(J182,"PX_LAST")</f>
        <v>4.7</v>
      </c>
      <c r="H182" t="s">
        <v>531</v>
      </c>
      <c r="J182" t="s">
        <v>513</v>
      </c>
    </row>
    <row r="183" spans="1:10" x14ac:dyDescent="0.25">
      <c r="A183" s="1">
        <f ca="1">EDATE(Swap_Date,2)</f>
        <v>43611</v>
      </c>
      <c r="B183">
        <f ca="1">0.5*(B182+B184)</f>
        <v>4.1274999999999995</v>
      </c>
      <c r="C183" s="1">
        <f t="shared" ref="C183:C188" ca="1" si="18">nextimm(C182+1)</f>
        <v>43817</v>
      </c>
      <c r="D183" t="s">
        <v>246</v>
      </c>
      <c r="E183" s="1">
        <f t="shared" ref="E183:E196" ca="1" si="19">EDATE(E182,12)</f>
        <v>45011</v>
      </c>
      <c r="F183">
        <f ca="1">_xll.BDP(J183,"PX_LAST")</f>
        <v>4.92</v>
      </c>
      <c r="J183" t="s">
        <v>514</v>
      </c>
    </row>
    <row r="184" spans="1:10" x14ac:dyDescent="0.25">
      <c r="A184" s="1">
        <f ca="1">EDATE(Swap_Date,3)</f>
        <v>43642</v>
      </c>
      <c r="B184">
        <f ca="1">_xll.BDP(H184,"PX_LAST")</f>
        <v>4.1349999999999998</v>
      </c>
      <c r="C184" s="1">
        <f t="shared" ca="1" si="18"/>
        <v>43908</v>
      </c>
      <c r="D184" t="s">
        <v>246</v>
      </c>
      <c r="E184" s="1">
        <f t="shared" ca="1" si="19"/>
        <v>45377</v>
      </c>
      <c r="F184">
        <f ca="1">_xll.BDP(J184,"PX_LAST")</f>
        <v>5.09</v>
      </c>
      <c r="H184" t="s">
        <v>532</v>
      </c>
      <c r="J184" t="s">
        <v>515</v>
      </c>
    </row>
    <row r="185" spans="1:10" x14ac:dyDescent="0.25">
      <c r="A185" s="1">
        <f ca="1">EDATE(Swap_Date,9)</f>
        <v>43825</v>
      </c>
      <c r="B185">
        <f ca="1">_xll.BDP(H185,"PX_LAST")</f>
        <v>4.22</v>
      </c>
      <c r="C185" s="1">
        <f t="shared" ca="1" si="18"/>
        <v>43999</v>
      </c>
      <c r="D185" t="s">
        <v>246</v>
      </c>
      <c r="E185" s="1">
        <f t="shared" ca="1" si="19"/>
        <v>45742</v>
      </c>
      <c r="F185">
        <f ca="1">_xll.BDP(J185,"PX_LAST")</f>
        <v>5.27</v>
      </c>
      <c r="H185" t="s">
        <v>533</v>
      </c>
      <c r="J185" t="s">
        <v>516</v>
      </c>
    </row>
    <row r="186" spans="1:10" x14ac:dyDescent="0.25">
      <c r="A186" s="1">
        <f ca="1">EDATE(Swap_Date,12)</f>
        <v>43916</v>
      </c>
      <c r="B186">
        <f ca="1">_xll.BDP(H186,"PX_LAST")</f>
        <v>4.28</v>
      </c>
      <c r="C186" s="1">
        <f t="shared" ca="1" si="18"/>
        <v>44090</v>
      </c>
      <c r="D186" t="s">
        <v>246</v>
      </c>
      <c r="E186" s="1">
        <f t="shared" ca="1" si="19"/>
        <v>46107</v>
      </c>
      <c r="F186">
        <f ca="1">_xll.BDP(J186,"PX_LAST")</f>
        <v>5.39</v>
      </c>
      <c r="H186" t="s">
        <v>534</v>
      </c>
      <c r="J186" t="s">
        <v>517</v>
      </c>
    </row>
    <row r="187" spans="1:10" x14ac:dyDescent="0.25">
      <c r="A187" s="10">
        <f ca="1">EDATE(Swap_Date,18)</f>
        <v>44100</v>
      </c>
      <c r="B187">
        <f ca="1">_xll.BDP(H187,"PX_LAST")</f>
        <v>4.4574999999999996</v>
      </c>
      <c r="C187" s="1">
        <f t="shared" ca="1" si="18"/>
        <v>44181</v>
      </c>
      <c r="D187" t="s">
        <v>246</v>
      </c>
      <c r="E187" s="1">
        <f t="shared" ca="1" si="19"/>
        <v>46472</v>
      </c>
      <c r="F187">
        <f ca="1">_xll.BDP(J187,"PX_LAST")</f>
        <v>5.5449999999999999</v>
      </c>
      <c r="H187" t="s">
        <v>535</v>
      </c>
      <c r="J187" t="s">
        <v>518</v>
      </c>
    </row>
    <row r="188" spans="1:10" x14ac:dyDescent="0.25">
      <c r="A188" s="10">
        <f ca="1">EDATE(Swap_Date,24)</f>
        <v>44281</v>
      </c>
      <c r="B188" s="11">
        <f ca="1">B187+(B187-B186)</f>
        <v>4.6349999999999989</v>
      </c>
      <c r="C188" s="1">
        <f t="shared" ca="1" si="18"/>
        <v>44272</v>
      </c>
      <c r="D188" t="s">
        <v>246</v>
      </c>
      <c r="E188" s="1">
        <f t="shared" ca="1" si="19"/>
        <v>46838</v>
      </c>
      <c r="F188">
        <f ca="1">_xll.BDP(J188,"PX_LAST")</f>
        <v>5.67</v>
      </c>
      <c r="J188" t="s">
        <v>519</v>
      </c>
    </row>
    <row r="189" spans="1:10" x14ac:dyDescent="0.25">
      <c r="E189" s="1">
        <f t="shared" ca="1" si="19"/>
        <v>47203</v>
      </c>
      <c r="F189">
        <f ca="1">_xll.BDP(J189,"PX_LAST")</f>
        <v>5.7675000000000001</v>
      </c>
      <c r="J189" t="s">
        <v>520</v>
      </c>
    </row>
    <row r="190" spans="1:10" x14ac:dyDescent="0.25">
      <c r="E190" s="1">
        <f t="shared" ca="1" si="19"/>
        <v>47568</v>
      </c>
      <c r="F190">
        <f ca="1">0.5*(F189+F191)</f>
        <v>5.8237500000000004</v>
      </c>
      <c r="J190" t="s">
        <v>521</v>
      </c>
    </row>
    <row r="191" spans="1:10" x14ac:dyDescent="0.25">
      <c r="E191" s="1">
        <f t="shared" ca="1" si="19"/>
        <v>47933</v>
      </c>
      <c r="F191">
        <f ca="1">_xll.BDP(J191,"PX_LAST")</f>
        <v>5.88</v>
      </c>
      <c r="J191" t="s">
        <v>522</v>
      </c>
    </row>
    <row r="192" spans="1:10" x14ac:dyDescent="0.25">
      <c r="E192" s="1">
        <f t="shared" ca="1" si="19"/>
        <v>48299</v>
      </c>
      <c r="F192">
        <f ca="1">1/3*(F194-F191)+F191</f>
        <v>5.9399999999999995</v>
      </c>
      <c r="J192" t="s">
        <v>523</v>
      </c>
    </row>
    <row r="193" spans="5:10" x14ac:dyDescent="0.25">
      <c r="E193" s="1">
        <f t="shared" ca="1" si="19"/>
        <v>48664</v>
      </c>
      <c r="F193">
        <f ca="1">2/3*(F194-F191)+F191</f>
        <v>6</v>
      </c>
      <c r="J193" t="s">
        <v>524</v>
      </c>
    </row>
    <row r="194" spans="5:10" x14ac:dyDescent="0.25">
      <c r="E194" s="1">
        <f t="shared" ca="1" si="19"/>
        <v>49029</v>
      </c>
      <c r="F194">
        <f ca="1">_xll.BDP(J194,"PX_LAST")</f>
        <v>6.06</v>
      </c>
      <c r="J194" t="s">
        <v>525</v>
      </c>
    </row>
    <row r="195" spans="5:10" x14ac:dyDescent="0.25">
      <c r="E195" s="1">
        <f t="shared" ca="1" si="19"/>
        <v>49394</v>
      </c>
      <c r="F195">
        <f ca="1">1/5*(F197-F194)+F194</f>
        <v>6.1040000000000001</v>
      </c>
      <c r="J195" t="s">
        <v>526</v>
      </c>
    </row>
    <row r="196" spans="5:10" x14ac:dyDescent="0.25">
      <c r="E196" s="1">
        <f t="shared" ca="1" si="19"/>
        <v>49760</v>
      </c>
      <c r="F196">
        <f ca="1">2/5*(F197-F194)+F194</f>
        <v>6.1479999999999997</v>
      </c>
      <c r="J196" t="s">
        <v>527</v>
      </c>
    </row>
    <row r="197" spans="5:10" x14ac:dyDescent="0.25">
      <c r="E197" s="1">
        <f ca="1">EDATE(E196,36)</f>
        <v>50855</v>
      </c>
      <c r="F197">
        <f ca="1">_xll.BDP(J197,"PX_LAST")</f>
        <v>6.28</v>
      </c>
      <c r="J197" t="s">
        <v>528</v>
      </c>
    </row>
    <row r="198" spans="5:10" x14ac:dyDescent="0.25">
      <c r="E198" s="1">
        <f ca="1">EDATE(E197,60)</f>
        <v>52682</v>
      </c>
      <c r="F198">
        <f ca="1">F197</f>
        <v>6.28</v>
      </c>
    </row>
    <row r="199" spans="5:10" x14ac:dyDescent="0.25">
      <c r="E199" s="1">
        <f ca="1">EDATE(E198,60)</f>
        <v>54508</v>
      </c>
      <c r="F199">
        <f t="shared" ref="F199:F201" ca="1" si="20">F198</f>
        <v>6.28</v>
      </c>
    </row>
    <row r="200" spans="5:10" x14ac:dyDescent="0.25">
      <c r="E200" s="1">
        <f ca="1">EDATE(E199,120)</f>
        <v>58160</v>
      </c>
      <c r="F200">
        <f t="shared" ca="1" si="20"/>
        <v>6.28</v>
      </c>
    </row>
    <row r="201" spans="5:10" x14ac:dyDescent="0.25">
      <c r="E201" s="1">
        <f ca="1">EDATE(E200,12)</f>
        <v>58526</v>
      </c>
      <c r="F201">
        <f t="shared" ca="1" si="20"/>
        <v>6.28</v>
      </c>
    </row>
    <row r="202" spans="5:10" x14ac:dyDescent="0.25">
      <c r="E202" s="1"/>
    </row>
  </sheetData>
  <mergeCells count="4">
    <mergeCell ref="M56:N56"/>
    <mergeCell ref="A1:B1"/>
    <mergeCell ref="A2:B2"/>
    <mergeCell ref="A3:B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E506E-78DC-4CD4-A6C0-2353E7DABEC5}">
  <sheetPr codeName="Sheet37"/>
  <dimension ref="A1:E17"/>
  <sheetViews>
    <sheetView workbookViewId="0">
      <selection activeCell="F14" sqref="F14"/>
    </sheetView>
  </sheetViews>
  <sheetFormatPr defaultColWidth="6.85546875" defaultRowHeight="15" x14ac:dyDescent="0.25"/>
  <cols>
    <col min="1" max="2" width="6.85546875" style="14"/>
    <col min="3" max="3" width="11.7109375" style="14" customWidth="1"/>
    <col min="4" max="4" width="23.42578125" style="14" customWidth="1"/>
    <col min="5" max="5" width="11.7109375" style="14" customWidth="1"/>
    <col min="6" max="16384" width="6.85546875" style="14"/>
  </cols>
  <sheetData>
    <row r="1" spans="1:5" x14ac:dyDescent="0.25">
      <c r="A1" s="12" t="s">
        <v>7</v>
      </c>
      <c r="B1" s="12" t="s">
        <v>8</v>
      </c>
      <c r="C1" s="13" t="s">
        <v>9</v>
      </c>
      <c r="D1" s="13" t="s">
        <v>10</v>
      </c>
      <c r="E1" s="13" t="s">
        <v>11</v>
      </c>
    </row>
    <row r="2" spans="1:5" x14ac:dyDescent="0.25">
      <c r="A2" s="12" t="s">
        <v>12</v>
      </c>
      <c r="B2" s="12" t="s">
        <v>13</v>
      </c>
      <c r="C2" s="13" t="str">
        <f>""&amp;A2&amp;B2</f>
        <v>USDEUR</v>
      </c>
      <c r="D2" s="13" t="str">
        <f>""&amp;C2&amp;" Curncy"</f>
        <v>USDEUR Curncy</v>
      </c>
      <c r="E2" s="15">
        <f ca="1">_xll.BDP($D2, "PX_LAST")</f>
        <v>0.89</v>
      </c>
    </row>
    <row r="3" spans="1:5" x14ac:dyDescent="0.25">
      <c r="A3" s="12" t="str">
        <f t="shared" ref="A3:A8" si="0">A2</f>
        <v>USD</v>
      </c>
      <c r="B3" s="12" t="s">
        <v>14</v>
      </c>
      <c r="C3" s="13" t="str">
        <f t="shared" ref="C3:C10" si="1">""&amp;A3&amp;B3</f>
        <v>USDGBP</v>
      </c>
      <c r="D3" s="13" t="str">
        <f t="shared" ref="D3:D10" si="2">""&amp;C3&amp;" Curncy"</f>
        <v>USDGBP Curncy</v>
      </c>
      <c r="E3" s="15">
        <f ca="1">_xll.BDP($D3, "PX_LAST")</f>
        <v>0.76349999999999996</v>
      </c>
    </row>
    <row r="4" spans="1:5" x14ac:dyDescent="0.25">
      <c r="A4" s="12" t="str">
        <f t="shared" si="0"/>
        <v>USD</v>
      </c>
      <c r="B4" s="12" t="s">
        <v>15</v>
      </c>
      <c r="C4" s="13" t="str">
        <f t="shared" si="1"/>
        <v>USDKRW</v>
      </c>
      <c r="D4" s="13" t="str">
        <f>""&amp;C4&amp;" CMPN Curncy"</f>
        <v>USDKRW CMPN Curncy</v>
      </c>
      <c r="E4" s="15">
        <f ca="1">_xll.BDP($D4, "PX_LAST")</f>
        <v>1137.55</v>
      </c>
    </row>
    <row r="5" spans="1:5" x14ac:dyDescent="0.25">
      <c r="A5" s="12" t="str">
        <f t="shared" si="0"/>
        <v>USD</v>
      </c>
      <c r="B5" s="12" t="s">
        <v>16</v>
      </c>
      <c r="C5" s="13" t="str">
        <f t="shared" si="1"/>
        <v>USDNOK</v>
      </c>
      <c r="D5" s="13" t="str">
        <f t="shared" si="2"/>
        <v>USDNOK Curncy</v>
      </c>
      <c r="E5" s="15">
        <f ca="1">_xll.BDP($D5, "PX_LAST")</f>
        <v>8.6412999999999993</v>
      </c>
    </row>
    <row r="6" spans="1:5" x14ac:dyDescent="0.25">
      <c r="A6" s="12" t="str">
        <f t="shared" si="0"/>
        <v>USD</v>
      </c>
      <c r="B6" s="12" t="s">
        <v>17</v>
      </c>
      <c r="C6" s="13" t="str">
        <f t="shared" si="1"/>
        <v>USDSEK</v>
      </c>
      <c r="D6" s="13" t="str">
        <f t="shared" si="2"/>
        <v>USDSEK Curncy</v>
      </c>
      <c r="E6" s="15">
        <f ca="1">_xll.BDP($D6, "PX_LAST")</f>
        <v>9.2894000000000005</v>
      </c>
    </row>
    <row r="7" spans="1:5" x14ac:dyDescent="0.25">
      <c r="A7" s="12" t="str">
        <f t="shared" si="0"/>
        <v>USD</v>
      </c>
      <c r="B7" s="12" t="s">
        <v>18</v>
      </c>
      <c r="C7" s="13" t="str">
        <f t="shared" si="1"/>
        <v>USDTWD</v>
      </c>
      <c r="D7" s="13" t="str">
        <f>""&amp;C7&amp;" CMPN Curncy"</f>
        <v>USDTWD CMPN Curncy</v>
      </c>
      <c r="E7" s="15">
        <f ca="1">_xll.BDP($D7, "PX_LAST")</f>
        <v>30.873999999999999</v>
      </c>
    </row>
    <row r="8" spans="1:5" x14ac:dyDescent="0.25">
      <c r="A8" s="12" t="str">
        <f t="shared" si="0"/>
        <v>USD</v>
      </c>
      <c r="B8" s="12" t="s">
        <v>12</v>
      </c>
      <c r="C8" s="13" t="str">
        <f t="shared" si="1"/>
        <v>USDUSD</v>
      </c>
      <c r="D8" s="13" t="str">
        <f t="shared" si="2"/>
        <v>USDUSD Curncy</v>
      </c>
      <c r="E8" s="15">
        <v>1</v>
      </c>
    </row>
    <row r="9" spans="1:5" x14ac:dyDescent="0.25">
      <c r="A9" s="12" t="s">
        <v>12</v>
      </c>
      <c r="B9" s="12" t="s">
        <v>19</v>
      </c>
      <c r="C9" s="13" t="str">
        <f t="shared" si="1"/>
        <v>USDJPY</v>
      </c>
      <c r="D9" s="13" t="str">
        <f t="shared" si="2"/>
        <v>USDJPY Curncy</v>
      </c>
      <c r="E9" s="15">
        <f ca="1">_xll.BDP($D9, "PX_LAST")</f>
        <v>110.63</v>
      </c>
    </row>
    <row r="10" spans="1:5" x14ac:dyDescent="0.25">
      <c r="A10" s="12" t="s">
        <v>12</v>
      </c>
      <c r="B10" s="12" t="s">
        <v>20</v>
      </c>
      <c r="C10" s="13" t="str">
        <f t="shared" si="1"/>
        <v>USDNZD</v>
      </c>
      <c r="D10" s="13" t="str">
        <f t="shared" si="2"/>
        <v>USDNZD Curncy</v>
      </c>
      <c r="E10" s="15">
        <f ca="1">_xll.BDP($D10, "PX_LAST")</f>
        <v>1.4713000000000001</v>
      </c>
    </row>
    <row r="11" spans="1:5" x14ac:dyDescent="0.25">
      <c r="A11" s="12" t="s">
        <v>12</v>
      </c>
      <c r="B11" s="12" t="s">
        <v>21</v>
      </c>
      <c r="C11" s="13" t="str">
        <f t="shared" ref="C11:C16" si="3">""&amp;A11&amp;B11</f>
        <v>USDCAD</v>
      </c>
      <c r="D11" s="13" t="str">
        <f t="shared" ref="D11:D16" si="4">""&amp;C11&amp;" Curncy"</f>
        <v>USDCAD Curncy</v>
      </c>
      <c r="E11" s="15">
        <f ca="1">_xll.BDP($D11, "PX_LAST")</f>
        <v>1.3413999999999999</v>
      </c>
    </row>
    <row r="12" spans="1:5" x14ac:dyDescent="0.25">
      <c r="A12" s="12" t="s">
        <v>12</v>
      </c>
      <c r="B12" s="12" t="s">
        <v>22</v>
      </c>
      <c r="C12" s="13" t="str">
        <f t="shared" si="3"/>
        <v>USDAUD</v>
      </c>
      <c r="D12" s="13" t="str">
        <f t="shared" si="4"/>
        <v>USDAUD Curncy</v>
      </c>
      <c r="E12" s="15">
        <f ca="1">_xll.BDP($D12, "PX_LAST")</f>
        <v>1.4117999999999999</v>
      </c>
    </row>
    <row r="13" spans="1:5" x14ac:dyDescent="0.25">
      <c r="A13" s="12" t="s">
        <v>12</v>
      </c>
      <c r="B13" s="12" t="s">
        <v>23</v>
      </c>
      <c r="C13" s="13" t="str">
        <f t="shared" si="3"/>
        <v>USDSAR</v>
      </c>
      <c r="D13" s="13" t="str">
        <f t="shared" si="4"/>
        <v>USDSAR Curncy</v>
      </c>
      <c r="E13" s="15">
        <f ca="1">_xll.BDP($D13, "PX_LAST")</f>
        <v>3.7503000000000002</v>
      </c>
    </row>
    <row r="14" spans="1:5" x14ac:dyDescent="0.25">
      <c r="A14" s="12" t="s">
        <v>12</v>
      </c>
      <c r="B14" s="14" t="s">
        <v>247</v>
      </c>
      <c r="C14" s="13" t="str">
        <f t="shared" si="3"/>
        <v>USDCHF</v>
      </c>
      <c r="D14" s="13" t="str">
        <f t="shared" si="4"/>
        <v>USDCHF Curncy</v>
      </c>
      <c r="E14" s="15">
        <f ca="1">_xll.BDP($D14, "PX_LAST")</f>
        <v>0.99629999999999996</v>
      </c>
    </row>
    <row r="15" spans="1:5" x14ac:dyDescent="0.25">
      <c r="A15" s="14" t="s">
        <v>12</v>
      </c>
      <c r="B15" s="14" t="s">
        <v>230</v>
      </c>
      <c r="C15" s="13" t="str">
        <f t="shared" si="3"/>
        <v>USDBRL</v>
      </c>
      <c r="D15" s="13" t="str">
        <f t="shared" si="4"/>
        <v>USDBRL Curncy</v>
      </c>
      <c r="E15" s="15">
        <f ca="1">_xll.BDP($D15, "PX_LAST")</f>
        <v>3.9821</v>
      </c>
    </row>
    <row r="16" spans="1:5" x14ac:dyDescent="0.25">
      <c r="A16" s="14" t="s">
        <v>12</v>
      </c>
      <c r="B16" s="14" t="s">
        <v>510</v>
      </c>
      <c r="C16" s="12" t="str">
        <f t="shared" si="3"/>
        <v>USDCOP</v>
      </c>
      <c r="D16" s="12" t="str">
        <f t="shared" si="4"/>
        <v>USDCOP Curncy</v>
      </c>
      <c r="E16" s="15">
        <f ca="1">_xll.BDP($D16, "PX_LAST")</f>
        <v>3182.4</v>
      </c>
    </row>
    <row r="17" spans="1:5" x14ac:dyDescent="0.25">
      <c r="A17" s="12"/>
      <c r="B17" s="12"/>
      <c r="C17" s="12"/>
      <c r="D17" s="12"/>
      <c r="E17" s="1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F893E-770E-4BFF-9B9B-3468375AD628}">
  <sheetPr codeName="Sheet35"/>
  <dimension ref="A1:V201"/>
  <sheetViews>
    <sheetView topLeftCell="A10" zoomScale="70" zoomScaleNormal="70" workbookViewId="0">
      <selection activeCell="N21" sqref="N21"/>
    </sheetView>
  </sheetViews>
  <sheetFormatPr defaultColWidth="8.85546875" defaultRowHeight="15" x14ac:dyDescent="0.25"/>
  <cols>
    <col min="1" max="1" width="9.5703125" customWidth="1"/>
    <col min="3" max="3" width="10.28515625" customWidth="1"/>
    <col min="4" max="4" width="12" bestFit="1" customWidth="1"/>
    <col min="5" max="5" width="9.5703125" bestFit="1" customWidth="1"/>
    <col min="13" max="13" width="11.7109375" customWidth="1"/>
  </cols>
  <sheetData>
    <row r="1" spans="1:10" x14ac:dyDescent="0.25">
      <c r="A1" s="81" t="s">
        <v>69</v>
      </c>
      <c r="B1" s="81"/>
    </row>
    <row r="2" spans="1:10" x14ac:dyDescent="0.25">
      <c r="A2" s="81" t="s">
        <v>70</v>
      </c>
      <c r="B2" s="81"/>
    </row>
    <row r="3" spans="1:10" x14ac:dyDescent="0.25">
      <c r="A3" s="81" t="s">
        <v>71</v>
      </c>
      <c r="B3" s="81"/>
      <c r="C3" s="1"/>
      <c r="E3" s="2"/>
    </row>
    <row r="4" spans="1:10" x14ac:dyDescent="0.25">
      <c r="A4" t="s">
        <v>12</v>
      </c>
      <c r="B4">
        <v>7</v>
      </c>
      <c r="D4">
        <v>7</v>
      </c>
      <c r="F4">
        <v>100</v>
      </c>
      <c r="H4" t="s">
        <v>35</v>
      </c>
    </row>
    <row r="5" spans="1:10" x14ac:dyDescent="0.25">
      <c r="A5" t="s">
        <v>29</v>
      </c>
      <c r="B5" t="s">
        <v>30</v>
      </c>
      <c r="C5" t="s">
        <v>31</v>
      </c>
      <c r="D5" t="s">
        <v>32</v>
      </c>
      <c r="E5" t="s">
        <v>33</v>
      </c>
      <c r="F5" t="s">
        <v>34</v>
      </c>
    </row>
    <row r="6" spans="1:10" x14ac:dyDescent="0.25">
      <c r="A6" s="1">
        <f ca="1">WORKDAY(Swap_Date,1)</f>
        <v>43551</v>
      </c>
      <c r="B6">
        <f ca="1">_xll.BDP(H6,"PX_LAST")</f>
        <v>2.3938800000000002</v>
      </c>
      <c r="C6" s="1">
        <f ca="1">nextimm(Swap_Date)</f>
        <v>43635</v>
      </c>
      <c r="D6">
        <f ca="1">100-IF(ISNUMBER(_xll.BDP(I6,"PX_LAST")),_xll.BDP(I6,"PX_LAST"),100-B9)</f>
        <v>2.7450000000000045</v>
      </c>
      <c r="E6" s="1">
        <f ca="1">EDATE(Swap_Date,24)</f>
        <v>44281</v>
      </c>
      <c r="F6">
        <f ca="1">_xll.BDP(J6,"PX_LAST")</f>
        <v>2.3412000000000002</v>
      </c>
      <c r="H6" t="s">
        <v>36</v>
      </c>
      <c r="I6" t="s">
        <v>42</v>
      </c>
      <c r="J6" t="s">
        <v>50</v>
      </c>
    </row>
    <row r="7" spans="1:10" x14ac:dyDescent="0.25">
      <c r="A7" s="1">
        <f ca="1">EDATE(Swap_Date,1)</f>
        <v>43581</v>
      </c>
      <c r="B7">
        <f ca="1">_xll.BDP(H7,"PX_LAST")</f>
        <v>2.4954999999999998</v>
      </c>
      <c r="C7" s="1">
        <f ca="1">nextimm(C6+1)</f>
        <v>43726</v>
      </c>
      <c r="D7">
        <f ca="1">100-_xll.BDP(I7,"PX_LAST")</f>
        <v>2.7549999999999955</v>
      </c>
      <c r="E7" s="1">
        <f ca="1">EDATE(E6,12)</f>
        <v>44646</v>
      </c>
      <c r="F7">
        <f ca="1">_xll.BDP(J7,"PX_LAST")</f>
        <v>2.2549999999999999</v>
      </c>
      <c r="H7" t="s">
        <v>37</v>
      </c>
      <c r="I7" t="s">
        <v>43</v>
      </c>
      <c r="J7" t="s">
        <v>51</v>
      </c>
    </row>
    <row r="8" spans="1:10" x14ac:dyDescent="0.25">
      <c r="A8" s="1">
        <f ca="1">EDATE(Swap_Date,2)</f>
        <v>43611</v>
      </c>
      <c r="B8">
        <f ca="1">_xll.BDP(H8,"PX_LAST")</f>
        <v>2.55775</v>
      </c>
      <c r="C8" s="1">
        <f t="shared" ref="C8:C13" ca="1" si="0">nextimm(C7+1)</f>
        <v>43817</v>
      </c>
      <c r="D8">
        <f ca="1">100-_xll.BDP(I8,"PX_LAST")</f>
        <v>2.7650000000000006</v>
      </c>
      <c r="E8" s="1">
        <f t="shared" ref="E8:E21" ca="1" si="1">EDATE(E7,12)</f>
        <v>45011</v>
      </c>
      <c r="F8">
        <f ca="1">_xll.BDP(J8,"PX_LAST")</f>
        <v>2.2286000000000001</v>
      </c>
      <c r="H8" t="s">
        <v>38</v>
      </c>
      <c r="I8" t="s">
        <v>44</v>
      </c>
      <c r="J8" t="s">
        <v>52</v>
      </c>
    </row>
    <row r="9" spans="1:10" x14ac:dyDescent="0.25">
      <c r="A9" s="1">
        <f ca="1">EDATE(Swap_Date,3)</f>
        <v>43642</v>
      </c>
      <c r="B9">
        <f ca="1">_xll.BDP(H9,"PX_LAST")</f>
        <v>2.5973800000000002</v>
      </c>
      <c r="C9" s="1">
        <f t="shared" ca="1" si="0"/>
        <v>43908</v>
      </c>
      <c r="D9">
        <f ca="1">100-_xll.BDP(I9,"PX_LAST")</f>
        <v>2.519999999999996</v>
      </c>
      <c r="E9" s="1">
        <f t="shared" ca="1" si="1"/>
        <v>45377</v>
      </c>
      <c r="F9">
        <f ca="1">_xll.BDP(J9,"PX_LAST")</f>
        <v>2.2336999999999998</v>
      </c>
      <c r="H9" t="s">
        <v>39</v>
      </c>
      <c r="I9" t="s">
        <v>45</v>
      </c>
      <c r="J9" t="s">
        <v>53</v>
      </c>
    </row>
    <row r="10" spans="1:10" x14ac:dyDescent="0.25">
      <c r="A10" s="1">
        <f ca="1">EDATE(Swap_Date,6)</f>
        <v>43734</v>
      </c>
      <c r="B10">
        <f ca="1">_xll.BDP(H10,"PX_LAST")</f>
        <v>2.6821299999999999</v>
      </c>
      <c r="C10" s="1">
        <f t="shared" ca="1" si="0"/>
        <v>43999</v>
      </c>
      <c r="D10">
        <f ca="1">100-_xll.BDP(I10,"PX_LAST")</f>
        <v>2.4249999999999972</v>
      </c>
      <c r="E10" s="1">
        <f t="shared" ca="1" si="1"/>
        <v>45742</v>
      </c>
      <c r="F10">
        <f ca="1">_xll.BDP(J10,"PX_LAST")</f>
        <v>2.2532000000000001</v>
      </c>
      <c r="H10" t="s">
        <v>40</v>
      </c>
      <c r="I10" t="s">
        <v>46</v>
      </c>
      <c r="J10" t="s">
        <v>54</v>
      </c>
    </row>
    <row r="11" spans="1:10" x14ac:dyDescent="0.25">
      <c r="A11" s="1">
        <f ca="1">EDATE(Swap_Date,12)</f>
        <v>43916</v>
      </c>
      <c r="B11">
        <f ca="1">_xll.BDP(H11,"PX_LAST")</f>
        <v>2.7246299999999999</v>
      </c>
      <c r="C11" s="1">
        <f t="shared" ca="1" si="0"/>
        <v>44090</v>
      </c>
      <c r="D11">
        <f ca="1">100-_xll.BDP(I11,"PX_LAST")</f>
        <v>2.3700000000000045</v>
      </c>
      <c r="E11" s="1">
        <f t="shared" ca="1" si="1"/>
        <v>46107</v>
      </c>
      <c r="F11">
        <f ca="1">_xll.BDP(J11,"PX_LAST")</f>
        <v>2.2783000000000002</v>
      </c>
      <c r="H11" t="s">
        <v>41</v>
      </c>
      <c r="I11" t="s">
        <v>47</v>
      </c>
      <c r="J11" t="s">
        <v>55</v>
      </c>
    </row>
    <row r="12" spans="1:10" x14ac:dyDescent="0.25">
      <c r="A12" s="10">
        <f ca="1">EDATE(A11,10)</f>
        <v>44222</v>
      </c>
      <c r="B12" s="11">
        <f ca="1">$B$11</f>
        <v>2.7246299999999999</v>
      </c>
      <c r="C12" s="1">
        <f t="shared" ca="1" si="0"/>
        <v>44181</v>
      </c>
      <c r="D12">
        <f ca="1">100-_xll.BDP(I12,"PX_LAST")</f>
        <v>2.230000000000004</v>
      </c>
      <c r="E12" s="1">
        <f t="shared" ca="1" si="1"/>
        <v>46472</v>
      </c>
      <c r="F12">
        <f ca="1">_xll.BDP(J12,"PX_LAST")</f>
        <v>2.3079999999999998</v>
      </c>
      <c r="I12" t="s">
        <v>48</v>
      </c>
      <c r="J12" t="s">
        <v>56</v>
      </c>
    </row>
    <row r="13" spans="1:10" x14ac:dyDescent="0.25">
      <c r="C13" s="1">
        <f t="shared" ca="1" si="0"/>
        <v>44272</v>
      </c>
      <c r="D13">
        <f ca="1">100-_xll.BDP(I13,"PX_LAST")</f>
        <v>2.1299999999999955</v>
      </c>
      <c r="E13" s="1">
        <f t="shared" ca="1" si="1"/>
        <v>46838</v>
      </c>
      <c r="F13">
        <f ca="1">_xll.BDP(J13,"PX_LAST")</f>
        <v>2.3395000000000001</v>
      </c>
      <c r="I13" t="s">
        <v>49</v>
      </c>
      <c r="J13" t="s">
        <v>57</v>
      </c>
    </row>
    <row r="14" spans="1:10" x14ac:dyDescent="0.25">
      <c r="E14" s="1">
        <f t="shared" ca="1" si="1"/>
        <v>47203</v>
      </c>
      <c r="F14">
        <f ca="1">_xll.BDP(J14,"PX_LAST")</f>
        <v>2.3717000000000001</v>
      </c>
      <c r="J14" t="s">
        <v>26</v>
      </c>
    </row>
    <row r="15" spans="1:10" x14ac:dyDescent="0.25">
      <c r="E15" s="1">
        <f t="shared" ca="1" si="1"/>
        <v>47568</v>
      </c>
      <c r="F15">
        <f ca="1">_xll.BDP(J15,"PX_LAST")</f>
        <v>2.4028999999999998</v>
      </c>
      <c r="J15" t="s">
        <v>58</v>
      </c>
    </row>
    <row r="16" spans="1:10" x14ac:dyDescent="0.25">
      <c r="E16" s="1">
        <f t="shared" ca="1" si="1"/>
        <v>47933</v>
      </c>
      <c r="F16">
        <f ca="1">_xll.BDP(J16,"PX_LAST")</f>
        <v>2.4300999999999999</v>
      </c>
      <c r="J16" t="s">
        <v>59</v>
      </c>
    </row>
    <row r="17" spans="1:17" x14ac:dyDescent="0.25">
      <c r="E17" s="1">
        <f t="shared" ca="1" si="1"/>
        <v>48299</v>
      </c>
      <c r="F17">
        <f ca="1">_xll.BDP(J17,"PX_LAST")</f>
        <v>2.4525000000000001</v>
      </c>
      <c r="J17" t="s">
        <v>60</v>
      </c>
    </row>
    <row r="18" spans="1:17" x14ac:dyDescent="0.25">
      <c r="E18" s="1">
        <f t="shared" ca="1" si="1"/>
        <v>48664</v>
      </c>
      <c r="F18">
        <f ca="1">_xll.BDP(J18,"PX_LAST")</f>
        <v>2.4735</v>
      </c>
      <c r="J18" t="s">
        <v>61</v>
      </c>
    </row>
    <row r="19" spans="1:17" x14ac:dyDescent="0.25">
      <c r="E19" s="1">
        <f t="shared" ca="1" si="1"/>
        <v>49029</v>
      </c>
      <c r="F19">
        <f ca="1">_xll.BDP(J19,"PX_LAST")</f>
        <v>2.4903</v>
      </c>
      <c r="J19" t="s">
        <v>62</v>
      </c>
    </row>
    <row r="20" spans="1:17" x14ac:dyDescent="0.25">
      <c r="E20" s="1">
        <f t="shared" ca="1" si="1"/>
        <v>49394</v>
      </c>
      <c r="F20">
        <f ca="1">_xll.BDP(J20,"PX_LAST")</f>
        <v>2.5049999999999999</v>
      </c>
      <c r="J20" t="s">
        <v>63</v>
      </c>
    </row>
    <row r="21" spans="1:17" x14ac:dyDescent="0.25">
      <c r="E21" s="1">
        <f t="shared" ca="1" si="1"/>
        <v>49760</v>
      </c>
      <c r="F21">
        <f ca="1">_xll.BDP(J21,"PX_LAST")</f>
        <v>2.5188000000000001</v>
      </c>
      <c r="J21" t="s">
        <v>64</v>
      </c>
    </row>
    <row r="22" spans="1:17" x14ac:dyDescent="0.25">
      <c r="E22" s="1">
        <f ca="1">EDATE(E21,36)</f>
        <v>50855</v>
      </c>
      <c r="F22">
        <f ca="1">_xll.BDP(J22,"PX_LAST")</f>
        <v>2.5419999999999998</v>
      </c>
      <c r="J22" t="s">
        <v>65</v>
      </c>
    </row>
    <row r="23" spans="1:17" x14ac:dyDescent="0.25">
      <c r="E23" s="1">
        <f ca="1">EDATE(E22,60)</f>
        <v>52682</v>
      </c>
      <c r="F23">
        <f ca="1">_xll.BDP(J23,"PX_LAST")</f>
        <v>2.5588000000000002</v>
      </c>
      <c r="J23" t="s">
        <v>66</v>
      </c>
    </row>
    <row r="24" spans="1:17" x14ac:dyDescent="0.25">
      <c r="E24" s="1">
        <f ca="1">EDATE(E23,60)</f>
        <v>54508</v>
      </c>
      <c r="F24">
        <f ca="1">_xll.BDP(J24,"PX_LAST")</f>
        <v>2.5648</v>
      </c>
      <c r="J24" t="s">
        <v>67</v>
      </c>
    </row>
    <row r="25" spans="1:17" x14ac:dyDescent="0.25">
      <c r="E25" s="1">
        <f ca="1">EDATE(E24,120)</f>
        <v>58160</v>
      </c>
      <c r="F25">
        <f ca="1">_xll.BDP(J25,"PX_LAST")</f>
        <v>2.5464000000000002</v>
      </c>
      <c r="J25" t="s">
        <v>68</v>
      </c>
    </row>
    <row r="26" spans="1:17" x14ac:dyDescent="0.25">
      <c r="E26" s="1">
        <f ca="1">EDATE(E25,12)</f>
        <v>58526</v>
      </c>
      <c r="F26">
        <f ca="1">F25</f>
        <v>2.5464000000000002</v>
      </c>
    </row>
    <row r="29" spans="1:17" x14ac:dyDescent="0.25">
      <c r="A29" t="s">
        <v>13</v>
      </c>
      <c r="B29">
        <v>7</v>
      </c>
      <c r="D29">
        <v>7</v>
      </c>
      <c r="F29">
        <v>100</v>
      </c>
    </row>
    <row r="30" spans="1:17" x14ac:dyDescent="0.25">
      <c r="A30" t="s">
        <v>29</v>
      </c>
      <c r="B30" t="s">
        <v>30</v>
      </c>
      <c r="C30" t="s">
        <v>31</v>
      </c>
      <c r="D30" t="s">
        <v>32</v>
      </c>
      <c r="E30" t="s">
        <v>33</v>
      </c>
      <c r="F30" t="s">
        <v>34</v>
      </c>
      <c r="M30" s="4" t="s">
        <v>248</v>
      </c>
      <c r="N30" s="4" t="s">
        <v>35</v>
      </c>
    </row>
    <row r="31" spans="1:17" x14ac:dyDescent="0.25">
      <c r="A31" s="1">
        <f ca="1">WORKDAY(Swap_Date,1)</f>
        <v>43551</v>
      </c>
      <c r="B31">
        <f ca="1">_xll.BDP(H31,"PX_LAST")+$P$31</f>
        <v>-0.4798</v>
      </c>
      <c r="C31" s="1">
        <f ca="1">nextimm(Swap_Date)</f>
        <v>43635</v>
      </c>
      <c r="D31">
        <f ca="1">100-IF(ISNUMBER(_xll.BDP(I31,"PX_LAST")),_xll.BDP(I31,"PX_LAST")+$P$31,100-B34)</f>
        <v>-0.42650000000000432</v>
      </c>
      <c r="E31" s="1">
        <f ca="1">EDATE(Swap_Date,24)</f>
        <v>44281</v>
      </c>
      <c r="F31">
        <f ca="1">_xll.BDP(J31,"PX_LAST")+M31</f>
        <v>-0.31625000000000003</v>
      </c>
      <c r="H31" t="s">
        <v>6</v>
      </c>
      <c r="I31" t="s">
        <v>77</v>
      </c>
      <c r="J31" t="s">
        <v>85</v>
      </c>
      <c r="M31">
        <f ca="1">_xll.BDP(N31,"PX_LAST")/100</f>
        <v>-0.11375</v>
      </c>
      <c r="N31" t="s">
        <v>249</v>
      </c>
      <c r="P31">
        <f ca="1">_xll.BDP(Q31,"PX_LAST")/100</f>
        <v>-0.11749999999999999</v>
      </c>
      <c r="Q31" t="s">
        <v>362</v>
      </c>
    </row>
    <row r="32" spans="1:17" x14ac:dyDescent="0.25">
      <c r="A32" s="1">
        <f ca="1">EDATE(Swap_Date,1)</f>
        <v>43581</v>
      </c>
      <c r="B32">
        <f ca="1">_xll.BDP(H32,"PX_LAST")+$P$31</f>
        <v>-0.48549999999999999</v>
      </c>
      <c r="C32" s="1">
        <f ca="1">nextimm(C31+1)</f>
        <v>43726</v>
      </c>
      <c r="D32">
        <f ca="1">IFERROR($P$31+100-_xll.BDP(I32,"PX_LAST"),D31)</f>
        <v>-0.42650000000000432</v>
      </c>
      <c r="E32" s="1">
        <f ca="1">EDATE(E31,12)</f>
        <v>44646</v>
      </c>
      <c r="F32">
        <f ca="1">_xll.BDP(J32,"PX_LAST")+M32</f>
        <v>-0.25309999999999999</v>
      </c>
      <c r="H32" t="s">
        <v>72</v>
      </c>
      <c r="I32" t="s">
        <v>78</v>
      </c>
      <c r="J32" t="s">
        <v>86</v>
      </c>
      <c r="M32">
        <f ca="1">_xll.BDP(N32,"PX_LAST")/100</f>
        <v>-0.11</v>
      </c>
      <c r="N32" t="s">
        <v>250</v>
      </c>
    </row>
    <row r="33" spans="1:14" x14ac:dyDescent="0.25">
      <c r="A33" s="1">
        <f ca="1">EDATE(Swap_Date,2)</f>
        <v>43611</v>
      </c>
      <c r="B33">
        <f ca="1">_xll.BDP(H33,"PX_LAST")+$P$31</f>
        <v>-0.45350000000000001</v>
      </c>
      <c r="C33" s="1">
        <f t="shared" ref="C33:C38" ca="1" si="2">nextimm(C32+1)</f>
        <v>43817</v>
      </c>
      <c r="D33">
        <f ca="1">IFERROR($P$31+100-_xll.BDP(I33,"PX_LAST"),0.5*(D32+D34))</f>
        <v>-0.42450000000000898</v>
      </c>
      <c r="E33" s="1">
        <f t="shared" ref="E33:E46" ca="1" si="3">EDATE(E32,12)</f>
        <v>45011</v>
      </c>
      <c r="F33">
        <f ca="1">_xll.BDP(J33,"PX_LAST")+M33</f>
        <v>-0.18195</v>
      </c>
      <c r="H33" t="s">
        <v>73</v>
      </c>
      <c r="I33" t="s">
        <v>79</v>
      </c>
      <c r="J33" t="s">
        <v>89</v>
      </c>
      <c r="M33">
        <f ca="1">_xll.BDP(N33,"PX_LAST")/100</f>
        <v>-0.11125</v>
      </c>
      <c r="N33" t="s">
        <v>251</v>
      </c>
    </row>
    <row r="34" spans="1:14" x14ac:dyDescent="0.25">
      <c r="A34" s="1">
        <f ca="1">EDATE(Swap_Date,3)</f>
        <v>43642</v>
      </c>
      <c r="B34">
        <f ca="1">_xll.BDP(H34,"PX_LAST")+$P$31</f>
        <v>-0.42649999999999999</v>
      </c>
      <c r="C34" s="1">
        <f t="shared" ca="1" si="2"/>
        <v>43908</v>
      </c>
      <c r="D34">
        <f ca="1">$P$31+100-_xll.BDP(I34,"PX_LAST")</f>
        <v>-0.42250000000001364</v>
      </c>
      <c r="E34" s="1">
        <f t="shared" ca="1" si="3"/>
        <v>45377</v>
      </c>
      <c r="F34">
        <f ca="1">_xll.BDP(J34,"PX_LAST")+M34</f>
        <v>-0.10485</v>
      </c>
      <c r="H34" t="s">
        <v>74</v>
      </c>
      <c r="I34" t="s">
        <v>80</v>
      </c>
      <c r="J34" t="s">
        <v>87</v>
      </c>
      <c r="M34">
        <f ca="1">_xll.BDP(N34,"PX_LAST")/100</f>
        <v>-0.11375</v>
      </c>
      <c r="N34" t="s">
        <v>252</v>
      </c>
    </row>
    <row r="35" spans="1:14" x14ac:dyDescent="0.25">
      <c r="A35" s="1">
        <f ca="1">EDATE(Swap_Date,6)</f>
        <v>43734</v>
      </c>
      <c r="B35">
        <f ca="1">_xll.BDP(H35,"PX_LAST")+$P$31</f>
        <v>-0.34450000000000003</v>
      </c>
      <c r="C35" s="1">
        <f t="shared" ca="1" si="2"/>
        <v>43999</v>
      </c>
      <c r="D35">
        <f ca="1">$P$31+100-_xll.BDP(I35,"PX_LAST")</f>
        <v>-0.42750000000000909</v>
      </c>
      <c r="E35" s="1">
        <f t="shared" ca="1" si="3"/>
        <v>45742</v>
      </c>
      <c r="F35">
        <f ca="1">_xll.BDP(J35,"PX_LAST")+M35</f>
        <v>-2.3949999999999999E-2</v>
      </c>
      <c r="H35" t="s">
        <v>75</v>
      </c>
      <c r="I35" t="s">
        <v>81</v>
      </c>
      <c r="J35" t="s">
        <v>90</v>
      </c>
      <c r="M35">
        <f ca="1">_xll.BDP(N35,"PX_LAST")/100</f>
        <v>-0.11874999999999999</v>
      </c>
      <c r="N35" t="s">
        <v>253</v>
      </c>
    </row>
    <row r="36" spans="1:14" x14ac:dyDescent="0.25">
      <c r="A36" s="1">
        <f ca="1">EDATE(Swap_Date,12)</f>
        <v>43916</v>
      </c>
      <c r="B36">
        <f ca="1">_xll.BDP(H36,"PX_LAST")+$P$31</f>
        <v>-0.22649999999999998</v>
      </c>
      <c r="C36" s="1">
        <f t="shared" ca="1" si="2"/>
        <v>44090</v>
      </c>
      <c r="D36">
        <f ca="1">$P$31+100-_xll.BDP(I36,"PX_LAST")</f>
        <v>-0.42250000000001364</v>
      </c>
      <c r="E36" s="1">
        <f t="shared" ca="1" si="3"/>
        <v>46107</v>
      </c>
      <c r="F36">
        <f ca="1">_xll.BDP(J36,"PX_LAST")+M36</f>
        <v>6.25E-2</v>
      </c>
      <c r="H36" t="s">
        <v>76</v>
      </c>
      <c r="I36" t="s">
        <v>82</v>
      </c>
      <c r="J36" t="s">
        <v>88</v>
      </c>
      <c r="M36">
        <f ca="1">_xll.BDP(N36,"PX_LAST")/100</f>
        <v>-0.1225</v>
      </c>
      <c r="N36" t="s">
        <v>254</v>
      </c>
    </row>
    <row r="37" spans="1:14" x14ac:dyDescent="0.25">
      <c r="A37" s="10">
        <f ca="1">EDATE(A36,10)</f>
        <v>44222</v>
      </c>
      <c r="B37">
        <f ca="1">$B$36</f>
        <v>-0.22649999999999998</v>
      </c>
      <c r="C37" s="1">
        <f t="shared" ca="1" si="2"/>
        <v>44181</v>
      </c>
      <c r="D37">
        <f ca="1">$P$31+100-_xll.BDP(I37,"PX_LAST")</f>
        <v>-0.41250000000000853</v>
      </c>
      <c r="E37" s="1">
        <f t="shared" ca="1" si="3"/>
        <v>46472</v>
      </c>
      <c r="F37">
        <f ca="1">_xll.BDP(J37,"PX_LAST")+M37</f>
        <v>0.15250000000000002</v>
      </c>
      <c r="I37" t="s">
        <v>83</v>
      </c>
      <c r="J37" t="s">
        <v>91</v>
      </c>
      <c r="M37">
        <f ca="1">_xll.BDP(N37,"PX_LAST")/100</f>
        <v>-0.125</v>
      </c>
      <c r="N37" t="s">
        <v>255</v>
      </c>
    </row>
    <row r="38" spans="1:14" x14ac:dyDescent="0.25">
      <c r="C38" s="1">
        <f t="shared" ca="1" si="2"/>
        <v>44272</v>
      </c>
      <c r="D38">
        <f ca="1">$P$31+100-_xll.BDP(I38,"PX_LAST")</f>
        <v>-0.39250000000001251</v>
      </c>
      <c r="E38" s="1">
        <f t="shared" ca="1" si="3"/>
        <v>46838</v>
      </c>
      <c r="F38">
        <f ca="1">_xll.BDP(J38,"PX_LAST")+M38</f>
        <v>0.24399999999999999</v>
      </c>
      <c r="I38" t="s">
        <v>84</v>
      </c>
      <c r="J38" t="s">
        <v>92</v>
      </c>
      <c r="M38">
        <f ca="1">_xll.BDP(N38,"PX_LAST")/100</f>
        <v>-0.125</v>
      </c>
      <c r="N38" t="s">
        <v>256</v>
      </c>
    </row>
    <row r="39" spans="1:14" x14ac:dyDescent="0.25">
      <c r="E39" s="1">
        <f t="shared" ca="1" si="3"/>
        <v>47203</v>
      </c>
      <c r="F39">
        <f ca="1">_xll.BDP(J39,"PX_LAST")+M39</f>
        <v>0.33274999999999999</v>
      </c>
      <c r="J39" t="s">
        <v>27</v>
      </c>
      <c r="M39">
        <f ca="1">_xll.BDP(N39,"PX_LAST")/100</f>
        <v>-0.12375</v>
      </c>
      <c r="N39" t="s">
        <v>257</v>
      </c>
    </row>
    <row r="40" spans="1:14" x14ac:dyDescent="0.25">
      <c r="E40" s="1">
        <f t="shared" ca="1" si="3"/>
        <v>47568</v>
      </c>
      <c r="F40">
        <f ca="1">_xll.BDP(J40,"PX_LAST")+M40</f>
        <v>0.41775000000000007</v>
      </c>
      <c r="J40" t="s">
        <v>93</v>
      </c>
      <c r="M40">
        <f ca="1">_xll.BDP(N40,"PX_LAST")/100</f>
        <v>-0.12125</v>
      </c>
      <c r="N40" t="s">
        <v>258</v>
      </c>
    </row>
    <row r="41" spans="1:14" x14ac:dyDescent="0.25">
      <c r="E41" s="1">
        <f t="shared" ca="1" si="3"/>
        <v>47933</v>
      </c>
      <c r="F41">
        <f ca="1">_xll.BDP(J41,"PX_LAST")+M41</f>
        <v>0.49600000000000005</v>
      </c>
      <c r="J41" t="s">
        <v>94</v>
      </c>
      <c r="M41">
        <f ca="1">_xll.BDP(N41,"PX_LAST")/100</f>
        <v>-0.11749999999999999</v>
      </c>
      <c r="N41" t="s">
        <v>259</v>
      </c>
    </row>
    <row r="42" spans="1:14" x14ac:dyDescent="0.25">
      <c r="E42" s="1">
        <f t="shared" ca="1" si="3"/>
        <v>48299</v>
      </c>
      <c r="F42">
        <f ca="1">_xll.BDP(J42,"PX_LAST")+M42</f>
        <v>0.57091666666666663</v>
      </c>
      <c r="J42" t="s">
        <v>95</v>
      </c>
      <c r="M42" s="16">
        <f ca="1">(M44-M41)/3+M41</f>
        <v>-0.10958333333333332</v>
      </c>
      <c r="N42" t="s">
        <v>260</v>
      </c>
    </row>
    <row r="43" spans="1:14" x14ac:dyDescent="0.25">
      <c r="E43" s="1">
        <f t="shared" ca="1" si="3"/>
        <v>48664</v>
      </c>
      <c r="F43">
        <f ca="1">_xll.BDP(J43,"PX_LAST")+M43</f>
        <v>0.63733333333333331</v>
      </c>
      <c r="J43" t="s">
        <v>96</v>
      </c>
      <c r="M43" s="16">
        <f ca="1">(M44-M41)/3*2+M41</f>
        <v>-0.10166666666666667</v>
      </c>
      <c r="N43" t="s">
        <v>261</v>
      </c>
    </row>
    <row r="44" spans="1:14" x14ac:dyDescent="0.25">
      <c r="E44" s="1">
        <f t="shared" ca="1" si="3"/>
        <v>49029</v>
      </c>
      <c r="F44">
        <f ca="1">_xll.BDP(J44,"PX_LAST")+M44</f>
        <v>0.69615000000000005</v>
      </c>
      <c r="J44" t="s">
        <v>97</v>
      </c>
      <c r="M44">
        <f ca="1">_xll.BDP(N44,"PX_LAST")/100</f>
        <v>-9.375E-2</v>
      </c>
      <c r="N44" t="s">
        <v>262</v>
      </c>
    </row>
    <row r="45" spans="1:14" x14ac:dyDescent="0.25">
      <c r="E45" s="1">
        <f t="shared" ca="1" si="3"/>
        <v>49394</v>
      </c>
      <c r="F45">
        <f ca="1">_xll.BDP(J45,"PX_LAST")+M45</f>
        <v>0.75114999999999998</v>
      </c>
      <c r="J45" t="s">
        <v>98</v>
      </c>
      <c r="M45" s="16">
        <f ca="1">(M47-M44)/5+M44</f>
        <v>-8.2750000000000004E-2</v>
      </c>
      <c r="N45" t="s">
        <v>263</v>
      </c>
    </row>
    <row r="46" spans="1:14" x14ac:dyDescent="0.25">
      <c r="E46" s="1">
        <f t="shared" ca="1" si="3"/>
        <v>49760</v>
      </c>
      <c r="F46">
        <f ca="1">_xll.BDP(J46,"PX_LAST")+M46</f>
        <v>0.79964999999999997</v>
      </c>
      <c r="J46" t="s">
        <v>99</v>
      </c>
      <c r="M46" s="16">
        <f ca="1">(M47-M44)/5*2+M44</f>
        <v>-7.1750000000000008E-2</v>
      </c>
      <c r="N46" t="s">
        <v>264</v>
      </c>
    </row>
    <row r="47" spans="1:14" x14ac:dyDescent="0.25">
      <c r="E47" s="1">
        <f ca="1">EDATE(E46,36)</f>
        <v>50855</v>
      </c>
      <c r="F47">
        <f ca="1">_xll.BDP(J47,"PX_LAST")+M47</f>
        <v>0.91425000000000001</v>
      </c>
      <c r="J47" t="s">
        <v>100</v>
      </c>
      <c r="M47">
        <f ca="1">_xll.BDP(N47,"PX_LAST")/100</f>
        <v>-3.875E-2</v>
      </c>
      <c r="N47" t="s">
        <v>265</v>
      </c>
    </row>
    <row r="48" spans="1:14" x14ac:dyDescent="0.25">
      <c r="E48" s="1">
        <f ca="1">EDATE(E47,60)</f>
        <v>52682</v>
      </c>
      <c r="F48">
        <f ca="1">_xll.BDP(J48,"PX_LAST")+M48</f>
        <v>1.0248999999999999</v>
      </c>
      <c r="J48" t="s">
        <v>101</v>
      </c>
      <c r="M48">
        <f ca="1">_xll.BDP(N48,"PX_LAST")/100</f>
        <v>0.01</v>
      </c>
      <c r="N48" t="s">
        <v>266</v>
      </c>
    </row>
    <row r="49" spans="1:17" x14ac:dyDescent="0.25">
      <c r="E49" s="1">
        <f ca="1">EDATE(E48,60)</f>
        <v>54508</v>
      </c>
      <c r="F49">
        <f ca="1">_xll.BDP(J49,"PX_LAST")+M49</f>
        <v>1.0753999999999999</v>
      </c>
      <c r="J49" t="s">
        <v>102</v>
      </c>
      <c r="M49">
        <f ca="1">_xll.BDP(N49,"PX_LAST")/100</f>
        <v>4.2500000000000003E-2</v>
      </c>
      <c r="N49" t="s">
        <v>267</v>
      </c>
    </row>
    <row r="50" spans="1:17" x14ac:dyDescent="0.25">
      <c r="E50" s="1">
        <f ca="1">EDATE(E49,120)</f>
        <v>58160</v>
      </c>
      <c r="F50">
        <f ca="1">_xll.BDP(J50,"PX_LAST")+M50</f>
        <v>1.06975</v>
      </c>
      <c r="J50" t="s">
        <v>103</v>
      </c>
      <c r="M50">
        <f ca="1">_xll.BDP(N50,"PX_LAST")/100</f>
        <v>4.3749999999999997E-2</v>
      </c>
      <c r="N50" t="s">
        <v>268</v>
      </c>
    </row>
    <row r="51" spans="1:17" x14ac:dyDescent="0.25">
      <c r="E51" s="1">
        <f ca="1">EDATE(E50,12)</f>
        <v>58526</v>
      </c>
      <c r="F51">
        <f ca="1">$F$50</f>
        <v>1.06975</v>
      </c>
    </row>
    <row r="54" spans="1:17" x14ac:dyDescent="0.25">
      <c r="A54" t="s">
        <v>19</v>
      </c>
      <c r="B54">
        <v>7</v>
      </c>
      <c r="D54">
        <v>7</v>
      </c>
      <c r="F54">
        <v>100</v>
      </c>
    </row>
    <row r="55" spans="1:17" x14ac:dyDescent="0.25">
      <c r="A55" t="s">
        <v>29</v>
      </c>
      <c r="B55" t="s">
        <v>30</v>
      </c>
      <c r="C55" t="s">
        <v>31</v>
      </c>
      <c r="D55" t="s">
        <v>32</v>
      </c>
      <c r="E55" t="s">
        <v>33</v>
      </c>
      <c r="F55" t="s">
        <v>34</v>
      </c>
      <c r="M55" s="4" t="s">
        <v>248</v>
      </c>
      <c r="N55" s="4" t="s">
        <v>35</v>
      </c>
    </row>
    <row r="56" spans="1:17" ht="15.6" customHeight="1" x14ac:dyDescent="0.25">
      <c r="A56" s="1">
        <f ca="1">WORKDAY(Swap_Date,1)</f>
        <v>43551</v>
      </c>
      <c r="B56">
        <f ca="1">_xll.BDP(H56,"PX_LAST")+$P$56</f>
        <v>-0.33574999999999999</v>
      </c>
      <c r="C56" s="1">
        <f ca="1">nextimm(Swap_Date)</f>
        <v>43635</v>
      </c>
      <c r="D56">
        <f ca="1">100-IF(ISNUMBER(_xll.BDP(I56,"PX_LAST")),_xll.BDP(I56,"PX_LAST")+$P$56,100-B59)</f>
        <v>-0.29442000000000235</v>
      </c>
      <c r="E56" s="1">
        <f ca="1">EDATE(Swap_Date,24)</f>
        <v>44281</v>
      </c>
      <c r="F56">
        <f ca="1">_xll.BDP(J56,"PX_LAST")+M56</f>
        <v>-0.31620000000000004</v>
      </c>
      <c r="H56" t="s">
        <v>0</v>
      </c>
      <c r="I56" t="s">
        <v>104</v>
      </c>
      <c r="J56" t="s">
        <v>112</v>
      </c>
      <c r="M56">
        <f ca="1">_xll.BDP(N56,"PX_LAST")/100</f>
        <v>-0.27500000000000002</v>
      </c>
      <c r="N56" t="s">
        <v>269</v>
      </c>
      <c r="P56">
        <f ca="1">_xll.BDP(Q56,"PX_LAST")/100</f>
        <v>-0.23375000000000001</v>
      </c>
      <c r="Q56" t="s">
        <v>363</v>
      </c>
    </row>
    <row r="57" spans="1:17" ht="15.6" customHeight="1" x14ac:dyDescent="0.25">
      <c r="A57" s="1">
        <f ca="1">EDATE(Swap_Date,1)</f>
        <v>43581</v>
      </c>
      <c r="B57">
        <f ca="1">_xll.BDP(H57,"PX_LAST")+$P$56</f>
        <v>-0.34025</v>
      </c>
      <c r="C57" s="1">
        <f ca="1">nextimm(C56+1)</f>
        <v>43726</v>
      </c>
      <c r="D57">
        <f ca="1">IFERROR(100-_xll.BDP(I57,"PX_LAST")+$M$56,D56)</f>
        <v>-0.29442000000000235</v>
      </c>
      <c r="E57" s="1">
        <f ca="1">EDATE(E56,12)</f>
        <v>44646</v>
      </c>
      <c r="F57">
        <f ca="1">_xll.BDP(J57,"PX_LAST")+M57</f>
        <v>-0.3775</v>
      </c>
      <c r="H57" t="s">
        <v>1</v>
      </c>
      <c r="I57" t="s">
        <v>105</v>
      </c>
      <c r="J57" t="s">
        <v>113</v>
      </c>
      <c r="M57">
        <f ca="1">_xll.BDP(N57,"PX_LAST")/100</f>
        <v>-0.32374999999999998</v>
      </c>
      <c r="N57" t="s">
        <v>270</v>
      </c>
    </row>
    <row r="58" spans="1:17" ht="15.6" customHeight="1" x14ac:dyDescent="0.25">
      <c r="A58" s="1">
        <f ca="1">EDATE(Swap_Date,2)</f>
        <v>43611</v>
      </c>
      <c r="B58">
        <f ca="1">_xll.BDP(H58,"PX_LAST")+$P$56</f>
        <v>-0.31458000000000003</v>
      </c>
      <c r="C58" s="1">
        <f t="shared" ref="C58:C63" ca="1" si="4">nextimm(C57+1)</f>
        <v>43817</v>
      </c>
      <c r="D58" t="e">
        <f ca="1">100-_xll.BDP(I58,"PX_LAST")+$M$56</f>
        <v>#VALUE!</v>
      </c>
      <c r="E58" s="1">
        <f t="shared" ref="E58:E71" ca="1" si="5">EDATE(E57,12)</f>
        <v>45011</v>
      </c>
      <c r="F58">
        <f ca="1">_xll.BDP(J58,"PX_LAST")+M58</f>
        <v>-0.42313000000000001</v>
      </c>
      <c r="H58" t="s">
        <v>2</v>
      </c>
      <c r="I58" t="s">
        <v>106</v>
      </c>
      <c r="J58" t="s">
        <v>114</v>
      </c>
      <c r="M58">
        <f ca="1">_xll.BDP(N58,"PX_LAST")/100</f>
        <v>-0.36749999999999999</v>
      </c>
      <c r="N58" t="s">
        <v>271</v>
      </c>
    </row>
    <row r="59" spans="1:17" x14ac:dyDescent="0.25">
      <c r="A59" s="1">
        <f ca="1">EDATE(Swap_Date,3)</f>
        <v>43642</v>
      </c>
      <c r="B59">
        <f ca="1">_xll.BDP(H59,"PX_LAST")+$P$56</f>
        <v>-0.29442000000000002</v>
      </c>
      <c r="C59" s="1">
        <f t="shared" ca="1" si="4"/>
        <v>43908</v>
      </c>
      <c r="D59">
        <f ca="1">100-_xll.BDP(I59,"PX_LAST")+$M$56</f>
        <v>-0.255000000000004</v>
      </c>
      <c r="E59" s="1">
        <f t="shared" ca="1" si="5"/>
        <v>45377</v>
      </c>
      <c r="F59">
        <f ca="1">_xll.BDP(J59,"PX_LAST")+M59</f>
        <v>-0.45249999999999996</v>
      </c>
      <c r="H59" t="s">
        <v>3</v>
      </c>
      <c r="I59" t="s">
        <v>107</v>
      </c>
      <c r="J59" t="s">
        <v>115</v>
      </c>
      <c r="M59">
        <f ca="1">_xll.BDP(N59,"PX_LAST")/100</f>
        <v>-0.40749999999999997</v>
      </c>
      <c r="N59" t="s">
        <v>272</v>
      </c>
    </row>
    <row r="60" spans="1:17" x14ac:dyDescent="0.25">
      <c r="A60" s="1">
        <f ca="1">EDATE(Swap_Date,6)</f>
        <v>43734</v>
      </c>
      <c r="B60">
        <f ca="1">_xll.BDP(H60,"PX_LAST")+$P$56</f>
        <v>-0.22158</v>
      </c>
      <c r="C60" s="1">
        <f t="shared" ca="1" si="4"/>
        <v>43999</v>
      </c>
      <c r="D60">
        <f ca="1">100-_xll.BDP(I60,"PX_LAST")+$M$56</f>
        <v>-0.255000000000004</v>
      </c>
      <c r="E60" s="1">
        <f t="shared" ca="1" si="5"/>
        <v>45742</v>
      </c>
      <c r="F60">
        <f ca="1">_xll.BDP(J60,"PX_LAST")+M60</f>
        <v>-0.4637</v>
      </c>
      <c r="H60" t="s">
        <v>4</v>
      </c>
      <c r="I60" t="s">
        <v>108</v>
      </c>
      <c r="J60" t="s">
        <v>116</v>
      </c>
      <c r="M60">
        <f ca="1">_xll.BDP(N60,"PX_LAST")/100</f>
        <v>-0.4375</v>
      </c>
      <c r="N60" t="s">
        <v>273</v>
      </c>
    </row>
    <row r="61" spans="1:17" x14ac:dyDescent="0.25">
      <c r="A61" s="1">
        <f ca="1">EDATE(Swap_Date,12)</f>
        <v>43916</v>
      </c>
      <c r="B61">
        <f ca="1">_xll.BDP(H61,"PX_LAST")+$P$56</f>
        <v>-0.13908000000000001</v>
      </c>
      <c r="C61" s="1">
        <f t="shared" ca="1" si="4"/>
        <v>44090</v>
      </c>
      <c r="D61">
        <f ca="1">100-_xll.BDP(I61,"PX_LAST")+$M$56</f>
        <v>-0.26499999999999491</v>
      </c>
      <c r="E61" s="1">
        <f t="shared" ca="1" si="5"/>
        <v>46107</v>
      </c>
      <c r="F61">
        <f ca="1">_xll.BDP(J61,"PX_LAST")+M61</f>
        <v>-0.45500999999999997</v>
      </c>
      <c r="H61" t="s">
        <v>5</v>
      </c>
      <c r="I61" t="s">
        <v>109</v>
      </c>
      <c r="J61" t="s">
        <v>117</v>
      </c>
      <c r="M61">
        <f ca="1">_xll.BDP(N61,"PX_LAST")/100</f>
        <v>-0.45874999999999999</v>
      </c>
      <c r="N61" t="s">
        <v>274</v>
      </c>
    </row>
    <row r="62" spans="1:17" x14ac:dyDescent="0.25">
      <c r="A62" s="10">
        <f ca="1">EDATE(A61,10)</f>
        <v>44222</v>
      </c>
      <c r="B62">
        <f ca="1">$B$61</f>
        <v>-0.13908000000000001</v>
      </c>
      <c r="C62" s="1">
        <f t="shared" ca="1" si="4"/>
        <v>44181</v>
      </c>
      <c r="D62">
        <f ca="1">100-_xll.BDP(I62,"PX_LAST")+$M$56</f>
        <v>-0.27500000000000002</v>
      </c>
      <c r="E62" s="1">
        <f t="shared" ca="1" si="5"/>
        <v>46472</v>
      </c>
      <c r="F62">
        <f ca="1">_xll.BDP(J62,"PX_LAST")+M62</f>
        <v>-0.44405</v>
      </c>
      <c r="I62" t="s">
        <v>110</v>
      </c>
      <c r="J62" t="s">
        <v>118</v>
      </c>
      <c r="M62">
        <f ca="1">_xll.BDP(N62,"PX_LAST")/100</f>
        <v>-0.47125</v>
      </c>
      <c r="N62" t="s">
        <v>275</v>
      </c>
    </row>
    <row r="63" spans="1:17" x14ac:dyDescent="0.25">
      <c r="C63" s="1">
        <f t="shared" ca="1" si="4"/>
        <v>44272</v>
      </c>
      <c r="D63">
        <f ca="1">100-_xll.BDP(I63,"PX_LAST")+$M$56</f>
        <v>-0.27999999999999547</v>
      </c>
      <c r="E63" s="1">
        <f t="shared" ca="1" si="5"/>
        <v>46838</v>
      </c>
      <c r="F63">
        <f ca="1">_xll.BDP(J63,"PX_LAST")+M63</f>
        <v>-0.4199</v>
      </c>
      <c r="I63" t="s">
        <v>111</v>
      </c>
      <c r="J63" t="s">
        <v>119</v>
      </c>
      <c r="M63">
        <f ca="1">_xll.BDP(N63,"PX_LAST")/100</f>
        <v>-0.47749999999999998</v>
      </c>
      <c r="N63" t="s">
        <v>276</v>
      </c>
    </row>
    <row r="64" spans="1:17" x14ac:dyDescent="0.25">
      <c r="E64" s="1">
        <f t="shared" ca="1" si="5"/>
        <v>47203</v>
      </c>
      <c r="F64">
        <f ca="1">_xll.BDP(J64,"PX_LAST")+M64</f>
        <v>-0.38500000000000001</v>
      </c>
      <c r="J64" t="s">
        <v>120</v>
      </c>
      <c r="M64">
        <f ca="1">_xll.BDP(N64,"PX_LAST")/100</f>
        <v>-0.48125000000000001</v>
      </c>
      <c r="N64" t="s">
        <v>277</v>
      </c>
    </row>
    <row r="65" spans="1:14" x14ac:dyDescent="0.25">
      <c r="E65" s="1">
        <f t="shared" ca="1" si="5"/>
        <v>47568</v>
      </c>
      <c r="F65">
        <f ca="1">_xll.BDP(J65,"PX_LAST")+M65</f>
        <v>-0.34750000000000003</v>
      </c>
      <c r="J65" t="s">
        <v>121</v>
      </c>
      <c r="M65">
        <f ca="1">_xll.BDP(N65,"PX_LAST")/100</f>
        <v>-0.47875000000000001</v>
      </c>
      <c r="N65" t="s">
        <v>278</v>
      </c>
    </row>
    <row r="66" spans="1:14" x14ac:dyDescent="0.25">
      <c r="E66" s="1">
        <f t="shared" ca="1" si="5"/>
        <v>47933</v>
      </c>
      <c r="F66">
        <f ca="1">_xll.BDP(J66,"PX_LAST")+M66</f>
        <v>-0.31</v>
      </c>
      <c r="J66" t="s">
        <v>122</v>
      </c>
      <c r="M66">
        <f ca="1">_xll.BDP(N66,"PX_LAST")/100</f>
        <v>-0.47625000000000001</v>
      </c>
      <c r="N66" t="s">
        <v>279</v>
      </c>
    </row>
    <row r="67" spans="1:14" x14ac:dyDescent="0.25">
      <c r="E67" s="1">
        <f t="shared" ca="1" si="5"/>
        <v>48299</v>
      </c>
      <c r="F67">
        <f ca="1">_xll.BDP(J67,"PX_LAST")+M67</f>
        <v>-0.26833333333333331</v>
      </c>
      <c r="J67" t="s">
        <v>123</v>
      </c>
      <c r="M67" s="16">
        <f ca="1">(M69-M66)/3+M66</f>
        <v>-0.47083333333333333</v>
      </c>
      <c r="N67" t="s">
        <v>280</v>
      </c>
    </row>
    <row r="68" spans="1:14" x14ac:dyDescent="0.25">
      <c r="E68" s="1">
        <f t="shared" ca="1" si="5"/>
        <v>48664</v>
      </c>
      <c r="F68">
        <f ca="1">_xll.BDP(J68,"PX_LAST")+M68</f>
        <v>-0.22916666666666671</v>
      </c>
      <c r="J68" t="s">
        <v>124</v>
      </c>
      <c r="M68" s="16">
        <f ca="1">(M69-M66)/3*2+M66</f>
        <v>-0.4654166666666667</v>
      </c>
      <c r="N68" t="s">
        <v>281</v>
      </c>
    </row>
    <row r="69" spans="1:14" x14ac:dyDescent="0.25">
      <c r="E69" s="1">
        <f t="shared" ca="1" si="5"/>
        <v>49029</v>
      </c>
      <c r="F69">
        <f ca="1">_xll.BDP(J69,"PX_LAST")+M69</f>
        <v>-0.1925</v>
      </c>
      <c r="J69" t="s">
        <v>125</v>
      </c>
      <c r="M69">
        <f ca="1">_xll.BDP(N69,"PX_LAST")/100</f>
        <v>-0.46</v>
      </c>
      <c r="N69" t="s">
        <v>282</v>
      </c>
    </row>
    <row r="70" spans="1:14" x14ac:dyDescent="0.25">
      <c r="E70" s="1">
        <f t="shared" ca="1" si="5"/>
        <v>49394</v>
      </c>
      <c r="F70">
        <f ca="1">_xll.BDP(J70,"PX_LAST")+M70</f>
        <v>-0.16925000000000007</v>
      </c>
      <c r="J70" t="s">
        <v>126</v>
      </c>
      <c r="M70" s="16">
        <f ca="1">(M72-M69)/5+M69</f>
        <v>-0.45275000000000004</v>
      </c>
      <c r="N70" t="s">
        <v>283</v>
      </c>
    </row>
    <row r="71" spans="1:14" x14ac:dyDescent="0.25">
      <c r="E71" s="1">
        <f t="shared" ca="1" si="5"/>
        <v>49760</v>
      </c>
      <c r="F71">
        <f ca="1">_xll.BDP(J71,"PX_LAST")+M71</f>
        <v>-0.13225000000000003</v>
      </c>
      <c r="J71" t="s">
        <v>127</v>
      </c>
      <c r="M71" s="16">
        <f ca="1">(M72-M69)/5*2+M69</f>
        <v>-0.44550000000000001</v>
      </c>
      <c r="N71" t="s">
        <v>284</v>
      </c>
    </row>
    <row r="72" spans="1:14" x14ac:dyDescent="0.25">
      <c r="E72" s="1">
        <f ca="1">EDATE(E71,36)</f>
        <v>50855</v>
      </c>
      <c r="F72">
        <f ca="1">_xll.BDP(J72,"PX_LAST")+M72</f>
        <v>-3.2250000000000001E-2</v>
      </c>
      <c r="J72" t="s">
        <v>128</v>
      </c>
      <c r="M72">
        <f ca="1">_xll.BDP(N72,"PX_LAST")/100</f>
        <v>-0.42375000000000002</v>
      </c>
      <c r="N72" t="s">
        <v>285</v>
      </c>
    </row>
    <row r="73" spans="1:14" x14ac:dyDescent="0.25">
      <c r="E73" s="1">
        <f ca="1">EDATE(E72,60)</f>
        <v>52682</v>
      </c>
      <c r="F73">
        <f ca="1">_xll.BDP(J73,"PX_LAST")+M73</f>
        <v>8.9999999999999969E-2</v>
      </c>
      <c r="J73" t="s">
        <v>129</v>
      </c>
      <c r="M73">
        <f ca="1">_xll.BDP(N73,"PX_LAST")/100</f>
        <v>-0.39750000000000002</v>
      </c>
      <c r="N73" t="s">
        <v>286</v>
      </c>
    </row>
    <row r="74" spans="1:14" x14ac:dyDescent="0.25">
      <c r="E74" s="1">
        <f ca="1">EDATE(E73,60)</f>
        <v>54508</v>
      </c>
      <c r="F74">
        <f ca="1">_xll.BDP(J74,"PX_LAST")+M74</f>
        <v>0.16249999999999998</v>
      </c>
      <c r="J74" t="s">
        <v>130</v>
      </c>
      <c r="M74">
        <f ca="1">_xll.BDP(N74,"PX_LAST")/100</f>
        <v>-0.37</v>
      </c>
      <c r="N74" t="s">
        <v>287</v>
      </c>
    </row>
    <row r="75" spans="1:14" x14ac:dyDescent="0.25">
      <c r="E75" s="1">
        <f ca="1">EDATE(E74,120)</f>
        <v>58160</v>
      </c>
      <c r="F75">
        <f ca="1">_xll.BDP(J75,"PX_LAST")+M75</f>
        <v>0.25544</v>
      </c>
      <c r="J75" t="s">
        <v>131</v>
      </c>
      <c r="M75">
        <f ca="1">_xll.BDP(N75,"PX_LAST")/100</f>
        <v>-0.32250000000000001</v>
      </c>
      <c r="N75" t="s">
        <v>288</v>
      </c>
    </row>
    <row r="76" spans="1:14" x14ac:dyDescent="0.25">
      <c r="E76" s="1">
        <f ca="1">EDATE(E75,12)</f>
        <v>58526</v>
      </c>
      <c r="F76">
        <f ca="1">$F$75</f>
        <v>0.25544</v>
      </c>
    </row>
    <row r="79" spans="1:14" x14ac:dyDescent="0.25">
      <c r="A79" t="s">
        <v>14</v>
      </c>
      <c r="B79">
        <v>7</v>
      </c>
      <c r="D79">
        <v>7</v>
      </c>
      <c r="F79">
        <v>100</v>
      </c>
    </row>
    <row r="80" spans="1:14" x14ac:dyDescent="0.25">
      <c r="A80" t="s">
        <v>29</v>
      </c>
      <c r="B80" t="s">
        <v>30</v>
      </c>
      <c r="C80" t="s">
        <v>31</v>
      </c>
      <c r="D80" t="s">
        <v>32</v>
      </c>
      <c r="E80" t="s">
        <v>33</v>
      </c>
      <c r="F80" t="s">
        <v>34</v>
      </c>
      <c r="M80" s="4" t="s">
        <v>248</v>
      </c>
      <c r="N80" s="4" t="s">
        <v>35</v>
      </c>
    </row>
    <row r="81" spans="1:17" x14ac:dyDescent="0.25">
      <c r="A81" s="1">
        <f ca="1">WORKDAY(Swap_Date,1)</f>
        <v>43551</v>
      </c>
      <c r="B81">
        <f ca="1">_xll.BDP(H81,"PX_LAST")+$P$81</f>
        <v>0.70012999999999992</v>
      </c>
      <c r="C81" s="1">
        <f ca="1">nextimm(Swap_Date)</f>
        <v>43635</v>
      </c>
      <c r="D81">
        <f ca="1">100-IF(ISNUMBER(_xll.BDP(I81,"PX_LAST")),_xll.BDP(I81,"PX_LAST")+$P$81,100-B84)</f>
        <v>0.85875000000000057</v>
      </c>
      <c r="E81" s="1">
        <f ca="1">EDATE(Swap_Date,24)</f>
        <v>44281</v>
      </c>
      <c r="F81">
        <f ca="1">_xll.BDP(J81,"PX_LAST")+M81</f>
        <v>0.99617</v>
      </c>
      <c r="H81" t="s">
        <v>135</v>
      </c>
      <c r="I81" t="s">
        <v>141</v>
      </c>
      <c r="J81" t="s">
        <v>149</v>
      </c>
      <c r="M81">
        <f ca="1">_xll.BDP(N81,"PX_LAST")/100</f>
        <v>4.4999999999999998E-2</v>
      </c>
      <c r="N81" t="s">
        <v>308</v>
      </c>
      <c r="P81">
        <f ca="1">_xll.BDP(Q81,"PX_LAST")/100</f>
        <v>2.2499999999999999E-2</v>
      </c>
      <c r="Q81" t="s">
        <v>366</v>
      </c>
    </row>
    <row r="82" spans="1:17" x14ac:dyDescent="0.25">
      <c r="A82" s="1">
        <f ca="1">EDATE(Swap_Date,1)</f>
        <v>43581</v>
      </c>
      <c r="B82">
        <f ca="1">_xll.BDP(H82,"PX_LAST")+$P$81</f>
        <v>0.75362999999999991</v>
      </c>
      <c r="C82" s="1">
        <f ca="1">nextimm(C81+1)</f>
        <v>43726</v>
      </c>
      <c r="D82">
        <f ca="1">IFERROR($P$81+100-_xll.BDP(I82,"PX_LAST"),D81)</f>
        <v>0.85875000000000057</v>
      </c>
      <c r="E82" s="1">
        <f ca="1">EDATE(E81,12)</f>
        <v>44646</v>
      </c>
      <c r="F82">
        <f ca="1">_xll.BDP(J82,"PX_LAST")+M82</f>
        <v>1.0409999999999999</v>
      </c>
      <c r="H82" t="s">
        <v>136</v>
      </c>
      <c r="I82" t="s">
        <v>142</v>
      </c>
      <c r="J82" t="s">
        <v>150</v>
      </c>
      <c r="M82" s="16">
        <f ca="1">(M81+M83)/2</f>
        <v>5.5E-2</v>
      </c>
      <c r="N82" t="s">
        <v>289</v>
      </c>
    </row>
    <row r="83" spans="1:17" x14ac:dyDescent="0.25">
      <c r="A83" s="1">
        <f ca="1">EDATE(Swap_Date,2)</f>
        <v>43611</v>
      </c>
      <c r="B83">
        <f ca="1">_xll.BDP(H83,"PX_LAST")+$P$81</f>
        <v>0.79937999999999998</v>
      </c>
      <c r="C83" s="1">
        <f t="shared" ref="C83:C88" ca="1" si="6">nextimm(C82+1)</f>
        <v>43817</v>
      </c>
      <c r="D83" t="e">
        <f ca="1">$P$81+100-_xll.BDP(I83,"PX_LAST")</f>
        <v>#VALUE!</v>
      </c>
      <c r="E83" s="1">
        <f t="shared" ref="E83:E96" ca="1" si="7">EDATE(E82,12)</f>
        <v>45011</v>
      </c>
      <c r="F83">
        <f ca="1">_xll.BDP(J83,"PX_LAST")+M83</f>
        <v>1.0899999999999999</v>
      </c>
      <c r="H83" t="s">
        <v>137</v>
      </c>
      <c r="I83" t="s">
        <v>143</v>
      </c>
      <c r="J83" t="s">
        <v>151</v>
      </c>
      <c r="M83">
        <f ca="1">_xll.BDP(N83,"PX_LAST")/100</f>
        <v>6.5000000000000002E-2</v>
      </c>
      <c r="N83" t="s">
        <v>290</v>
      </c>
    </row>
    <row r="84" spans="1:17" x14ac:dyDescent="0.25">
      <c r="A84" s="1">
        <f ca="1">EDATE(Swap_Date,3)</f>
        <v>43642</v>
      </c>
      <c r="B84">
        <f ca="1">_xll.BDP(H84,"PX_LAST")+$P$81</f>
        <v>0.85875000000000001</v>
      </c>
      <c r="C84" s="1">
        <f t="shared" ca="1" si="6"/>
        <v>43908</v>
      </c>
      <c r="D84">
        <f ca="1">$P$81+100-_xll.BDP(I84,"PX_LAST")</f>
        <v>0.86749999999999261</v>
      </c>
      <c r="E84" s="1">
        <f t="shared" ca="1" si="7"/>
        <v>45377</v>
      </c>
      <c r="F84">
        <f ca="1">_xll.BDP(J84,"PX_LAST")+M84</f>
        <v>1.13375</v>
      </c>
      <c r="H84" t="s">
        <v>138</v>
      </c>
      <c r="I84" t="s">
        <v>144</v>
      </c>
      <c r="J84" t="s">
        <v>152</v>
      </c>
      <c r="M84">
        <f ca="1">_xll.BDP(N84,"PX_LAST")/100</f>
        <v>7.3749999999999996E-2</v>
      </c>
      <c r="N84" t="s">
        <v>291</v>
      </c>
    </row>
    <row r="85" spans="1:17" x14ac:dyDescent="0.25">
      <c r="A85" s="1">
        <f ca="1">EDATE(Swap_Date,6)</f>
        <v>43734</v>
      </c>
      <c r="B85">
        <f ca="1">_xll.BDP(H85,"PX_LAST")+$P$81</f>
        <v>0.97087999999999997</v>
      </c>
      <c r="C85" s="1">
        <f t="shared" ca="1" si="6"/>
        <v>43999</v>
      </c>
      <c r="D85">
        <f ca="1">$P$81+100-_xll.BDP(I85,"PX_LAST")</f>
        <v>0.85249999999999204</v>
      </c>
      <c r="E85" s="1">
        <f t="shared" ca="1" si="7"/>
        <v>45742</v>
      </c>
      <c r="F85">
        <f ca="1">_xll.BDP(J85,"PX_LAST")+M85</f>
        <v>1.17306</v>
      </c>
      <c r="H85" t="s">
        <v>139</v>
      </c>
      <c r="I85" t="s">
        <v>145</v>
      </c>
      <c r="J85" t="s">
        <v>153</v>
      </c>
      <c r="M85">
        <f ca="1">_xll.BDP(N85,"PX_LAST")/100</f>
        <v>8.2500000000000004E-2</v>
      </c>
      <c r="N85" t="s">
        <v>292</v>
      </c>
    </row>
    <row r="86" spans="1:17" x14ac:dyDescent="0.25">
      <c r="A86" s="1">
        <f ca="1">EDATE(Swap_Date,12)</f>
        <v>43916</v>
      </c>
      <c r="B86">
        <f ca="1">_xll.BDP(H86,"PX_LAST")+$P$81</f>
        <v>1.0836299999999999</v>
      </c>
      <c r="C86" s="1">
        <f t="shared" ca="1" si="6"/>
        <v>44090</v>
      </c>
      <c r="D86">
        <f ca="1">$P$81+100-_xll.BDP(I86,"PX_LAST")</f>
        <v>0.85749999999998749</v>
      </c>
      <c r="E86" s="1">
        <f t="shared" ca="1" si="7"/>
        <v>46107</v>
      </c>
      <c r="F86">
        <f ca="1">_xll.BDP(J86,"PX_LAST")+M86</f>
        <v>1.2117500000000001</v>
      </c>
      <c r="H86" t="s">
        <v>140</v>
      </c>
      <c r="I86" t="s">
        <v>146</v>
      </c>
      <c r="J86" t="s">
        <v>154</v>
      </c>
      <c r="M86">
        <f ca="1">_xll.BDP(N86,"PX_LAST")/100</f>
        <v>9.1249999999999998E-2</v>
      </c>
      <c r="N86" t="s">
        <v>293</v>
      </c>
    </row>
    <row r="87" spans="1:17" x14ac:dyDescent="0.25">
      <c r="A87" s="10">
        <f ca="1">EDATE(A86,10)</f>
        <v>44222</v>
      </c>
      <c r="B87">
        <f ca="1">$B$86</f>
        <v>1.0836299999999999</v>
      </c>
      <c r="C87" s="1">
        <f t="shared" ca="1" si="6"/>
        <v>44181</v>
      </c>
      <c r="D87">
        <f ca="1">$P$81+100-_xll.BDP(I87,"PX_LAST")</f>
        <v>0.85249999999999204</v>
      </c>
      <c r="E87" s="1">
        <f t="shared" ca="1" si="7"/>
        <v>46472</v>
      </c>
      <c r="F87">
        <f ca="1">_xll.BDP(J87,"PX_LAST")+M87</f>
        <v>1.25</v>
      </c>
      <c r="I87" t="s">
        <v>147</v>
      </c>
      <c r="J87" t="s">
        <v>155</v>
      </c>
      <c r="M87">
        <f ca="1">_xll.BDP(N87,"PX_LAST")/100</f>
        <v>0.1</v>
      </c>
      <c r="N87" t="s">
        <v>294</v>
      </c>
    </row>
    <row r="88" spans="1:17" x14ac:dyDescent="0.25">
      <c r="C88" s="1">
        <f t="shared" ca="1" si="6"/>
        <v>44272</v>
      </c>
      <c r="D88">
        <f ca="1">$P$81+100-_xll.BDP(I88,"PX_LAST")</f>
        <v>0.87249999999998806</v>
      </c>
      <c r="E88" s="1">
        <f t="shared" ca="1" si="7"/>
        <v>46838</v>
      </c>
      <c r="F88">
        <f ca="1">_xll.BDP(J88,"PX_LAST")+M88</f>
        <v>1.2890000000000001</v>
      </c>
      <c r="I88" t="s">
        <v>148</v>
      </c>
      <c r="J88" t="s">
        <v>156</v>
      </c>
      <c r="M88">
        <f ca="1">_xll.BDP(N88,"PX_LAST")/100</f>
        <v>0.11</v>
      </c>
      <c r="N88" t="s">
        <v>295</v>
      </c>
    </row>
    <row r="89" spans="1:17" x14ac:dyDescent="0.25">
      <c r="E89" s="1">
        <f t="shared" ca="1" si="7"/>
        <v>47203</v>
      </c>
      <c r="F89">
        <f ca="1">_xll.BDP(J89,"PX_LAST")+M89</f>
        <v>1.3247499999999999</v>
      </c>
      <c r="J89" t="s">
        <v>28</v>
      </c>
      <c r="M89">
        <f ca="1">_xll.BDP(N89,"PX_LAST")/100</f>
        <v>0.11874999999999999</v>
      </c>
      <c r="N89" t="s">
        <v>296</v>
      </c>
    </row>
    <row r="90" spans="1:17" x14ac:dyDescent="0.25">
      <c r="E90" s="1">
        <f t="shared" ca="1" si="7"/>
        <v>47568</v>
      </c>
      <c r="F90">
        <f ca="1">_xll.BDP(J90,"PX_LAST")+M90</f>
        <v>1.3558600000000001</v>
      </c>
      <c r="J90" t="s">
        <v>157</v>
      </c>
      <c r="M90">
        <f ca="1">_xll.BDP(N90,"PX_LAST")/100</f>
        <v>0.12375</v>
      </c>
      <c r="N90" t="s">
        <v>297</v>
      </c>
    </row>
    <row r="91" spans="1:17" x14ac:dyDescent="0.25">
      <c r="E91" s="1">
        <f t="shared" ca="1" si="7"/>
        <v>47933</v>
      </c>
      <c r="F91">
        <f ca="1">_xll.BDP(J91,"PX_LAST")+M91</f>
        <v>1.3779999999999999</v>
      </c>
      <c r="J91" t="s">
        <v>158</v>
      </c>
      <c r="M91">
        <f ca="1">_xll.BDP(N91,"PX_LAST")/100</f>
        <v>0.125</v>
      </c>
      <c r="N91" t="s">
        <v>298</v>
      </c>
    </row>
    <row r="92" spans="1:17" x14ac:dyDescent="0.25">
      <c r="E92" s="1">
        <f t="shared" ca="1" si="7"/>
        <v>48299</v>
      </c>
      <c r="F92">
        <f ca="1">_xll.BDP(J92,"PX_LAST")+M92</f>
        <v>1.3938333333333333</v>
      </c>
      <c r="J92" t="s">
        <v>159</v>
      </c>
      <c r="M92" s="16">
        <f ca="1">(M94-M91)/3+M91</f>
        <v>0.12083333333333333</v>
      </c>
      <c r="N92" t="s">
        <v>299</v>
      </c>
    </row>
    <row r="93" spans="1:17" x14ac:dyDescent="0.25">
      <c r="E93" s="1">
        <f t="shared" ca="1" si="7"/>
        <v>48664</v>
      </c>
      <c r="F93">
        <f ca="1">_xll.BDP(J93,"PX_LAST")+M93</f>
        <v>1.4041666666666668</v>
      </c>
      <c r="J93" t="s">
        <v>160</v>
      </c>
      <c r="M93" s="16">
        <f ca="1">(M94-M91)/3*2+M91</f>
        <v>0.11666666666666667</v>
      </c>
      <c r="N93" t="s">
        <v>300</v>
      </c>
    </row>
    <row r="94" spans="1:17" x14ac:dyDescent="0.25">
      <c r="E94" s="1">
        <f t="shared" ca="1" si="7"/>
        <v>49029</v>
      </c>
      <c r="F94">
        <f ca="1">_xll.BDP(J94,"PX_LAST")+M94</f>
        <v>1.4137500000000001</v>
      </c>
      <c r="J94" t="s">
        <v>161</v>
      </c>
      <c r="M94">
        <f ca="1">_xll.BDP(N94,"PX_LAST")/100</f>
        <v>0.1125</v>
      </c>
      <c r="N94" t="s">
        <v>301</v>
      </c>
    </row>
    <row r="95" spans="1:17" x14ac:dyDescent="0.25">
      <c r="E95" s="1">
        <f t="shared" ca="1" si="7"/>
        <v>49394</v>
      </c>
      <c r="F95">
        <f ca="1">_xll.BDP(J95,"PX_LAST")+M95</f>
        <v>1.4212500000000001</v>
      </c>
      <c r="J95" t="s">
        <v>162</v>
      </c>
      <c r="M95" s="16">
        <f ca="1">(M97-M94)/5+M94</f>
        <v>0.10925</v>
      </c>
      <c r="N95" t="s">
        <v>302</v>
      </c>
    </row>
    <row r="96" spans="1:17" x14ac:dyDescent="0.25">
      <c r="E96" s="1">
        <f t="shared" ca="1" si="7"/>
        <v>49760</v>
      </c>
      <c r="F96">
        <f ca="1">_xll.BDP(J96,"PX_LAST")+M96</f>
        <v>1.4273</v>
      </c>
      <c r="J96" t="s">
        <v>163</v>
      </c>
      <c r="M96" s="16">
        <f ca="1">(M97-M94)/5*2+M94</f>
        <v>0.106</v>
      </c>
      <c r="N96" t="s">
        <v>303</v>
      </c>
    </row>
    <row r="97" spans="1:17" x14ac:dyDescent="0.25">
      <c r="E97" s="1">
        <f ca="1">EDATE(E96,36)</f>
        <v>50855</v>
      </c>
      <c r="F97">
        <f ca="1">_xll.BDP(J97,"PX_LAST")+M97</f>
        <v>1.43675</v>
      </c>
      <c r="J97" t="s">
        <v>164</v>
      </c>
      <c r="M97">
        <f ca="1">_xll.BDP(N97,"PX_LAST")/100</f>
        <v>9.6250000000000002E-2</v>
      </c>
      <c r="N97" t="s">
        <v>304</v>
      </c>
    </row>
    <row r="98" spans="1:17" x14ac:dyDescent="0.25">
      <c r="E98" s="1">
        <f ca="1">EDATE(E97,60)</f>
        <v>52682</v>
      </c>
      <c r="F98">
        <f ca="1">_xll.BDP(J98,"PX_LAST")+M98</f>
        <v>1.4332399999999998</v>
      </c>
      <c r="J98" t="s">
        <v>165</v>
      </c>
      <c r="M98">
        <f ca="1">_xll.BDP(N98,"PX_LAST")/100</f>
        <v>8.6249999999999993E-2</v>
      </c>
      <c r="N98" t="s">
        <v>305</v>
      </c>
    </row>
    <row r="99" spans="1:17" x14ac:dyDescent="0.25">
      <c r="E99" s="1">
        <f ca="1">EDATE(E98,60)</f>
        <v>54508</v>
      </c>
      <c r="F99">
        <f ca="1">_xll.BDP(J99,"PX_LAST")+M99</f>
        <v>1.4485833333333333</v>
      </c>
      <c r="J99" t="s">
        <v>166</v>
      </c>
      <c r="M99" s="16">
        <f ca="1">(M100-M98)/3+M98</f>
        <v>0.10458333333333332</v>
      </c>
      <c r="N99" t="s">
        <v>306</v>
      </c>
    </row>
    <row r="100" spans="1:17" x14ac:dyDescent="0.25">
      <c r="E100" s="1">
        <f ca="1">EDATE(E99,120)</f>
        <v>58160</v>
      </c>
      <c r="F100">
        <f ca="1">_xll.BDP(J100,"PX_LAST")+M100</f>
        <v>1.46</v>
      </c>
      <c r="J100" t="s">
        <v>167</v>
      </c>
      <c r="M100">
        <f ca="1">_xll.BDP(N100,"PX_LAST")/100</f>
        <v>0.14124999999999999</v>
      </c>
      <c r="N100" t="s">
        <v>307</v>
      </c>
    </row>
    <row r="101" spans="1:17" x14ac:dyDescent="0.25">
      <c r="E101" s="1">
        <f ca="1">EDATE(E100,12)</f>
        <v>58526</v>
      </c>
      <c r="F101">
        <f ca="1">$F$100</f>
        <v>1.46</v>
      </c>
    </row>
    <row r="104" spans="1:17" x14ac:dyDescent="0.25">
      <c r="A104" t="s">
        <v>247</v>
      </c>
      <c r="B104">
        <v>7</v>
      </c>
      <c r="D104">
        <v>7</v>
      </c>
      <c r="F104">
        <v>100</v>
      </c>
    </row>
    <row r="105" spans="1:17" x14ac:dyDescent="0.25">
      <c r="A105" t="s">
        <v>29</v>
      </c>
      <c r="B105" t="s">
        <v>30</v>
      </c>
      <c r="C105" t="s">
        <v>31</v>
      </c>
      <c r="D105" t="s">
        <v>32</v>
      </c>
      <c r="E105" t="s">
        <v>33</v>
      </c>
      <c r="F105" t="s">
        <v>34</v>
      </c>
      <c r="M105" s="4" t="s">
        <v>248</v>
      </c>
      <c r="N105" s="4" t="s">
        <v>35</v>
      </c>
    </row>
    <row r="106" spans="1:17" x14ac:dyDescent="0.25">
      <c r="A106" s="1">
        <f ca="1">WORKDAY(Swap_Date,1)</f>
        <v>43551</v>
      </c>
      <c r="B106">
        <f ca="1">_xll.BDP(H106,"PX_LAST")+$P$106</f>
        <v>-0.87580000000000002</v>
      </c>
      <c r="C106" s="1">
        <f ca="1">nextimm(Swap_Date)</f>
        <v>43635</v>
      </c>
      <c r="D106">
        <f ca="1">100-IF(ISNUMBER(_xll.BDP(I106,"PX_LAST")),_xll.BDP(I106,"PX_LAST")+$P$106,100-B109)</f>
        <v>-0.79319999999999879</v>
      </c>
      <c r="E106" s="1">
        <f ca="1">EDATE(Swap_Date,24)</f>
        <v>44281</v>
      </c>
      <c r="F106">
        <f ca="1">_xll.BDP(J106,"PX_LAST")+M106</f>
        <v>-0.7419</v>
      </c>
      <c r="H106" t="s">
        <v>168</v>
      </c>
      <c r="I106" t="s">
        <v>174</v>
      </c>
      <c r="J106" t="s">
        <v>182</v>
      </c>
      <c r="M106">
        <f ca="1">_xll.BDP(N106,"PX_LAST")/100</f>
        <v>-8.5000000000000006E-2</v>
      </c>
      <c r="N106" t="s">
        <v>309</v>
      </c>
      <c r="P106">
        <f ca="1">_xll.BDP(Q106,"PX_LAST")/100</f>
        <v>-0.09</v>
      </c>
      <c r="Q106" t="s">
        <v>364</v>
      </c>
    </row>
    <row r="107" spans="1:17" x14ac:dyDescent="0.25">
      <c r="A107" s="1">
        <f ca="1">EDATE(Swap_Date,1)</f>
        <v>43581</v>
      </c>
      <c r="B107">
        <f ca="1">_xll.BDP(H107,"PX_LAST")+$P$106</f>
        <v>-0.87380000000000002</v>
      </c>
      <c r="C107" s="1">
        <f ca="1">nextimm(C106+1)</f>
        <v>43726</v>
      </c>
      <c r="D107">
        <f ca="1">IFERROR($P$106+100-_xll.BDP(I107,"PX_LAST"),D106)</f>
        <v>-0.79319999999999879</v>
      </c>
      <c r="E107" s="1">
        <f ca="1">EDATE(E106,12)</f>
        <v>44646</v>
      </c>
      <c r="F107">
        <f ca="1">_xll.BDP(J107,"PX_LAST")+M107</f>
        <v>-0.69625000000000004</v>
      </c>
      <c r="H107" t="s">
        <v>169</v>
      </c>
      <c r="I107" t="s">
        <v>175</v>
      </c>
      <c r="J107" t="s">
        <v>183</v>
      </c>
      <c r="M107" s="16">
        <f ca="1">(M106+M108)/2</f>
        <v>-9.6250000000000002E-2</v>
      </c>
      <c r="N107" t="s">
        <v>310</v>
      </c>
    </row>
    <row r="108" spans="1:17" x14ac:dyDescent="0.25">
      <c r="A108" s="1">
        <f ca="1">EDATE(Swap_Date,2)</f>
        <v>43611</v>
      </c>
      <c r="B108">
        <f ca="1">_xll.BDP(H108,"PX_LAST")+$P$106</f>
        <v>-0.81579999999999997</v>
      </c>
      <c r="C108" s="1">
        <f t="shared" ref="C108:C113" ca="1" si="8">nextimm(C107+1)</f>
        <v>43817</v>
      </c>
      <c r="D108" t="e">
        <f ca="1">$P$106+100-_xll.BDP(I108,"PX_LAST")</f>
        <v>#VALUE!</v>
      </c>
      <c r="E108" s="1">
        <f t="shared" ref="E108:E119" ca="1" si="9">EDATE(E107,12)</f>
        <v>45011</v>
      </c>
      <c r="F108">
        <f ca="1">_xll.BDP(J108,"PX_LAST")+M108</f>
        <v>-0.63500000000000001</v>
      </c>
      <c r="H108" t="s">
        <v>170</v>
      </c>
      <c r="I108" t="s">
        <v>176</v>
      </c>
      <c r="J108" t="s">
        <v>184</v>
      </c>
      <c r="M108">
        <f ca="1">_xll.BDP(N108,"PX_LAST")/100</f>
        <v>-0.1075</v>
      </c>
      <c r="N108" t="s">
        <v>311</v>
      </c>
    </row>
    <row r="109" spans="1:17" x14ac:dyDescent="0.25">
      <c r="A109" s="1">
        <f ca="1">EDATE(Swap_Date,3)</f>
        <v>43642</v>
      </c>
      <c r="B109">
        <f ca="1">_xll.BDP(H109,"PX_LAST")+$P$106</f>
        <v>-0.79320000000000002</v>
      </c>
      <c r="C109" s="1">
        <f t="shared" ca="1" si="8"/>
        <v>43908</v>
      </c>
      <c r="D109">
        <f ca="1">$P$106+100-_xll.BDP(I109,"PX_LAST")</f>
        <v>-0.81000000000000227</v>
      </c>
      <c r="E109" s="1">
        <f t="shared" ca="1" si="9"/>
        <v>45377</v>
      </c>
      <c r="F109">
        <f ca="1">_xll.BDP(J109,"PX_LAST")+M109</f>
        <v>-0.55374999999999996</v>
      </c>
      <c r="H109" t="s">
        <v>171</v>
      </c>
      <c r="I109" t="s">
        <v>177</v>
      </c>
      <c r="J109" t="s">
        <v>185</v>
      </c>
      <c r="M109">
        <f ca="1">_xll.BDP(N109,"PX_LAST")/100</f>
        <v>-0.10875</v>
      </c>
      <c r="N109" t="s">
        <v>312</v>
      </c>
    </row>
    <row r="110" spans="1:17" x14ac:dyDescent="0.25">
      <c r="A110" s="1">
        <f ca="1">EDATE(Swap_Date,6)</f>
        <v>43734</v>
      </c>
      <c r="B110">
        <f ca="1">_xll.BDP(H110,"PX_LAST")+$P$106</f>
        <v>-0.72939999999999994</v>
      </c>
      <c r="C110" s="1">
        <f t="shared" ca="1" si="8"/>
        <v>43999</v>
      </c>
      <c r="D110">
        <f ca="1">$P$106+100-_xll.BDP(I110,"PX_LAST")</f>
        <v>-0.84000000000000341</v>
      </c>
      <c r="E110" s="1">
        <f t="shared" ca="1" si="9"/>
        <v>45742</v>
      </c>
      <c r="F110">
        <f ca="1">_xll.BDP(J110,"PX_LAST")+M110</f>
        <v>-0.48749999999999999</v>
      </c>
      <c r="H110" t="s">
        <v>172</v>
      </c>
      <c r="I110" t="s">
        <v>178</v>
      </c>
      <c r="J110" t="s">
        <v>186</v>
      </c>
      <c r="M110">
        <f ca="1">_xll.BDP(N110,"PX_LAST")/100</f>
        <v>-0.13</v>
      </c>
      <c r="N110" t="s">
        <v>313</v>
      </c>
    </row>
    <row r="111" spans="1:17" x14ac:dyDescent="0.25">
      <c r="A111" s="1">
        <f ca="1">EDATE(Swap_Date,12)</f>
        <v>43916</v>
      </c>
      <c r="B111">
        <f ca="1">_xll.BDP(H111,"PX_LAST")+$P$106</f>
        <v>-0.59599999999999997</v>
      </c>
      <c r="C111" s="1">
        <f t="shared" ca="1" si="8"/>
        <v>44090</v>
      </c>
      <c r="D111">
        <f ca="1">$P$106+100-_xll.BDP(I111,"PX_LAST")</f>
        <v>-0.84000000000000341</v>
      </c>
      <c r="E111" s="1">
        <f t="shared" ca="1" si="9"/>
        <v>46107</v>
      </c>
      <c r="F111">
        <f ca="1">_xll.BDP(J111,"PX_LAST")+M111</f>
        <v>-0.42125000000000001</v>
      </c>
      <c r="H111" t="s">
        <v>173</v>
      </c>
      <c r="I111" t="s">
        <v>179</v>
      </c>
      <c r="J111" t="s">
        <v>187</v>
      </c>
      <c r="M111">
        <f ca="1">_xll.BDP(N111,"PX_LAST")/100</f>
        <v>-0.15375</v>
      </c>
      <c r="N111" t="s">
        <v>314</v>
      </c>
    </row>
    <row r="112" spans="1:17" x14ac:dyDescent="0.25">
      <c r="A112" s="10">
        <f ca="1">EDATE(A111,10)</f>
        <v>44222</v>
      </c>
      <c r="B112" s="11">
        <f ca="1">$B$111</f>
        <v>-0.59599999999999997</v>
      </c>
      <c r="C112" s="1">
        <f t="shared" ca="1" si="8"/>
        <v>44181</v>
      </c>
      <c r="D112">
        <f ca="1">$P$106+100-_xll.BDP(I112,"PX_LAST")</f>
        <v>-0.82999999999999829</v>
      </c>
      <c r="E112" s="1">
        <f t="shared" ca="1" si="9"/>
        <v>46472</v>
      </c>
      <c r="F112">
        <f ca="1">_xll.BDP(J112,"PX_LAST")+M112</f>
        <v>-0.34425</v>
      </c>
      <c r="I112" t="s">
        <v>180</v>
      </c>
      <c r="J112" t="s">
        <v>188</v>
      </c>
      <c r="M112">
        <f ca="1">_xll.BDP(N112,"PX_LAST")/100</f>
        <v>-0.16625000000000001</v>
      </c>
      <c r="N112" t="s">
        <v>315</v>
      </c>
    </row>
    <row r="113" spans="3:14" x14ac:dyDescent="0.25">
      <c r="C113" s="1">
        <f t="shared" ca="1" si="8"/>
        <v>44272</v>
      </c>
      <c r="D113">
        <f ca="1">100-_xll.BDP(I113,"PX_LAST")</f>
        <v>-0.73000000000000398</v>
      </c>
      <c r="E113" s="1">
        <f t="shared" ca="1" si="9"/>
        <v>46838</v>
      </c>
      <c r="F113">
        <f ca="1">_xll.BDP(J113,"PX_LAST")+M113</f>
        <v>-0.27374999999999999</v>
      </c>
      <c r="I113" t="s">
        <v>181</v>
      </c>
      <c r="J113" t="s">
        <v>189</v>
      </c>
      <c r="M113">
        <f ca="1">_xll.BDP(N113,"PX_LAST")/100</f>
        <v>-0.18375</v>
      </c>
      <c r="N113" t="s">
        <v>316</v>
      </c>
    </row>
    <row r="114" spans="3:14" x14ac:dyDescent="0.25">
      <c r="E114" s="1">
        <f t="shared" ca="1" si="9"/>
        <v>47203</v>
      </c>
      <c r="F114">
        <f ca="1">_xll.BDP(J114,"PX_LAST")+M114</f>
        <v>-0.21149999999999999</v>
      </c>
      <c r="J114" t="s">
        <v>190</v>
      </c>
      <c r="M114">
        <f ca="1">_xll.BDP(N114,"PX_LAST")/100</f>
        <v>-0.20749999999999999</v>
      </c>
      <c r="N114" t="s">
        <v>317</v>
      </c>
    </row>
    <row r="115" spans="3:14" x14ac:dyDescent="0.25">
      <c r="E115" s="1">
        <f t="shared" ca="1" si="9"/>
        <v>47568</v>
      </c>
      <c r="F115">
        <f ca="1">_xll.BDP(J115,"PX_LAST")+M115</f>
        <v>-0.14124999999999999</v>
      </c>
      <c r="J115" t="s">
        <v>191</v>
      </c>
      <c r="M115" s="16">
        <f ca="1">(M114+M116)/2</f>
        <v>-0.21375</v>
      </c>
      <c r="N115" t="s">
        <v>318</v>
      </c>
    </row>
    <row r="116" spans="3:14" x14ac:dyDescent="0.25">
      <c r="E116" s="1">
        <f t="shared" ca="1" si="9"/>
        <v>47933</v>
      </c>
      <c r="F116">
        <f ca="1">_xll.BDP(J116,"PX_LAST")+M116</f>
        <v>-7.9000000000000015E-2</v>
      </c>
      <c r="J116" t="s">
        <v>192</v>
      </c>
      <c r="M116">
        <f ca="1">_xll.BDP(N116,"PX_LAST")/100</f>
        <v>-0.22</v>
      </c>
      <c r="N116" t="s">
        <v>319</v>
      </c>
    </row>
    <row r="117" spans="3:14" x14ac:dyDescent="0.25">
      <c r="E117" s="1">
        <f t="shared" ca="1" si="9"/>
        <v>48299</v>
      </c>
      <c r="F117">
        <f ca="1">_xll.BDP(J117,"PX_LAST")+M117</f>
        <v>-2.0833333333333315E-2</v>
      </c>
      <c r="J117" t="s">
        <v>193</v>
      </c>
      <c r="M117" s="16">
        <f ca="1">(M119-M116)/3+M116</f>
        <v>-0.22083333333333333</v>
      </c>
      <c r="N117" t="s">
        <v>320</v>
      </c>
    </row>
    <row r="118" spans="3:14" x14ac:dyDescent="0.25">
      <c r="E118" s="1">
        <f t="shared" ca="1" si="9"/>
        <v>48664</v>
      </c>
      <c r="F118">
        <f ca="1">_xll.BDP(J118,"PX_LAST")+M118</f>
        <v>6.2133333333333318E-2</v>
      </c>
      <c r="J118" t="s">
        <v>194</v>
      </c>
      <c r="M118" s="16">
        <f ca="1">(M119-M116)/3*2+M116</f>
        <v>-0.22166666666666668</v>
      </c>
      <c r="N118" t="s">
        <v>321</v>
      </c>
    </row>
    <row r="119" spans="3:14" x14ac:dyDescent="0.25">
      <c r="E119" s="1">
        <f t="shared" ca="1" si="9"/>
        <v>49029</v>
      </c>
      <c r="F119">
        <f ca="1">_xll.BDP(J119,"PX_LAST")+M119</f>
        <v>8.7499999999999994E-2</v>
      </c>
      <c r="J119" t="s">
        <v>195</v>
      </c>
      <c r="M119">
        <f ca="1">_xll.BDP(N119,"PX_LAST")/100</f>
        <v>-0.2225</v>
      </c>
      <c r="N119" t="s">
        <v>322</v>
      </c>
    </row>
    <row r="120" spans="3:14" x14ac:dyDescent="0.25">
      <c r="E120" s="1">
        <f ca="1">EDATE(E119,60)</f>
        <v>50855</v>
      </c>
      <c r="F120">
        <f ca="1">_xll.BDP(J120,"PX_LAST")+M120</f>
        <v>0.24600000000000002</v>
      </c>
      <c r="J120" t="s">
        <v>196</v>
      </c>
      <c r="M120">
        <f ca="1">_xll.BDP(N120,"PX_LAST")/100</f>
        <v>-0.20749999999999999</v>
      </c>
      <c r="N120" t="s">
        <v>323</v>
      </c>
    </row>
    <row r="121" spans="3:14" x14ac:dyDescent="0.25">
      <c r="E121" s="1">
        <f ca="1">EDATE(E120,60)</f>
        <v>52682</v>
      </c>
      <c r="F121">
        <f ca="1">_xll.BDP(J121,"PX_LAST")+M121</f>
        <v>0.31</v>
      </c>
      <c r="J121" t="s">
        <v>197</v>
      </c>
      <c r="M121" s="16">
        <f ca="1">(M120+M122)/2</f>
        <v>-0.1825</v>
      </c>
      <c r="N121" t="s">
        <v>324</v>
      </c>
    </row>
    <row r="122" spans="3:14" x14ac:dyDescent="0.25">
      <c r="E122" s="1">
        <f ca="1">EDATE(E121,60)</f>
        <v>54508</v>
      </c>
      <c r="F122">
        <f ca="1">_xll.BDP(J122,"PX_LAST")+M122</f>
        <v>0.34250000000000003</v>
      </c>
      <c r="J122" t="s">
        <v>198</v>
      </c>
      <c r="M122">
        <f ca="1">_xll.BDP(N122,"PX_LAST")/100</f>
        <v>-0.1575</v>
      </c>
      <c r="N122" t="s">
        <v>325</v>
      </c>
    </row>
    <row r="123" spans="3:14" x14ac:dyDescent="0.25">
      <c r="E123" s="1">
        <f ca="1">EDATE(E122,120)</f>
        <v>58160</v>
      </c>
      <c r="F123">
        <f ca="1">_xll.BDP(J123,"PX_LAST")+M123</f>
        <v>0.36499999999999999</v>
      </c>
      <c r="J123" t="s">
        <v>199</v>
      </c>
      <c r="M123" s="16">
        <f ca="1">$M$122</f>
        <v>-0.1575</v>
      </c>
      <c r="N123" t="s">
        <v>326</v>
      </c>
    </row>
    <row r="124" spans="3:14" x14ac:dyDescent="0.25">
      <c r="E124" s="1">
        <f ca="1">EDATE(E123,12)</f>
        <v>58526</v>
      </c>
      <c r="F124">
        <f ca="1">$F$123</f>
        <v>0.36499999999999999</v>
      </c>
    </row>
    <row r="125" spans="3:14" x14ac:dyDescent="0.25">
      <c r="E125" s="1"/>
    </row>
    <row r="129" spans="1:17" x14ac:dyDescent="0.25">
      <c r="A129" s="7" t="s">
        <v>21</v>
      </c>
      <c r="B129" s="8">
        <v>7</v>
      </c>
      <c r="C129" s="8"/>
      <c r="D129" s="8">
        <v>7</v>
      </c>
      <c r="E129" s="8"/>
      <c r="F129" s="8">
        <v>100</v>
      </c>
    </row>
    <row r="130" spans="1:17" x14ac:dyDescent="0.25">
      <c r="A130" t="s">
        <v>29</v>
      </c>
      <c r="B130" t="s">
        <v>30</v>
      </c>
      <c r="C130" t="s">
        <v>31</v>
      </c>
      <c r="D130" t="s">
        <v>32</v>
      </c>
      <c r="E130" t="s">
        <v>33</v>
      </c>
      <c r="F130" t="s">
        <v>34</v>
      </c>
      <c r="M130" s="4" t="s">
        <v>248</v>
      </c>
      <c r="N130" s="4" t="s">
        <v>35</v>
      </c>
    </row>
    <row r="131" spans="1:17" x14ac:dyDescent="0.25">
      <c r="A131" s="1">
        <f ca="1">WORKDAY(Swap_Date,1)</f>
        <v>43551</v>
      </c>
      <c r="B131">
        <f ca="1">_xll.BDP(H131,"PX_LAST")+$P$131</f>
        <v>1.5175000000000001</v>
      </c>
      <c r="C131" s="1">
        <f ca="1">nextimm(Swap_Date)</f>
        <v>43635</v>
      </c>
      <c r="D131">
        <f ca="1">100-IF(ISNUMBER(_xll.BDP(I131,"PX_LAST")),_xll.BDP(I131,"PX_LAST")+$P$131,100-B134)</f>
        <v>1.7787500000000023</v>
      </c>
      <c r="E131" s="1">
        <f ca="1">EDATE(Swap_Date,24)</f>
        <v>44281</v>
      </c>
      <c r="F131">
        <f ca="1">_xll.BDP(J131,"PX_LAST")+M131</f>
        <v>1.6459999999999999</v>
      </c>
      <c r="H131" t="s">
        <v>200</v>
      </c>
      <c r="I131" t="s">
        <v>206</v>
      </c>
      <c r="J131" t="s">
        <v>214</v>
      </c>
      <c r="M131">
        <f ca="1">_xll.BDP(N131,"PX_LAST")/100</f>
        <v>-0.19500000000000001</v>
      </c>
      <c r="N131" t="s">
        <v>327</v>
      </c>
      <c r="P131">
        <f ca="1">_xll.BDP(Q131,"PX_LAST")/100</f>
        <v>-0.23250000000000001</v>
      </c>
      <c r="Q131" t="s">
        <v>365</v>
      </c>
    </row>
    <row r="132" spans="1:17" x14ac:dyDescent="0.25">
      <c r="A132" s="1">
        <f ca="1">EDATE(Swap_Date,1)</f>
        <v>43581</v>
      </c>
      <c r="B132">
        <f ca="1">_xll.BDP(H132,"PX_LAST")+$P$131</f>
        <v>1.7400000000000002</v>
      </c>
      <c r="C132" s="1">
        <f ca="1">nextimm(C131+1)</f>
        <v>43726</v>
      </c>
      <c r="D132">
        <f ca="1">IFERROR($P$131+100-_xll.BDP(I132,"PX_LAST"),D131)</f>
        <v>1.7787500000000023</v>
      </c>
      <c r="E132" s="1">
        <f ca="1">EDATE(E131,12)</f>
        <v>44646</v>
      </c>
      <c r="F132">
        <f ca="1">_xll.BDP(J132,"PX_LAST")+M132</f>
        <v>1.6397999999999999</v>
      </c>
      <c r="H132" t="s">
        <v>201</v>
      </c>
      <c r="I132" t="s">
        <v>207</v>
      </c>
      <c r="J132" t="s">
        <v>215</v>
      </c>
      <c r="M132" s="16">
        <f ca="1">(M131+M133)/2</f>
        <v>-0.16500000000000001</v>
      </c>
      <c r="N132" t="s">
        <v>328</v>
      </c>
    </row>
    <row r="133" spans="1:17" x14ac:dyDescent="0.25">
      <c r="A133" s="1">
        <f ca="1">EDATE(Swap_Date,2)</f>
        <v>43611</v>
      </c>
      <c r="B133">
        <f ca="1">_xll.BDP(H133,"PX_LAST")+$P$131</f>
        <v>1.7675000000000001</v>
      </c>
      <c r="C133" s="1">
        <f t="shared" ref="C133:C138" ca="1" si="10">nextimm(C132+1)</f>
        <v>43817</v>
      </c>
      <c r="D133" t="e">
        <f ca="1">$P$131+100-_xll.BDP(I133,"PX_LAST")</f>
        <v>#VALUE!</v>
      </c>
      <c r="E133" s="1">
        <f t="shared" ref="E133:E139" ca="1" si="11">EDATE(E132,12)</f>
        <v>45011</v>
      </c>
      <c r="F133">
        <f ca="1">_xll.BDP(J133,"PX_LAST")+M133</f>
        <v>1.6693</v>
      </c>
      <c r="H133" t="s">
        <v>202</v>
      </c>
      <c r="I133" t="s">
        <v>208</v>
      </c>
      <c r="J133" t="s">
        <v>216</v>
      </c>
      <c r="M133">
        <f ca="1">_xll.BDP(N133,"PX_LAST")/100</f>
        <v>-0.13500000000000001</v>
      </c>
      <c r="N133" t="s">
        <v>329</v>
      </c>
    </row>
    <row r="134" spans="1:17" x14ac:dyDescent="0.25">
      <c r="A134" s="1">
        <f ca="1">EDATE(Swap_Date,3)</f>
        <v>43642</v>
      </c>
      <c r="B134">
        <f ca="1">_xll.BDP(H134,"PX_LAST")+$P$131</f>
        <v>1.7787500000000001</v>
      </c>
      <c r="C134" s="1">
        <f t="shared" ca="1" si="10"/>
        <v>43908</v>
      </c>
      <c r="D134">
        <f ca="1">$P$131+100-_xll.BDP(I134,"PX_LAST")</f>
        <v>1.7574999999999932</v>
      </c>
      <c r="E134" s="1">
        <f t="shared" ca="1" si="11"/>
        <v>45377</v>
      </c>
      <c r="F134">
        <f ca="1">_xll.BDP(J134,"PX_LAST")+M134</f>
        <v>1.7095</v>
      </c>
      <c r="H134" t="s">
        <v>203</v>
      </c>
      <c r="I134" t="s">
        <v>209</v>
      </c>
      <c r="J134" t="s">
        <v>217</v>
      </c>
      <c r="M134">
        <f ca="1">_xll.BDP(N134,"PX_LAST")/100</f>
        <v>-0.1125</v>
      </c>
      <c r="N134" t="s">
        <v>330</v>
      </c>
    </row>
    <row r="135" spans="1:17" x14ac:dyDescent="0.25">
      <c r="A135" s="1">
        <f ca="1">EDATE(Swap_Date,6)</f>
        <v>43734</v>
      </c>
      <c r="B135">
        <f ca="1">_xll.BDP(H135,"PX_LAST")+$P$131</f>
        <v>1.8450000000000002</v>
      </c>
      <c r="C135" s="1">
        <f t="shared" ca="1" si="10"/>
        <v>43999</v>
      </c>
      <c r="D135">
        <f ca="1">$P$131+100-_xll.BDP(I135,"PX_LAST")</f>
        <v>1.6574999999999989</v>
      </c>
      <c r="E135" s="1">
        <f t="shared" ca="1" si="11"/>
        <v>45742</v>
      </c>
      <c r="F135">
        <f ca="1">_xll.BDP(J135,"PX_LAST")+M135</f>
        <v>1.7444</v>
      </c>
      <c r="H135" t="s">
        <v>204</v>
      </c>
      <c r="I135" t="s">
        <v>210</v>
      </c>
      <c r="J135" t="s">
        <v>218</v>
      </c>
      <c r="M135">
        <f ca="1">_xll.BDP(N135,"PX_LAST")/100</f>
        <v>-0.1</v>
      </c>
      <c r="N135" t="s">
        <v>331</v>
      </c>
    </row>
    <row r="136" spans="1:17" x14ac:dyDescent="0.25">
      <c r="A136" s="1">
        <f ca="1">EDATE(Swap_Date,12)</f>
        <v>43916</v>
      </c>
      <c r="B136">
        <f ca="1">_xll.BDP(H136,"PX_LAST")+$P$131</f>
        <v>1.9849999999999999</v>
      </c>
      <c r="C136" s="1">
        <f t="shared" ca="1" si="10"/>
        <v>44090</v>
      </c>
      <c r="D136">
        <f ca="1">$P$131+100-_xll.BDP(I136,"PX_LAST")</f>
        <v>1.6124999999999972</v>
      </c>
      <c r="E136" s="1">
        <f t="shared" ca="1" si="11"/>
        <v>46107</v>
      </c>
      <c r="F136">
        <f ca="1">_xll.BDP(J136,"PX_LAST")+M136</f>
        <v>1.7918500000000002</v>
      </c>
      <c r="H136" t="s">
        <v>205</v>
      </c>
      <c r="I136" t="s">
        <v>211</v>
      </c>
      <c r="J136" t="s">
        <v>219</v>
      </c>
      <c r="M136">
        <f ca="1">_xll.BDP(N136,"PX_LAST")/100</f>
        <v>-8.6249999999999993E-2</v>
      </c>
      <c r="N136" t="s">
        <v>332</v>
      </c>
    </row>
    <row r="137" spans="1:17" x14ac:dyDescent="0.25">
      <c r="A137" s="10">
        <f ca="1">EDATE(A136,10)</f>
        <v>44222</v>
      </c>
      <c r="B137" s="11">
        <f ca="1">$B$136</f>
        <v>1.9849999999999999</v>
      </c>
      <c r="C137" s="1">
        <f t="shared" ca="1" si="10"/>
        <v>44181</v>
      </c>
      <c r="D137">
        <f ca="1">$P$131+100-_xll.BDP(I137,"PX_LAST")</f>
        <v>1.5474999999999994</v>
      </c>
      <c r="E137" s="1">
        <f t="shared" ca="1" si="11"/>
        <v>46472</v>
      </c>
      <c r="F137">
        <f ca="1">_xll.BDP(J137,"PX_LAST")+M137</f>
        <v>1.8305</v>
      </c>
      <c r="I137" t="s">
        <v>212</v>
      </c>
      <c r="J137" t="s">
        <v>220</v>
      </c>
      <c r="M137">
        <f ca="1">_xll.BDP(N137,"PX_LAST")/100</f>
        <v>-8.5000000000000006E-2</v>
      </c>
      <c r="N137" t="s">
        <v>333</v>
      </c>
    </row>
    <row r="138" spans="1:17" x14ac:dyDescent="0.25">
      <c r="C138" s="1">
        <f t="shared" ca="1" si="10"/>
        <v>44272</v>
      </c>
      <c r="D138">
        <f ca="1">$P$131+100-_xll.BDP(I138,"PX_LAST")</f>
        <v>1.5224999999999937</v>
      </c>
      <c r="E138" s="1">
        <f t="shared" ca="1" si="11"/>
        <v>46838</v>
      </c>
      <c r="F138">
        <f ca="1">_xll.BDP(J138,"PX_LAST")+M138</f>
        <v>1.8828</v>
      </c>
      <c r="I138" t="s">
        <v>213</v>
      </c>
      <c r="J138" t="s">
        <v>221</v>
      </c>
      <c r="M138">
        <f ca="1">_xll.BDP(N138,"PX_LAST")/100</f>
        <v>-7.2499999999999995E-2</v>
      </c>
      <c r="N138" t="s">
        <v>334</v>
      </c>
    </row>
    <row r="139" spans="1:17" x14ac:dyDescent="0.25">
      <c r="E139" s="1">
        <f t="shared" ca="1" si="11"/>
        <v>47203</v>
      </c>
      <c r="F139">
        <f ca="1">_xll.BDP(J139,"PX_LAST")+M139</f>
        <v>1.9287999999999998</v>
      </c>
      <c r="J139" t="s">
        <v>222</v>
      </c>
      <c r="M139">
        <f ca="1">_xll.BDP(N139,"PX_LAST")/100</f>
        <v>-7.0000000000000007E-2</v>
      </c>
      <c r="N139" t="s">
        <v>335</v>
      </c>
    </row>
    <row r="140" spans="1:17" x14ac:dyDescent="0.25">
      <c r="E140" s="1">
        <f ca="1">EDATE(E139,24)</f>
        <v>47933</v>
      </c>
      <c r="F140">
        <f ca="1">_xll.BDP(J140,"PX_LAST")+M140</f>
        <v>2.0152000000000001</v>
      </c>
      <c r="J140" t="s">
        <v>223</v>
      </c>
      <c r="M140">
        <f ca="1">_xll.BDP(N140,"PX_LAST")/100</f>
        <v>-7.0000000000000007E-2</v>
      </c>
      <c r="N140" t="s">
        <v>336</v>
      </c>
    </row>
    <row r="141" spans="1:17" x14ac:dyDescent="0.25">
      <c r="E141" s="1">
        <f ca="1">EDATE(E140,36)</f>
        <v>49029</v>
      </c>
      <c r="F141">
        <f ca="1">_xll.BDP(J141,"PX_LAST")+M141</f>
        <v>2.1128999999999998</v>
      </c>
      <c r="J141" t="s">
        <v>224</v>
      </c>
      <c r="M141">
        <f ca="1">_xll.BDP(N141,"PX_LAST")/100</f>
        <v>-0.08</v>
      </c>
      <c r="N141" t="s">
        <v>337</v>
      </c>
    </row>
    <row r="142" spans="1:17" x14ac:dyDescent="0.25">
      <c r="E142" s="1">
        <f ca="1">EDATE(E141,60)</f>
        <v>50855</v>
      </c>
      <c r="F142">
        <f ca="1">_xll.BDP(J142,"PX_LAST")+M142</f>
        <v>2.1825000000000001</v>
      </c>
      <c r="J142" t="s">
        <v>225</v>
      </c>
      <c r="M142">
        <f ca="1">_xll.BDP(N142,"PX_LAST")/100</f>
        <v>-0.10249999999999999</v>
      </c>
      <c r="N142" t="s">
        <v>338</v>
      </c>
    </row>
    <row r="143" spans="1:17" x14ac:dyDescent="0.25">
      <c r="E143" s="1">
        <f ca="1">EDATE(E142,60)</f>
        <v>52682</v>
      </c>
      <c r="F143">
        <f ca="1">_xll.BDP(J143,"PX_LAST")+M143</f>
        <v>2.1264999999999996</v>
      </c>
      <c r="J143" t="s">
        <v>226</v>
      </c>
      <c r="M143" s="16">
        <f ca="1">$M$122</f>
        <v>-0.1575</v>
      </c>
      <c r="N143" t="s">
        <v>339</v>
      </c>
    </row>
    <row r="144" spans="1:17" x14ac:dyDescent="0.25">
      <c r="E144" s="1">
        <f ca="1">EDATE(E143,60)</f>
        <v>54508</v>
      </c>
      <c r="F144">
        <f ca="1">_xll.BDP(J144,"PX_LAST")+M144</f>
        <v>2.1094999999999997</v>
      </c>
      <c r="J144" t="s">
        <v>227</v>
      </c>
      <c r="M144" s="16">
        <f ca="1">$M$122</f>
        <v>-0.1575</v>
      </c>
      <c r="N144" t="s">
        <v>340</v>
      </c>
    </row>
    <row r="145" spans="1:22" x14ac:dyDescent="0.25">
      <c r="E145" s="1">
        <f ca="1">EDATE(E144,120)</f>
        <v>58160</v>
      </c>
      <c r="F145">
        <f ca="1">_xll.BDP(J145,"PX_LAST")+M145</f>
        <v>2.0998999999999999</v>
      </c>
      <c r="J145" t="s">
        <v>228</v>
      </c>
      <c r="M145" s="16">
        <f ca="1">$M$122</f>
        <v>-0.1575</v>
      </c>
      <c r="N145" t="s">
        <v>341</v>
      </c>
    </row>
    <row r="146" spans="1:22" x14ac:dyDescent="0.25">
      <c r="E146" s="1">
        <f ca="1">EDATE(E145,12)</f>
        <v>58526</v>
      </c>
      <c r="F146">
        <f ca="1">$F$145</f>
        <v>2.0998999999999999</v>
      </c>
    </row>
    <row r="154" spans="1:22" ht="15.75" x14ac:dyDescent="0.25">
      <c r="A154" s="7" t="s">
        <v>230</v>
      </c>
      <c r="B154" s="8">
        <v>7</v>
      </c>
      <c r="C154" s="8"/>
      <c r="D154" s="8">
        <v>0</v>
      </c>
      <c r="E154" s="8"/>
      <c r="F154" s="8">
        <v>100</v>
      </c>
      <c r="M154" s="2">
        <v>43430</v>
      </c>
      <c r="S154" s="19" t="s">
        <v>482</v>
      </c>
    </row>
    <row r="155" spans="1:22" ht="15.75" x14ac:dyDescent="0.25">
      <c r="A155" t="s">
        <v>29</v>
      </c>
      <c r="B155" t="s">
        <v>30</v>
      </c>
      <c r="C155" t="s">
        <v>31</v>
      </c>
      <c r="D155" t="s">
        <v>32</v>
      </c>
      <c r="E155" t="s">
        <v>33</v>
      </c>
      <c r="F155" t="s">
        <v>34</v>
      </c>
      <c r="M155" s="4" t="s">
        <v>248</v>
      </c>
      <c r="N155" s="4" t="s">
        <v>35</v>
      </c>
      <c r="S155" s="19" t="s">
        <v>481</v>
      </c>
    </row>
    <row r="156" spans="1:22" x14ac:dyDescent="0.25">
      <c r="A156" s="1">
        <f ca="1">WORKDAY(Swap_Date,1)</f>
        <v>43551</v>
      </c>
      <c r="B156">
        <f ca="1">B157</f>
        <v>5.4799000000000007</v>
      </c>
      <c r="C156" s="1">
        <f ca="1">nextimm(Swap_Date)</f>
        <v>43635</v>
      </c>
      <c r="D156" t="s">
        <v>246</v>
      </c>
      <c r="E156" s="1">
        <f ca="1">EDATE(Swap_Date,12)</f>
        <v>43916</v>
      </c>
      <c r="F156">
        <f>T156</f>
        <v>5.7110000000000003</v>
      </c>
      <c r="I156">
        <f ca="1">_xll.BDP(J156,"PX_LAST",Pre_Date_BRL,Pre_Date_BRL)</f>
        <v>6.6448</v>
      </c>
      <c r="J156" t="s">
        <v>236</v>
      </c>
      <c r="M156" t="e">
        <f ca="1">_xll.BDP(N156,"PX_LAST",M154,M154)/100</f>
        <v>#VALUE!</v>
      </c>
      <c r="N156" t="s">
        <v>342</v>
      </c>
      <c r="P156" t="e">
        <f ca="1">_xll.BDP(Q156,"PX_LAST")/100</f>
        <v>#VALUE!</v>
      </c>
      <c r="Q156" t="s">
        <v>367</v>
      </c>
      <c r="R156">
        <f ca="1">I156-F156</f>
        <v>0.93379999999999974</v>
      </c>
      <c r="S156" s="11">
        <v>5.7110000000000003</v>
      </c>
      <c r="T156">
        <f>S156</f>
        <v>5.7110000000000003</v>
      </c>
    </row>
    <row r="157" spans="1:22" x14ac:dyDescent="0.25">
      <c r="A157" s="1">
        <f ca="1">EDATE(Swap_Date,1)</f>
        <v>43581</v>
      </c>
      <c r="B157">
        <f t="shared" ref="B157:B162" ca="1" si="12">U157</f>
        <v>5.4799000000000007</v>
      </c>
      <c r="C157" s="1">
        <f ca="1">nextimm(C156+1)</f>
        <v>43726</v>
      </c>
      <c r="D157" t="s">
        <v>246</v>
      </c>
      <c r="E157" s="1">
        <f ca="1">EDATE(E156,12)</f>
        <v>44281</v>
      </c>
      <c r="F157">
        <f t="shared" ref="F157:F172" si="13">T157</f>
        <v>5.9850000000000003</v>
      </c>
      <c r="G157">
        <f t="shared" ref="G157:G164" si="14">100*(F157-F156)</f>
        <v>27.400000000000002</v>
      </c>
      <c r="H157" t="s">
        <v>231</v>
      </c>
      <c r="I157">
        <f ca="1">_xll.BDP(J157,"PX_LAST",Pre_Date_BRL,Pre_Date_BRL)</f>
        <v>7.4702000000000002</v>
      </c>
      <c r="J157" t="s">
        <v>237</v>
      </c>
      <c r="M157" t="e">
        <f ca="1">_xll.BDP(N157,"PX_LAST",M155,M155)/100</f>
        <v>#VALUE!</v>
      </c>
      <c r="N157" t="s">
        <v>343</v>
      </c>
      <c r="S157" s="11">
        <v>5.9850000000000003</v>
      </c>
      <c r="T157">
        <f t="shared" ref="T157:T164" si="15">S157</f>
        <v>5.9850000000000003</v>
      </c>
      <c r="U157">
        <f ca="1">V157-$R$156</f>
        <v>5.4799000000000007</v>
      </c>
      <c r="V157">
        <f ca="1">_xll.BDP(H157,"PX_LAST")</f>
        <v>6.4137000000000004</v>
      </c>
    </row>
    <row r="158" spans="1:22" x14ac:dyDescent="0.25">
      <c r="A158" s="1">
        <f ca="1">EDATE(Swap_Date,2)</f>
        <v>43611</v>
      </c>
      <c r="B158">
        <f t="shared" ca="1" si="12"/>
        <v>5.4799000000000007</v>
      </c>
      <c r="C158" s="1">
        <f t="shared" ref="C158:C163" ca="1" si="16">nextimm(C157+1)</f>
        <v>43817</v>
      </c>
      <c r="D158" t="s">
        <v>246</v>
      </c>
      <c r="E158" s="1">
        <f ca="1">EDATE(E157,12)</f>
        <v>44646</v>
      </c>
      <c r="F158">
        <f t="shared" si="13"/>
        <v>6.31</v>
      </c>
      <c r="G158">
        <f t="shared" si="14"/>
        <v>32.499999999999929</v>
      </c>
      <c r="H158" t="s">
        <v>232</v>
      </c>
      <c r="I158">
        <f ca="1">_xll.BDP(J158,"PX_LAST",Pre_Date_BRL,Pre_Date_BRL)</f>
        <v>8.1107999999999993</v>
      </c>
      <c r="J158" t="s">
        <v>238</v>
      </c>
      <c r="M158" t="e">
        <f ca="1">_xll.BDP(N158,"PX_LAST",M156,M156)/100</f>
        <v>#VALUE!</v>
      </c>
      <c r="N158" t="s">
        <v>344</v>
      </c>
      <c r="S158" s="11">
        <v>6.31</v>
      </c>
      <c r="T158">
        <f t="shared" si="15"/>
        <v>6.31</v>
      </c>
      <c r="U158">
        <f t="shared" ref="U158:U162" ca="1" si="17">V158-$R$156</f>
        <v>5.4799000000000007</v>
      </c>
      <c r="V158">
        <f ca="1">V157</f>
        <v>6.4137000000000004</v>
      </c>
    </row>
    <row r="159" spans="1:22" x14ac:dyDescent="0.25">
      <c r="A159" s="1">
        <f ca="1">EDATE(Swap_Date,3)</f>
        <v>43642</v>
      </c>
      <c r="B159">
        <f t="shared" ca="1" si="12"/>
        <v>5.5052000000000003</v>
      </c>
      <c r="C159" s="1">
        <f t="shared" ca="1" si="16"/>
        <v>43908</v>
      </c>
      <c r="D159" t="s">
        <v>246</v>
      </c>
      <c r="E159" s="1">
        <f t="shared" ref="E159:E165" ca="1" si="18">EDATE(E158,12)</f>
        <v>45011</v>
      </c>
      <c r="F159">
        <f t="shared" si="13"/>
        <v>6.71</v>
      </c>
      <c r="G159">
        <f t="shared" si="14"/>
        <v>40.000000000000036</v>
      </c>
      <c r="H159" t="s">
        <v>233</v>
      </c>
      <c r="I159">
        <f ca="1">_xll.BDP(J159,"PX_LAST",Pre_Date_BRL,Pre_Date_BRL)</f>
        <v>8.5625</v>
      </c>
      <c r="J159" t="s">
        <v>239</v>
      </c>
      <c r="M159" t="e">
        <f ca="1">_xll.BDP(N159,"PX_LAST",M157,M157)/100</f>
        <v>#VALUE!</v>
      </c>
      <c r="N159" t="s">
        <v>345</v>
      </c>
      <c r="S159" s="11">
        <v>6.71</v>
      </c>
      <c r="T159">
        <f t="shared" si="15"/>
        <v>6.71</v>
      </c>
      <c r="U159">
        <f t="shared" ca="1" si="17"/>
        <v>5.5052000000000003</v>
      </c>
      <c r="V159">
        <f ca="1">_xll.BDP(H159,"PX_LAST")</f>
        <v>6.4390000000000001</v>
      </c>
    </row>
    <row r="160" spans="1:22" x14ac:dyDescent="0.25">
      <c r="A160" s="1">
        <f ca="1">EDATE(Swap_Date,6)</f>
        <v>43734</v>
      </c>
      <c r="B160">
        <f t="shared" ca="1" si="12"/>
        <v>5.5539000000000005</v>
      </c>
      <c r="C160" s="1">
        <f t="shared" ca="1" si="16"/>
        <v>43999</v>
      </c>
      <c r="D160" t="s">
        <v>246</v>
      </c>
      <c r="E160" s="1">
        <f t="shared" ca="1" si="18"/>
        <v>45377</v>
      </c>
      <c r="F160">
        <f t="shared" si="13"/>
        <v>6.91</v>
      </c>
      <c r="G160">
        <f t="shared" si="14"/>
        <v>20.000000000000018</v>
      </c>
      <c r="H160" t="s">
        <v>234</v>
      </c>
      <c r="I160">
        <f ca="1">_xll.BDP(J160,"PX_LAST",Pre_Date_BRL,Pre_Date_BRL)</f>
        <v>8.8916000000000004</v>
      </c>
      <c r="J160" t="s">
        <v>240</v>
      </c>
      <c r="M160" t="e">
        <f ca="1">_xll.BDP(N160,"PX_LAST",M158,M158)/100</f>
        <v>#VALUE!</v>
      </c>
      <c r="N160" t="s">
        <v>346</v>
      </c>
      <c r="S160" s="11">
        <v>6.91</v>
      </c>
      <c r="T160">
        <f t="shared" si="15"/>
        <v>6.91</v>
      </c>
      <c r="U160">
        <f t="shared" ca="1" si="17"/>
        <v>5.5539000000000005</v>
      </c>
      <c r="V160">
        <f ca="1">_xll.BDP(H160,"PX_LAST")</f>
        <v>6.4877000000000002</v>
      </c>
    </row>
    <row r="161" spans="1:22" x14ac:dyDescent="0.25">
      <c r="A161" s="1">
        <f ca="1">EDATE(Swap_Date,12)</f>
        <v>43916</v>
      </c>
      <c r="B161">
        <f t="shared" ca="1" si="12"/>
        <v>5.6261000000000001</v>
      </c>
      <c r="C161" s="1">
        <f t="shared" ca="1" si="16"/>
        <v>44090</v>
      </c>
      <c r="D161" t="s">
        <v>246</v>
      </c>
      <c r="E161" s="1">
        <f t="shared" ca="1" si="18"/>
        <v>45742</v>
      </c>
      <c r="F161">
        <f t="shared" si="13"/>
        <v>8.2072000000000003</v>
      </c>
      <c r="G161">
        <f t="shared" si="14"/>
        <v>129.72000000000003</v>
      </c>
      <c r="H161" t="s">
        <v>235</v>
      </c>
      <c r="I161">
        <f ca="1">_xll.BDP(J161,"PX_LAST",Pre_Date_BRL,Pre_Date_BRL)</f>
        <v>9.0885999999999996</v>
      </c>
      <c r="J161" t="s">
        <v>241</v>
      </c>
      <c r="M161" t="e">
        <f ca="1">_xll.BDP(N161,"PX_LAST",M159,M159)/100</f>
        <v>#VALUE!</v>
      </c>
      <c r="N161" t="s">
        <v>347</v>
      </c>
      <c r="S161" s="11">
        <v>8.2072000000000003</v>
      </c>
      <c r="T161">
        <f t="shared" si="15"/>
        <v>8.2072000000000003</v>
      </c>
      <c r="U161">
        <f t="shared" ca="1" si="17"/>
        <v>5.6261000000000001</v>
      </c>
      <c r="V161">
        <f ca="1">_xll.BDP(H161,"PX_LAST")</f>
        <v>6.5598999999999998</v>
      </c>
    </row>
    <row r="162" spans="1:22" x14ac:dyDescent="0.25">
      <c r="A162" s="10">
        <f ca="1">EDATE(A161,10)</f>
        <v>44222</v>
      </c>
      <c r="B162" s="11">
        <f t="shared" ca="1" si="12"/>
        <v>5.6261000000000001</v>
      </c>
      <c r="C162" s="1">
        <f t="shared" ca="1" si="16"/>
        <v>44181</v>
      </c>
      <c r="D162" t="s">
        <v>246</v>
      </c>
      <c r="E162" s="1">
        <f t="shared" ca="1" si="18"/>
        <v>46107</v>
      </c>
      <c r="F162">
        <f t="shared" si="13"/>
        <v>8.2072000000000003</v>
      </c>
      <c r="G162">
        <f t="shared" si="14"/>
        <v>0</v>
      </c>
      <c r="I162">
        <f ca="1">_xll.BDP(J162,"PX_LAST",Pre_Date_BRL,Pre_Date_BRL)</f>
        <v>9.2514000000000003</v>
      </c>
      <c r="J162" t="s">
        <v>242</v>
      </c>
      <c r="M162" t="e">
        <f ca="1">_xll.BDP(N162,"PX_LAST",M160,M160)/100</f>
        <v>#VALUE!</v>
      </c>
      <c r="N162" t="s">
        <v>348</v>
      </c>
      <c r="S162" s="11">
        <v>8.2072000000000003</v>
      </c>
      <c r="T162">
        <f t="shared" si="15"/>
        <v>8.2072000000000003</v>
      </c>
      <c r="U162">
        <f t="shared" ca="1" si="17"/>
        <v>5.6261000000000001</v>
      </c>
      <c r="V162">
        <f ca="1">V161</f>
        <v>6.5598999999999998</v>
      </c>
    </row>
    <row r="163" spans="1:22" x14ac:dyDescent="0.25">
      <c r="C163" s="1">
        <f t="shared" ca="1" si="16"/>
        <v>44272</v>
      </c>
      <c r="D163" t="s">
        <v>246</v>
      </c>
      <c r="E163" s="1">
        <f t="shared" ca="1" si="18"/>
        <v>46472</v>
      </c>
      <c r="F163">
        <f t="shared" si="13"/>
        <v>8.3289000000000009</v>
      </c>
      <c r="G163">
        <f t="shared" si="14"/>
        <v>12.170000000000059</v>
      </c>
      <c r="I163">
        <f ca="1">_xll.BDP(J163,"PX_LAST",Pre_Date_BRL,Pre_Date_BRL)</f>
        <v>9.3999000000000006</v>
      </c>
      <c r="J163" t="s">
        <v>243</v>
      </c>
      <c r="M163" t="e">
        <f ca="1">_xll.BDP(N163,"PX_LAST",M161,M161)/100</f>
        <v>#VALUE!</v>
      </c>
      <c r="N163" t="s">
        <v>349</v>
      </c>
      <c r="S163" s="11">
        <v>8.3289000000000009</v>
      </c>
      <c r="T163">
        <f t="shared" si="15"/>
        <v>8.3289000000000009</v>
      </c>
    </row>
    <row r="164" spans="1:22" x14ac:dyDescent="0.25">
      <c r="E164" s="1">
        <f t="shared" ca="1" si="18"/>
        <v>46838</v>
      </c>
      <c r="F164">
        <f t="shared" si="13"/>
        <v>8.3926999999999996</v>
      </c>
      <c r="G164">
        <f t="shared" si="14"/>
        <v>6.3799999999998747</v>
      </c>
      <c r="I164">
        <f ca="1">_xll.BDP(J164,"PX_LAST",Pre_Date_BRL,Pre_Date_BRL)</f>
        <v>9.4880999999999993</v>
      </c>
      <c r="J164" t="s">
        <v>244</v>
      </c>
      <c r="M164" t="e">
        <f ca="1">_xll.BDP(N164,"PX_LAST",M162,M162)/100</f>
        <v>#VALUE!</v>
      </c>
      <c r="N164" t="s">
        <v>350</v>
      </c>
      <c r="S164" s="11">
        <v>8.3926999999999996</v>
      </c>
      <c r="T164">
        <f t="shared" si="15"/>
        <v>8.3926999999999996</v>
      </c>
    </row>
    <row r="165" spans="1:22" x14ac:dyDescent="0.25">
      <c r="E165" s="1">
        <f t="shared" ca="1" si="18"/>
        <v>47203</v>
      </c>
      <c r="F165">
        <f t="shared" ca="1" si="13"/>
        <v>8.4357000000000006</v>
      </c>
      <c r="G165">
        <f ca="1">100*(F165-F164)</f>
        <v>4.3000000000001037</v>
      </c>
      <c r="I165">
        <f ca="1">_xll.BDP(J165,"PX_LAST",Pre_Date_BRL,Pre_Date_BRL)</f>
        <v>9.5311000000000003</v>
      </c>
      <c r="J165" t="s">
        <v>245</v>
      </c>
      <c r="M165" t="e">
        <f ca="1">_xll.BDP(N165,"PX_LAST",M163,M163)/100</f>
        <v>#VALUE!</v>
      </c>
      <c r="N165" t="s">
        <v>351</v>
      </c>
      <c r="T165">
        <f ca="1">I165-($I$164-$S$164)</f>
        <v>8.4357000000000006</v>
      </c>
    </row>
    <row r="166" spans="1:22" x14ac:dyDescent="0.25">
      <c r="E166" s="1">
        <f ca="1">EDATE(E165,24)</f>
        <v>47933</v>
      </c>
      <c r="F166">
        <f t="shared" ca="1" si="13"/>
        <v>8.5635299561883915</v>
      </c>
      <c r="I166">
        <f ca="1">I165+(E166-E165)/(E167-E165)*(I167-I165)</f>
        <v>9.6589299561883912</v>
      </c>
      <c r="J166" t="s">
        <v>245</v>
      </c>
      <c r="M166" t="e">
        <f ca="1">_xll.BDP(N166,"PX_LAST",M164,M164)/100</f>
        <v>#VALUE!</v>
      </c>
      <c r="N166" t="s">
        <v>352</v>
      </c>
      <c r="T166">
        <f t="shared" ref="T166:T172" ca="1" si="19">I166-($I$164-$S$164)</f>
        <v>8.5635299561883915</v>
      </c>
    </row>
    <row r="167" spans="1:22" x14ac:dyDescent="0.25">
      <c r="E167" s="1">
        <f ca="1">EDATE(E166,36)</f>
        <v>49029</v>
      </c>
      <c r="F167">
        <f t="shared" ca="1" si="13"/>
        <v>8.7554500000000015</v>
      </c>
      <c r="I167">
        <f ca="1">I165+(I165-I160)/2</f>
        <v>9.8508500000000012</v>
      </c>
      <c r="J167" t="s">
        <v>245</v>
      </c>
      <c r="M167" t="e">
        <f ca="1">_xll.BDP(N167,"PX_LAST",M165,M165)/100</f>
        <v>#VALUE!</v>
      </c>
      <c r="N167" t="s">
        <v>353</v>
      </c>
      <c r="T167">
        <f t="shared" ca="1" si="19"/>
        <v>8.7554500000000015</v>
      </c>
    </row>
    <row r="168" spans="1:22" x14ac:dyDescent="0.25">
      <c r="E168" s="1">
        <f ca="1">EDATE(E167,60)</f>
        <v>50855</v>
      </c>
      <c r="F168">
        <f t="shared" ca="1" si="13"/>
        <v>8.9153250000000011</v>
      </c>
      <c r="I168">
        <f ca="1">I167+(I165-I160)/4</f>
        <v>10.010725000000001</v>
      </c>
      <c r="J168" t="s">
        <v>245</v>
      </c>
      <c r="M168" t="e">
        <f ca="1">_xll.BDP(N168,"PX_LAST",M166,M166)/100</f>
        <v>#VALUE!</v>
      </c>
      <c r="N168" t="s">
        <v>354</v>
      </c>
      <c r="T168">
        <f t="shared" ca="1" si="19"/>
        <v>8.9153250000000011</v>
      </c>
    </row>
    <row r="169" spans="1:22" x14ac:dyDescent="0.25">
      <c r="E169" s="1">
        <f ca="1">EDATE(E168,60)</f>
        <v>52682</v>
      </c>
      <c r="F169">
        <f t="shared" ca="1" si="13"/>
        <v>8.9952625000000008</v>
      </c>
      <c r="I169">
        <f ca="1">I168+(I165-I160)/8</f>
        <v>10.090662500000001</v>
      </c>
      <c r="J169" t="s">
        <v>245</v>
      </c>
      <c r="M169" t="e">
        <f ca="1">_xll.BDP(N169,"PX_LAST",M167,M167)/100</f>
        <v>#VALUE!</v>
      </c>
      <c r="N169" t="s">
        <v>355</v>
      </c>
      <c r="T169">
        <f t="shared" ca="1" si="19"/>
        <v>8.9952625000000008</v>
      </c>
    </row>
    <row r="170" spans="1:22" x14ac:dyDescent="0.25">
      <c r="E170" s="1">
        <f ca="1">EDATE(E169,60)</f>
        <v>54508</v>
      </c>
      <c r="F170">
        <f t="shared" ca="1" si="13"/>
        <v>9.0352312500000007</v>
      </c>
      <c r="I170">
        <f ca="1">I169+(I165-I160)/16</f>
        <v>10.13063125</v>
      </c>
      <c r="J170" t="s">
        <v>245</v>
      </c>
      <c r="M170" t="e">
        <f ca="1">_xll.BDP(N170,"PX_LAST",M168,M168)/100</f>
        <v>#VALUE!</v>
      </c>
      <c r="N170" t="s">
        <v>356</v>
      </c>
      <c r="T170">
        <f t="shared" ca="1" si="19"/>
        <v>9.0352312500000007</v>
      </c>
    </row>
    <row r="171" spans="1:22" x14ac:dyDescent="0.25">
      <c r="E171" s="1">
        <f ca="1">EDATE(E170,120)</f>
        <v>58160</v>
      </c>
      <c r="F171">
        <f t="shared" ca="1" si="13"/>
        <v>9.0452234375000007</v>
      </c>
      <c r="I171">
        <f ca="1">I170+(I165-I160)/64</f>
        <v>10.1406234375</v>
      </c>
      <c r="J171" t="s">
        <v>245</v>
      </c>
      <c r="M171" t="e">
        <f ca="1">_xll.BDP(N171,"PX_LAST",M169,M169)/100</f>
        <v>#VALUE!</v>
      </c>
      <c r="N171" t="s">
        <v>357</v>
      </c>
      <c r="T171">
        <f t="shared" ca="1" si="19"/>
        <v>9.0452234375000007</v>
      </c>
    </row>
    <row r="172" spans="1:22" x14ac:dyDescent="0.25">
      <c r="E172" s="1">
        <f ca="1">EDATE(E171,12)</f>
        <v>58526</v>
      </c>
      <c r="F172">
        <f t="shared" ca="1" si="13"/>
        <v>9.0452234375000007</v>
      </c>
      <c r="I172">
        <f ca="1">I171</f>
        <v>10.1406234375</v>
      </c>
      <c r="J172" t="s">
        <v>245</v>
      </c>
      <c r="M172" t="e">
        <f ca="1">_xll.BDP(N172,"PX_LAST",M170,M170)/100</f>
        <v>#VALUE!</v>
      </c>
      <c r="N172" t="s">
        <v>358</v>
      </c>
      <c r="T172">
        <f t="shared" ca="1" si="19"/>
        <v>9.0452234375000007</v>
      </c>
    </row>
    <row r="173" spans="1:22" x14ac:dyDescent="0.25">
      <c r="N173" t="s">
        <v>359</v>
      </c>
    </row>
    <row r="174" spans="1:22" x14ac:dyDescent="0.25">
      <c r="N174" t="s">
        <v>360</v>
      </c>
    </row>
    <row r="175" spans="1:22" x14ac:dyDescent="0.25">
      <c r="N175" t="s">
        <v>361</v>
      </c>
    </row>
    <row r="179" spans="1:10" x14ac:dyDescent="0.25">
      <c r="A179" t="s">
        <v>510</v>
      </c>
      <c r="B179">
        <v>8</v>
      </c>
      <c r="D179">
        <v>0</v>
      </c>
      <c r="F179">
        <v>100</v>
      </c>
    </row>
    <row r="180" spans="1:10" x14ac:dyDescent="0.25">
      <c r="A180" t="s">
        <v>29</v>
      </c>
      <c r="B180" t="s">
        <v>30</v>
      </c>
      <c r="C180" t="s">
        <v>31</v>
      </c>
      <c r="D180" t="s">
        <v>32</v>
      </c>
      <c r="E180" t="s">
        <v>33</v>
      </c>
      <c r="F180" t="s">
        <v>34</v>
      </c>
    </row>
    <row r="181" spans="1:10" x14ac:dyDescent="0.25">
      <c r="A181" s="1">
        <f ca="1">WORKDAY(Swap_Date,1)</f>
        <v>43551</v>
      </c>
      <c r="B181">
        <f ca="1">_xll.BDP(H181,"PX_LAST")</f>
        <v>4.25</v>
      </c>
      <c r="C181" s="1">
        <f ca="1">nextimm(Swap_Date)</f>
        <v>43635</v>
      </c>
      <c r="D181" t="s">
        <v>246</v>
      </c>
      <c r="E181" s="1">
        <f ca="1">EDATE(Swap_Date,24)</f>
        <v>44281</v>
      </c>
      <c r="F181">
        <f ca="1">_xll.BDP(J181,"PX_LAST")</f>
        <v>4.46</v>
      </c>
      <c r="H181" t="s">
        <v>511</v>
      </c>
      <c r="I181" t="s">
        <v>141</v>
      </c>
      <c r="J181" t="s">
        <v>512</v>
      </c>
    </row>
    <row r="182" spans="1:10" x14ac:dyDescent="0.25">
      <c r="A182" s="1">
        <f ca="1">EDATE(Swap_Date,1)</f>
        <v>43581</v>
      </c>
      <c r="B182">
        <f ca="1">_xll.BDP(H182,"PX_LAST")</f>
        <v>4.12</v>
      </c>
      <c r="C182" s="1">
        <f ca="1">nextimm(C181+1)</f>
        <v>43726</v>
      </c>
      <c r="D182" t="s">
        <v>246</v>
      </c>
      <c r="E182" s="1">
        <f ca="1">EDATE(E181,12)</f>
        <v>44646</v>
      </c>
      <c r="F182">
        <f ca="1">_xll.BDP(J182,"PX_LAST")</f>
        <v>4.7</v>
      </c>
      <c r="H182" t="s">
        <v>531</v>
      </c>
      <c r="I182" t="s">
        <v>142</v>
      </c>
      <c r="J182" t="s">
        <v>513</v>
      </c>
    </row>
    <row r="183" spans="1:10" x14ac:dyDescent="0.25">
      <c r="A183" s="1">
        <f ca="1">EDATE(Swap_Date,2)</f>
        <v>43611</v>
      </c>
      <c r="B183">
        <f ca="1">0.5*(B182+B184)</f>
        <v>4.1274999999999995</v>
      </c>
      <c r="C183" s="1">
        <f t="shared" ref="C183:C188" ca="1" si="20">nextimm(C182+1)</f>
        <v>43817</v>
      </c>
      <c r="D183" t="s">
        <v>246</v>
      </c>
      <c r="E183" s="1">
        <f t="shared" ref="E183:E196" ca="1" si="21">EDATE(E182,12)</f>
        <v>45011</v>
      </c>
      <c r="F183">
        <f ca="1">_xll.BDP(J183,"PX_LAST")</f>
        <v>4.92</v>
      </c>
      <c r="I183" t="s">
        <v>143</v>
      </c>
      <c r="J183" t="s">
        <v>514</v>
      </c>
    </row>
    <row r="184" spans="1:10" x14ac:dyDescent="0.25">
      <c r="A184" s="1">
        <f ca="1">EDATE(Swap_Date,3)</f>
        <v>43642</v>
      </c>
      <c r="B184">
        <f ca="1">_xll.BDP(H184,"PX_LAST")</f>
        <v>4.1349999999999998</v>
      </c>
      <c r="C184" s="1">
        <f t="shared" ca="1" si="20"/>
        <v>43908</v>
      </c>
      <c r="D184" t="s">
        <v>246</v>
      </c>
      <c r="E184" s="1">
        <f t="shared" ca="1" si="21"/>
        <v>45377</v>
      </c>
      <c r="F184">
        <f ca="1">_xll.BDP(J184,"PX_LAST")</f>
        <v>5.09</v>
      </c>
      <c r="H184" t="s">
        <v>532</v>
      </c>
      <c r="I184" t="s">
        <v>144</v>
      </c>
      <c r="J184" t="s">
        <v>515</v>
      </c>
    </row>
    <row r="185" spans="1:10" x14ac:dyDescent="0.25">
      <c r="A185" s="1">
        <f ca="1">EDATE(Swap_Date,6)</f>
        <v>43734</v>
      </c>
      <c r="B185">
        <f ca="1">_xll.BDP(H185,"PX_LAST")</f>
        <v>4.22</v>
      </c>
      <c r="C185" s="1">
        <f t="shared" ca="1" si="20"/>
        <v>43999</v>
      </c>
      <c r="D185" t="s">
        <v>246</v>
      </c>
      <c r="E185" s="1">
        <f t="shared" ca="1" si="21"/>
        <v>45742</v>
      </c>
      <c r="F185">
        <f ca="1">_xll.BDP(J185,"PX_LAST")</f>
        <v>5.27</v>
      </c>
      <c r="H185" t="s">
        <v>533</v>
      </c>
      <c r="I185" t="s">
        <v>145</v>
      </c>
      <c r="J185" t="s">
        <v>516</v>
      </c>
    </row>
    <row r="186" spans="1:10" x14ac:dyDescent="0.25">
      <c r="A186" s="1">
        <f ca="1">EDATE(Swap_Date,12)</f>
        <v>43916</v>
      </c>
      <c r="B186">
        <f ca="1">_xll.BDP(H186,"PX_LAST")</f>
        <v>4.28</v>
      </c>
      <c r="C186" s="1">
        <f t="shared" ca="1" si="20"/>
        <v>44090</v>
      </c>
      <c r="D186" t="s">
        <v>246</v>
      </c>
      <c r="E186" s="1">
        <f t="shared" ca="1" si="21"/>
        <v>46107</v>
      </c>
      <c r="F186">
        <f ca="1">_xll.BDP(J186,"PX_LAST")</f>
        <v>5.39</v>
      </c>
      <c r="H186" t="s">
        <v>534</v>
      </c>
      <c r="I186" t="s">
        <v>146</v>
      </c>
      <c r="J186" t="s">
        <v>517</v>
      </c>
    </row>
    <row r="187" spans="1:10" x14ac:dyDescent="0.25">
      <c r="A187" s="10">
        <f ca="1">EDATE(Swap_Date,18)</f>
        <v>44100</v>
      </c>
      <c r="B187">
        <f ca="1">_xll.BDP(H187,"PX_LAST")</f>
        <v>4.4574999999999996</v>
      </c>
      <c r="C187" s="1">
        <f t="shared" ca="1" si="20"/>
        <v>44181</v>
      </c>
      <c r="D187" t="s">
        <v>246</v>
      </c>
      <c r="E187" s="1">
        <f t="shared" ca="1" si="21"/>
        <v>46472</v>
      </c>
      <c r="F187">
        <f ca="1">_xll.BDP(J187,"PX_LAST")</f>
        <v>5.5449999999999999</v>
      </c>
      <c r="H187" t="s">
        <v>535</v>
      </c>
      <c r="I187" t="s">
        <v>147</v>
      </c>
      <c r="J187" t="s">
        <v>518</v>
      </c>
    </row>
    <row r="188" spans="1:10" x14ac:dyDescent="0.25">
      <c r="A188" s="10">
        <f ca="1">EDATE(Swap_Date,24)</f>
        <v>44281</v>
      </c>
      <c r="B188" s="11">
        <f ca="1">B187+(B187-B186)</f>
        <v>4.6349999999999989</v>
      </c>
      <c r="C188" s="1">
        <f t="shared" ca="1" si="20"/>
        <v>44272</v>
      </c>
      <c r="D188" t="s">
        <v>246</v>
      </c>
      <c r="E188" s="1">
        <f t="shared" ca="1" si="21"/>
        <v>46838</v>
      </c>
      <c r="F188">
        <f ca="1">_xll.BDP(J188,"PX_LAST")</f>
        <v>5.67</v>
      </c>
      <c r="I188" t="s">
        <v>148</v>
      </c>
      <c r="J188" t="s">
        <v>519</v>
      </c>
    </row>
    <row r="189" spans="1:10" x14ac:dyDescent="0.25">
      <c r="E189" s="1">
        <f t="shared" ca="1" si="21"/>
        <v>47203</v>
      </c>
      <c r="F189">
        <f ca="1">_xll.BDP(J189,"PX_LAST")</f>
        <v>5.7675000000000001</v>
      </c>
      <c r="J189" t="s">
        <v>520</v>
      </c>
    </row>
    <row r="190" spans="1:10" x14ac:dyDescent="0.25">
      <c r="E190" s="1">
        <f t="shared" ca="1" si="21"/>
        <v>47568</v>
      </c>
      <c r="F190">
        <f ca="1">0.5*(F189+F191)</f>
        <v>5.8237500000000004</v>
      </c>
      <c r="J190" t="s">
        <v>521</v>
      </c>
    </row>
    <row r="191" spans="1:10" x14ac:dyDescent="0.25">
      <c r="E191" s="1">
        <f t="shared" ca="1" si="21"/>
        <v>47933</v>
      </c>
      <c r="F191">
        <f ca="1">_xll.BDP(J191,"PX_LAST")</f>
        <v>5.88</v>
      </c>
      <c r="J191" t="s">
        <v>522</v>
      </c>
    </row>
    <row r="192" spans="1:10" x14ac:dyDescent="0.25">
      <c r="E192" s="1">
        <f t="shared" ca="1" si="21"/>
        <v>48299</v>
      </c>
      <c r="F192">
        <f ca="1">1/3*(F194-F191)+F191</f>
        <v>5.9399999999999995</v>
      </c>
      <c r="J192" t="s">
        <v>523</v>
      </c>
    </row>
    <row r="193" spans="5:10" x14ac:dyDescent="0.25">
      <c r="E193" s="1">
        <f t="shared" ca="1" si="21"/>
        <v>48664</v>
      </c>
      <c r="F193">
        <f ca="1">2/3*(F194-F191)+F191</f>
        <v>6</v>
      </c>
      <c r="J193" t="s">
        <v>524</v>
      </c>
    </row>
    <row r="194" spans="5:10" x14ac:dyDescent="0.25">
      <c r="E194" s="1">
        <f t="shared" ca="1" si="21"/>
        <v>49029</v>
      </c>
      <c r="F194">
        <f ca="1">_xll.BDP(J194,"PX_LAST")</f>
        <v>6.06</v>
      </c>
      <c r="J194" t="s">
        <v>525</v>
      </c>
    </row>
    <row r="195" spans="5:10" x14ac:dyDescent="0.25">
      <c r="E195" s="1">
        <f t="shared" ca="1" si="21"/>
        <v>49394</v>
      </c>
      <c r="F195">
        <f ca="1">1/5*(F197-F194)+F194</f>
        <v>6.1040000000000001</v>
      </c>
      <c r="J195" t="s">
        <v>526</v>
      </c>
    </row>
    <row r="196" spans="5:10" x14ac:dyDescent="0.25">
      <c r="E196" s="1">
        <f t="shared" ca="1" si="21"/>
        <v>49760</v>
      </c>
      <c r="F196">
        <f ca="1">2/5*(F197-F194)+F194</f>
        <v>6.1479999999999997</v>
      </c>
      <c r="J196" t="s">
        <v>527</v>
      </c>
    </row>
    <row r="197" spans="5:10" x14ac:dyDescent="0.25">
      <c r="E197" s="1">
        <f ca="1">EDATE(E196,36)</f>
        <v>50855</v>
      </c>
      <c r="F197">
        <f ca="1">_xll.BDP(J197,"PX_LAST")</f>
        <v>6.28</v>
      </c>
      <c r="J197" t="s">
        <v>528</v>
      </c>
    </row>
    <row r="198" spans="5:10" x14ac:dyDescent="0.25">
      <c r="E198" s="1">
        <f ca="1">EDATE(E197,60)</f>
        <v>52682</v>
      </c>
      <c r="F198">
        <f ca="1">F197</f>
        <v>6.28</v>
      </c>
    </row>
    <row r="199" spans="5:10" x14ac:dyDescent="0.25">
      <c r="E199" s="1">
        <f ca="1">EDATE(E198,60)</f>
        <v>54508</v>
      </c>
      <c r="F199">
        <f t="shared" ref="F199:F201" ca="1" si="22">F198</f>
        <v>6.28</v>
      </c>
    </row>
    <row r="200" spans="5:10" x14ac:dyDescent="0.25">
      <c r="E200" s="1">
        <f ca="1">EDATE(E199,120)</f>
        <v>58160</v>
      </c>
      <c r="F200">
        <f t="shared" ca="1" si="22"/>
        <v>6.28</v>
      </c>
    </row>
    <row r="201" spans="5:10" x14ac:dyDescent="0.25">
      <c r="E201" s="1">
        <f ca="1">EDATE(E200,12)</f>
        <v>58526</v>
      </c>
      <c r="F201">
        <f t="shared" ca="1" si="22"/>
        <v>6.28</v>
      </c>
    </row>
  </sheetData>
  <mergeCells count="3">
    <mergeCell ref="A1:B1"/>
    <mergeCell ref="A2:B2"/>
    <mergeCell ref="A3:B3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40611-7EC3-43D4-BB87-11C6CC7656E0}">
  <sheetPr codeName="Sheet36"/>
  <dimension ref="A1:X201"/>
  <sheetViews>
    <sheetView topLeftCell="A115" zoomScale="60" zoomScaleNormal="60" workbookViewId="0">
      <selection activeCell="N179" sqref="N179"/>
    </sheetView>
  </sheetViews>
  <sheetFormatPr defaultColWidth="8.85546875" defaultRowHeight="15" x14ac:dyDescent="0.25"/>
  <cols>
    <col min="1" max="1" width="8.85546875" style="18"/>
    <col min="2" max="3" width="10.28515625" style="18" customWidth="1"/>
    <col min="4" max="4" width="12" style="18" bestFit="1" customWidth="1"/>
    <col min="5" max="5" width="9.5703125" style="18" bestFit="1" customWidth="1"/>
    <col min="6" max="6" width="9.85546875" style="18" customWidth="1"/>
    <col min="7" max="12" width="8.85546875" style="18"/>
    <col min="13" max="13" width="11.7109375" style="18" customWidth="1"/>
    <col min="14" max="15" width="8.85546875" style="18"/>
    <col min="16" max="16" width="10.5703125" style="18" customWidth="1"/>
    <col min="17" max="20" width="8.85546875" style="18"/>
    <col min="21" max="21" width="12.85546875" customWidth="1"/>
    <col min="22" max="22" width="11.7109375" customWidth="1"/>
    <col min="24" max="24" width="12.42578125" customWidth="1"/>
  </cols>
  <sheetData>
    <row r="1" spans="1:10" x14ac:dyDescent="0.25">
      <c r="A1" s="82" t="s">
        <v>69</v>
      </c>
      <c r="B1" s="82"/>
    </row>
    <row r="2" spans="1:10" x14ac:dyDescent="0.25">
      <c r="A2" s="82" t="s">
        <v>70</v>
      </c>
      <c r="B2" s="82"/>
    </row>
    <row r="3" spans="1:10" x14ac:dyDescent="0.25">
      <c r="A3" s="82" t="s">
        <v>71</v>
      </c>
      <c r="B3" s="82"/>
      <c r="C3" s="51"/>
      <c r="E3" s="52"/>
    </row>
    <row r="4" spans="1:10" x14ac:dyDescent="0.25">
      <c r="A4" s="18" t="s">
        <v>12</v>
      </c>
      <c r="B4" s="18">
        <v>7</v>
      </c>
      <c r="D4" s="18">
        <v>7</v>
      </c>
      <c r="F4" s="18">
        <v>100</v>
      </c>
      <c r="H4" s="18" t="s">
        <v>35</v>
      </c>
    </row>
    <row r="5" spans="1:10" x14ac:dyDescent="0.25">
      <c r="A5" s="18" t="s">
        <v>29</v>
      </c>
      <c r="B5" s="18" t="s">
        <v>30</v>
      </c>
      <c r="C5" s="18" t="s">
        <v>31</v>
      </c>
      <c r="D5" s="18" t="s">
        <v>32</v>
      </c>
      <c r="E5" s="18" t="s">
        <v>33</v>
      </c>
      <c r="F5" s="18" t="s">
        <v>34</v>
      </c>
    </row>
    <row r="6" spans="1:10" x14ac:dyDescent="0.25">
      <c r="A6" s="51">
        <f ca="1">WORKDAY(Swap_Date,1)</f>
        <v>43551</v>
      </c>
      <c r="B6" s="18">
        <f ca="1">_xll.BDH(H6,"PX_LAST",Cash_Date,Cash_Date)</f>
        <v>2.3938800000000002</v>
      </c>
      <c r="C6" s="51">
        <f ca="1">nextimm(Swap_Date)</f>
        <v>43635</v>
      </c>
      <c r="D6" s="18">
        <f ca="1">100-IF(ISNUMBER(_xll.BDH(I6,"PX_LAST",Future_Date,Future_Date)),_xll.BDH(I6,"PX_LAST",Future_Date,Future_Date),100-B9)</f>
        <v>2.7849999999999966</v>
      </c>
      <c r="E6" s="51">
        <f ca="1">EDATE(Swap_Date,24)</f>
        <v>44281</v>
      </c>
      <c r="F6" s="18">
        <f ca="1">_xll.BDH(J6,"PX_LAST",Swap_Date,Swap_Date)</f>
        <v>2.3538000000000001</v>
      </c>
      <c r="H6" s="18" t="s">
        <v>36</v>
      </c>
      <c r="I6" s="18" t="s">
        <v>42</v>
      </c>
      <c r="J6" s="18" t="s">
        <v>50</v>
      </c>
    </row>
    <row r="7" spans="1:10" x14ac:dyDescent="0.25">
      <c r="A7" s="51">
        <f ca="1">EDATE(Swap_Date,1)</f>
        <v>43581</v>
      </c>
      <c r="B7" s="18">
        <f ca="1">_xll.BDH(H7,"PX_LAST",Cash_Date,Cash_Date)</f>
        <v>2.4954999999999998</v>
      </c>
      <c r="C7" s="51">
        <f ca="1">nextimm(C6+1)</f>
        <v>43726</v>
      </c>
      <c r="D7" s="18">
        <f ca="1">100-_xll.BDH(I7,"PX_LAST",Future_Date,Future_Date)</f>
        <v>2.7950000000000017</v>
      </c>
      <c r="E7" s="51">
        <f ca="1">EDATE(E6,12)</f>
        <v>44646</v>
      </c>
      <c r="F7" s="18">
        <f ca="1">_xll.BDH(J7,"PX_LAST",Swap_Date,Swap_Date)</f>
        <v>2.2612999999999999</v>
      </c>
      <c r="H7" s="18" t="s">
        <v>37</v>
      </c>
      <c r="I7" s="18" t="s">
        <v>43</v>
      </c>
      <c r="J7" s="18" t="s">
        <v>51</v>
      </c>
    </row>
    <row r="8" spans="1:10" x14ac:dyDescent="0.25">
      <c r="A8" s="51">
        <f ca="1">EDATE(Swap_Date,2)</f>
        <v>43611</v>
      </c>
      <c r="B8" s="18">
        <f ca="1">_xll.BDH(H8,"PX_LAST",Cash_Date,Cash_Date)</f>
        <v>2.55775</v>
      </c>
      <c r="C8" s="51">
        <f t="shared" ref="C8:C13" ca="1" si="0">nextimm(C7+1)</f>
        <v>43817</v>
      </c>
      <c r="D8" s="18">
        <f ca="1">100-_xll.BDH(I8,"PX_LAST",Future_Date,Future_Date)</f>
        <v>2.8050000000000068</v>
      </c>
      <c r="E8" s="51">
        <f t="shared" ref="E8:E21" ca="1" si="1">EDATE(E7,12)</f>
        <v>45011</v>
      </c>
      <c r="F8" s="18">
        <f ca="1">_xll.BDH(J8,"PX_LAST",Swap_Date,Swap_Date)</f>
        <v>2.2345000000000002</v>
      </c>
      <c r="H8" s="18" t="s">
        <v>38</v>
      </c>
      <c r="I8" s="18" t="s">
        <v>44</v>
      </c>
      <c r="J8" s="18" t="s">
        <v>52</v>
      </c>
    </row>
    <row r="9" spans="1:10" x14ac:dyDescent="0.25">
      <c r="A9" s="51">
        <f ca="1">EDATE(Swap_Date,3)</f>
        <v>43642</v>
      </c>
      <c r="B9" s="18">
        <f ca="1">_xll.BDH(H9,"PX_LAST",Cash_Date,Cash_Date)</f>
        <v>2.5973800000000002</v>
      </c>
      <c r="C9" s="51">
        <f t="shared" ca="1" si="0"/>
        <v>43908</v>
      </c>
      <c r="D9" s="18">
        <f ca="1">100-_xll.BDH(I9,"PX_LAST",Future_Date,Future_Date)</f>
        <v>2.5400000000000063</v>
      </c>
      <c r="E9" s="51">
        <f t="shared" ca="1" si="1"/>
        <v>45377</v>
      </c>
      <c r="F9" s="18">
        <f ca="1">_xll.BDH(J9,"PX_LAST",Swap_Date,Swap_Date)</f>
        <v>2.2410000000000001</v>
      </c>
      <c r="H9" s="18" t="s">
        <v>39</v>
      </c>
      <c r="I9" s="18" t="s">
        <v>45</v>
      </c>
      <c r="J9" s="18" t="s">
        <v>53</v>
      </c>
    </row>
    <row r="10" spans="1:10" x14ac:dyDescent="0.25">
      <c r="A10" s="51">
        <f ca="1">EDATE(Swap_Date,6)</f>
        <v>43734</v>
      </c>
      <c r="B10" s="18">
        <f ca="1">_xll.BDH(H10,"PX_LAST",Cash_Date,Cash_Date)</f>
        <v>2.6821299999999999</v>
      </c>
      <c r="C10" s="51">
        <f t="shared" ca="1" si="0"/>
        <v>43999</v>
      </c>
      <c r="D10" s="18">
        <f ca="1">100-_xll.BDH(I10,"PX_LAST",Future_Date,Future_Date)</f>
        <v>2.4449999999999932</v>
      </c>
      <c r="E10" s="51">
        <f t="shared" ca="1" si="1"/>
        <v>45742</v>
      </c>
      <c r="F10" s="18">
        <f ca="1">_xll.BDH(J10,"PX_LAST",Swap_Date,Swap_Date)</f>
        <v>2.2610999999999999</v>
      </c>
      <c r="H10" s="18" t="s">
        <v>40</v>
      </c>
      <c r="I10" s="18" t="s">
        <v>46</v>
      </c>
      <c r="J10" s="18" t="s">
        <v>54</v>
      </c>
    </row>
    <row r="11" spans="1:10" x14ac:dyDescent="0.25">
      <c r="A11" s="51">
        <f ca="1">EDATE(Swap_Date,12)</f>
        <v>43916</v>
      </c>
      <c r="B11" s="18">
        <f ca="1">_xll.BDH(H11,"PX_LAST",Cash_Date,Cash_Date)</f>
        <v>2.7246299999999999</v>
      </c>
      <c r="C11" s="51">
        <f t="shared" ca="1" si="0"/>
        <v>44090</v>
      </c>
      <c r="D11" s="18">
        <f ca="1">100-_xll.BDH(I11,"PX_LAST",Future_Date,Future_Date)</f>
        <v>2.4000000000000057</v>
      </c>
      <c r="E11" s="51">
        <f t="shared" ca="1" si="1"/>
        <v>46107</v>
      </c>
      <c r="F11" s="18">
        <f ca="1">_xll.BDH(J11,"PX_LAST",Swap_Date,Swap_Date)</f>
        <v>2.2867999999999999</v>
      </c>
      <c r="H11" s="18" t="s">
        <v>41</v>
      </c>
      <c r="I11" s="18" t="s">
        <v>47</v>
      </c>
      <c r="J11" s="18" t="s">
        <v>55</v>
      </c>
    </row>
    <row r="12" spans="1:10" x14ac:dyDescent="0.25">
      <c r="A12" s="53">
        <f ca="1">EDATE(A11,10)</f>
        <v>44222</v>
      </c>
      <c r="B12" s="54">
        <f ca="1">B11</f>
        <v>2.7246299999999999</v>
      </c>
      <c r="C12" s="51">
        <f t="shared" ca="1" si="0"/>
        <v>44181</v>
      </c>
      <c r="D12" s="18">
        <f ca="1">100-_xll.BDH(I12,"PX_LAST",Future_Date,Future_Date)</f>
        <v>2.2549999999999955</v>
      </c>
      <c r="E12" s="51">
        <f t="shared" ca="1" si="1"/>
        <v>46472</v>
      </c>
      <c r="F12" s="18">
        <f ca="1">_xll.BDH(J12,"PX_LAST",Swap_Date,Swap_Date)</f>
        <v>2.3184</v>
      </c>
      <c r="I12" s="18" t="s">
        <v>48</v>
      </c>
      <c r="J12" s="18" t="s">
        <v>56</v>
      </c>
    </row>
    <row r="13" spans="1:10" x14ac:dyDescent="0.25">
      <c r="C13" s="51">
        <f t="shared" ca="1" si="0"/>
        <v>44272</v>
      </c>
      <c r="D13" s="18">
        <f ca="1">100-_xll.BDH(I13,"PX_LAST",Future_Date,Future_Date)</f>
        <v>2.144999999999996</v>
      </c>
      <c r="E13" s="51">
        <f t="shared" ca="1" si="1"/>
        <v>46838</v>
      </c>
      <c r="F13" s="18">
        <f ca="1">_xll.BDH(J13,"PX_LAST",Swap_Date,Swap_Date)</f>
        <v>2.3519999999999999</v>
      </c>
      <c r="I13" s="18" t="s">
        <v>49</v>
      </c>
      <c r="J13" s="18" t="s">
        <v>57</v>
      </c>
    </row>
    <row r="14" spans="1:10" x14ac:dyDescent="0.25">
      <c r="E14" s="51">
        <f t="shared" ca="1" si="1"/>
        <v>47203</v>
      </c>
      <c r="F14" s="18">
        <f ca="1">_xll.BDH(J14,"PX_LAST",Swap_Date,Swap_Date)</f>
        <v>2.3862000000000001</v>
      </c>
      <c r="J14" s="18" t="s">
        <v>26</v>
      </c>
    </row>
    <row r="15" spans="1:10" x14ac:dyDescent="0.25">
      <c r="E15" s="51">
        <f t="shared" ca="1" si="1"/>
        <v>47568</v>
      </c>
      <c r="F15" s="18">
        <f ca="1">_xll.BDH(J15,"PX_LAST",Swap_Date,Swap_Date)</f>
        <v>2.4178000000000002</v>
      </c>
      <c r="J15" s="18" t="s">
        <v>58</v>
      </c>
    </row>
    <row r="16" spans="1:10" x14ac:dyDescent="0.25">
      <c r="E16" s="51">
        <f t="shared" ca="1" si="1"/>
        <v>47933</v>
      </c>
      <c r="F16" s="18">
        <f ca="1">_xll.BDH(J16,"PX_LAST",Swap_Date,Swap_Date)</f>
        <v>2.448</v>
      </c>
      <c r="J16" s="18" t="s">
        <v>59</v>
      </c>
    </row>
    <row r="17" spans="1:17" x14ac:dyDescent="0.25">
      <c r="E17" s="51">
        <f t="shared" ca="1" si="1"/>
        <v>48299</v>
      </c>
      <c r="F17" s="18">
        <f ca="1">_xll.BDH(J17,"PX_LAST",Swap_Date,Swap_Date)</f>
        <v>2.5369999999999999</v>
      </c>
      <c r="J17" s="18" t="s">
        <v>60</v>
      </c>
    </row>
    <row r="18" spans="1:17" x14ac:dyDescent="0.25">
      <c r="E18" s="51">
        <f t="shared" ca="1" si="1"/>
        <v>48664</v>
      </c>
      <c r="F18" s="18">
        <f ca="1">_xll.BDH(J18,"PX_LAST",Swap_Date,Swap_Date)</f>
        <v>2.4929999999999999</v>
      </c>
      <c r="J18" s="18" t="s">
        <v>61</v>
      </c>
    </row>
    <row r="19" spans="1:17" x14ac:dyDescent="0.25">
      <c r="E19" s="51">
        <f t="shared" ca="1" si="1"/>
        <v>49029</v>
      </c>
      <c r="F19" s="18">
        <f ca="1">_xll.BDH(J19,"PX_LAST",Swap_Date,Swap_Date)</f>
        <v>2.5110000000000001</v>
      </c>
      <c r="J19" s="18" t="s">
        <v>62</v>
      </c>
    </row>
    <row r="20" spans="1:17" x14ac:dyDescent="0.25">
      <c r="E20" s="51">
        <f t="shared" ca="1" si="1"/>
        <v>49394</v>
      </c>
      <c r="F20" s="18">
        <f ca="1">IF(ISNUMBER(_xll.BDH(J20,"PX_LAST",Swap_Date,Swap_Date)),_xll.BDH(J20,"PX_LAST",Swap_Date,Swap_Date),0.2*(F22-F19)+F19)</f>
        <v>2.5255000000000001</v>
      </c>
      <c r="J20" s="18" t="s">
        <v>63</v>
      </c>
    </row>
    <row r="21" spans="1:17" x14ac:dyDescent="0.25">
      <c r="E21" s="51">
        <f t="shared" ca="1" si="1"/>
        <v>49760</v>
      </c>
      <c r="F21" s="18">
        <f ca="1">IF(ISNUMBER(_xll.BDH(J21,"PX_LAST",Swap_Date,Swap_Date)),_xll.BDH(J21,"PX_LAST",Swap_Date,Swap_Date),0.4*(F22-F19)+F19)</f>
        <v>2.5385</v>
      </c>
      <c r="J21" s="18" t="s">
        <v>64</v>
      </c>
    </row>
    <row r="22" spans="1:17" x14ac:dyDescent="0.25">
      <c r="E22" s="51">
        <f ca="1">EDATE(E21,36)</f>
        <v>50855</v>
      </c>
      <c r="F22" s="18">
        <f ca="1">_xll.BDH(J22,"PX_LAST",Swap_Date,Swap_Date)</f>
        <v>2.5661</v>
      </c>
      <c r="J22" s="18" t="s">
        <v>65</v>
      </c>
    </row>
    <row r="23" spans="1:17" x14ac:dyDescent="0.25">
      <c r="E23" s="51">
        <f ca="1">EDATE(E22,60)</f>
        <v>52682</v>
      </c>
      <c r="F23" s="18">
        <f ca="1">_xll.BDH(J23,"PX_LAST",Swap_Date,Swap_Date)</f>
        <v>2.5836999999999999</v>
      </c>
      <c r="J23" s="18" t="s">
        <v>66</v>
      </c>
    </row>
    <row r="24" spans="1:17" x14ac:dyDescent="0.25">
      <c r="E24" s="51">
        <f ca="1">EDATE(E23,60)</f>
        <v>54508</v>
      </c>
      <c r="F24" s="18">
        <f ca="1">_xll.BDH(J24,"PX_LAST",Swap_Date,Swap_Date)</f>
        <v>2.5911999999999997</v>
      </c>
      <c r="J24" s="18" t="s">
        <v>67</v>
      </c>
    </row>
    <row r="25" spans="1:17" x14ac:dyDescent="0.25">
      <c r="E25" s="51">
        <f ca="1">EDATE(E24,120)</f>
        <v>58160</v>
      </c>
      <c r="F25" s="18">
        <f ca="1">_xll.BDH(J25,"PX_LAST",Swap_Date,Swap_Date)</f>
        <v>2.5720000000000001</v>
      </c>
      <c r="J25" s="18" t="s">
        <v>68</v>
      </c>
    </row>
    <row r="26" spans="1:17" x14ac:dyDescent="0.25">
      <c r="E26" s="51">
        <f ca="1">EDATE(E25,12)</f>
        <v>58526</v>
      </c>
      <c r="F26" s="18">
        <f ca="1">F25</f>
        <v>2.5720000000000001</v>
      </c>
    </row>
    <row r="29" spans="1:17" x14ac:dyDescent="0.25">
      <c r="A29" s="18" t="s">
        <v>13</v>
      </c>
      <c r="B29" s="18">
        <v>7</v>
      </c>
      <c r="D29" s="18">
        <v>7</v>
      </c>
      <c r="F29" s="18">
        <v>100</v>
      </c>
    </row>
    <row r="30" spans="1:17" x14ac:dyDescent="0.25">
      <c r="A30" s="18" t="s">
        <v>29</v>
      </c>
      <c r="B30" s="18" t="s">
        <v>30</v>
      </c>
      <c r="C30" s="18" t="s">
        <v>31</v>
      </c>
      <c r="D30" s="18" t="s">
        <v>32</v>
      </c>
      <c r="E30" s="18" t="s">
        <v>33</v>
      </c>
      <c r="F30" s="18" t="s">
        <v>34</v>
      </c>
      <c r="M30" s="55" t="s">
        <v>248</v>
      </c>
      <c r="N30" s="55" t="s">
        <v>35</v>
      </c>
    </row>
    <row r="31" spans="1:17" x14ac:dyDescent="0.25">
      <c r="A31" s="51">
        <f ca="1">WORKDAY(Swap_Date,1)</f>
        <v>43551</v>
      </c>
      <c r="B31" s="18">
        <f ca="1">_xll.BDH(H31,"PX_LAST",Cash_Date,Cash_Date)+$P$31</f>
        <v>-0.47820000000000001</v>
      </c>
      <c r="C31" s="51">
        <f ca="1">nextimm(Swap_Date)</f>
        <v>43635</v>
      </c>
      <c r="D31" s="18">
        <f ca="1">100-IF(ISNUMBER(_xll.BDH(I31,"PX_LAST",Future_Date,Future_Date)),_xll.BDH(I31,"PX_LAST",Future_Date,Future_Date)+$P$31,100-B34)</f>
        <v>-0.42650000000000432</v>
      </c>
      <c r="E31" s="51">
        <f ca="1">EDATE(Swap_Date,24)</f>
        <v>44281</v>
      </c>
      <c r="F31" s="18">
        <f ca="1">_xll.BDH(J31,"PX_LAST",Swap_Date,Swap_Date)+M31</f>
        <v>-0.28825000000000001</v>
      </c>
      <c r="H31" s="18" t="s">
        <v>6</v>
      </c>
      <c r="I31" s="18" t="s">
        <v>77</v>
      </c>
      <c r="J31" s="18" t="s">
        <v>85</v>
      </c>
      <c r="M31" s="18">
        <f ca="1">_xll.BDP(N31,"PX_LAST")/100</f>
        <v>-0.11375</v>
      </c>
      <c r="N31" s="18" t="s">
        <v>249</v>
      </c>
      <c r="P31" s="18">
        <f ca="1">_xll.BDP(Q31,"PX_LAST")/100</f>
        <v>-0.11749999999999999</v>
      </c>
      <c r="Q31" s="18" t="s">
        <v>362</v>
      </c>
    </row>
    <row r="32" spans="1:17" x14ac:dyDescent="0.25">
      <c r="A32" s="51">
        <f ca="1">EDATE(Swap_Date,1)</f>
        <v>43581</v>
      </c>
      <c r="B32" s="18">
        <f ca="1">_xll.BDH(H32,"PX_LAST",Cash_Date,Cash_Date)+$P$31</f>
        <v>-0.48549999999999999</v>
      </c>
      <c r="C32" s="51">
        <f ca="1">nextimm(C31+1)</f>
        <v>43726</v>
      </c>
      <c r="D32" s="18" t="e">
        <f ca="1">IFERROR($P$31+100-_xll.BDH(I32,"PX_LAST",Future_Date,Future_Date),0.5*(D31+D33))</f>
        <v>#VALUE!</v>
      </c>
      <c r="E32" s="51">
        <f ca="1">EDATE(E31,12)</f>
        <v>44646</v>
      </c>
      <c r="F32" s="18">
        <f ca="1">_xll.BDH(J32,"PX_LAST",Swap_Date,Swap_Date)+M32</f>
        <v>-0.21529999999999999</v>
      </c>
      <c r="H32" s="18" t="s">
        <v>72</v>
      </c>
      <c r="I32" s="18" t="s">
        <v>78</v>
      </c>
      <c r="J32" s="18" t="s">
        <v>86</v>
      </c>
      <c r="M32" s="18">
        <f ca="1">_xll.BDP(N32,"PX_LAST")/100</f>
        <v>-0.11</v>
      </c>
      <c r="N32" s="18" t="s">
        <v>250</v>
      </c>
    </row>
    <row r="33" spans="1:14" x14ac:dyDescent="0.25">
      <c r="A33" s="51">
        <f ca="1">EDATE(Swap_Date,2)</f>
        <v>43611</v>
      </c>
      <c r="B33" s="18">
        <f ca="1">IF(ISNUMBER(_xll.BDH(H33,"PX_LAST",Cash_Date,Cash_Date)),_xll.BDH(H33,"PX_LAST",Cash_Date,Cash_Date),0.5*(B32+B34))+$P$31</f>
        <v>-0.5734999999999999</v>
      </c>
      <c r="C33" s="51">
        <f t="shared" ref="C33:C38" ca="1" si="2">nextimm(C32+1)</f>
        <v>43817</v>
      </c>
      <c r="D33" s="18" t="e">
        <f ca="1">$P$31+100-_xll.BDH(I33,"PX_LAST",Future_Date,Future_Date)</f>
        <v>#VALUE!</v>
      </c>
      <c r="E33" s="51">
        <f t="shared" ref="E33:E46" ca="1" si="3">EDATE(E32,12)</f>
        <v>45011</v>
      </c>
      <c r="F33" s="18">
        <f ca="1">_xll.BDH(J33,"PX_LAST",Swap_Date,Swap_Date)+M33</f>
        <v>-0.13975000000000001</v>
      </c>
      <c r="H33" s="18" t="s">
        <v>73</v>
      </c>
      <c r="I33" s="18" t="s">
        <v>79</v>
      </c>
      <c r="J33" s="18" t="s">
        <v>89</v>
      </c>
      <c r="M33" s="18">
        <f ca="1">_xll.BDP(N33,"PX_LAST")/100</f>
        <v>-0.11125</v>
      </c>
      <c r="N33" s="18" t="s">
        <v>251</v>
      </c>
    </row>
    <row r="34" spans="1:14" x14ac:dyDescent="0.25">
      <c r="A34" s="51">
        <f ca="1">EDATE(Swap_Date,3)</f>
        <v>43642</v>
      </c>
      <c r="B34" s="18">
        <f ca="1">_xll.BDH(H34,"PX_LAST",Cash_Date,Cash_Date)+$P$31</f>
        <v>-0.42649999999999999</v>
      </c>
      <c r="C34" s="51">
        <f t="shared" ca="1" si="2"/>
        <v>43908</v>
      </c>
      <c r="D34" s="18">
        <f ca="1">$P$31+100-_xll.BDH(I34,"PX_LAST",Future_Date,Future_Date)</f>
        <v>-0.41250000000000853</v>
      </c>
      <c r="E34" s="51">
        <f t="shared" ca="1" si="3"/>
        <v>45377</v>
      </c>
      <c r="F34" s="18">
        <f ca="1">_xll.BDH(J34,"PX_LAST",Swap_Date,Swap_Date)+M34</f>
        <v>-5.8350000000000006E-2</v>
      </c>
      <c r="H34" s="18" t="s">
        <v>74</v>
      </c>
      <c r="I34" s="18" t="s">
        <v>80</v>
      </c>
      <c r="J34" s="18" t="s">
        <v>87</v>
      </c>
      <c r="M34" s="18">
        <f ca="1">_xll.BDP(N34,"PX_LAST")/100</f>
        <v>-0.11375</v>
      </c>
      <c r="N34" s="18" t="s">
        <v>252</v>
      </c>
    </row>
    <row r="35" spans="1:14" x14ac:dyDescent="0.25">
      <c r="A35" s="51">
        <f ca="1">EDATE(Swap_Date,6)</f>
        <v>43734</v>
      </c>
      <c r="B35" s="18">
        <f ca="1">_xll.BDH(H35,"PX_LAST",Cash_Date,Cash_Date)+$P$31</f>
        <v>-0.34550000000000003</v>
      </c>
      <c r="C35" s="51">
        <f t="shared" ca="1" si="2"/>
        <v>43999</v>
      </c>
      <c r="D35" s="18">
        <f ca="1">$P$31+100-_xll.BDH(I35,"PX_LAST",Future_Date,Future_Date)</f>
        <v>-0.40750000000001307</v>
      </c>
      <c r="E35" s="51">
        <f t="shared" ca="1" si="3"/>
        <v>45742</v>
      </c>
      <c r="F35" s="18">
        <f ca="1">_xll.BDH(J35,"PX_LAST",Swap_Date,Swap_Date)+M35</f>
        <v>2.2949999999999998E-2</v>
      </c>
      <c r="H35" s="18" t="s">
        <v>75</v>
      </c>
      <c r="I35" s="18" t="s">
        <v>81</v>
      </c>
      <c r="J35" s="18" t="s">
        <v>90</v>
      </c>
      <c r="M35" s="18">
        <f ca="1">_xll.BDP(N35,"PX_LAST")/100</f>
        <v>-0.11874999999999999</v>
      </c>
      <c r="N35" s="18" t="s">
        <v>253</v>
      </c>
    </row>
    <row r="36" spans="1:14" x14ac:dyDescent="0.25">
      <c r="A36" s="51">
        <f ca="1">EDATE(Swap_Date,12)</f>
        <v>43916</v>
      </c>
      <c r="B36" s="18">
        <f ca="1">_xll.BDH(H36,"PX_LAST",Cash_Date,Cash_Date)+$P$31</f>
        <v>-0.22549999999999998</v>
      </c>
      <c r="C36" s="51">
        <f t="shared" ca="1" si="2"/>
        <v>44090</v>
      </c>
      <c r="D36" s="18">
        <f ca="1">$P$31+100-_xll.BDH(I36,"PX_LAST",Future_Date,Future_Date)</f>
        <v>-0.40250000000000341</v>
      </c>
      <c r="E36" s="51">
        <f t="shared" ca="1" si="3"/>
        <v>46107</v>
      </c>
      <c r="F36" s="18">
        <f ca="1">_xll.BDH(J36,"PX_LAST",Swap_Date,Swap_Date)+M36</f>
        <v>0.10800000000000001</v>
      </c>
      <c r="H36" s="18" t="s">
        <v>76</v>
      </c>
      <c r="I36" s="18" t="s">
        <v>82</v>
      </c>
      <c r="J36" s="18" t="s">
        <v>88</v>
      </c>
      <c r="M36" s="18">
        <f ca="1">_xll.BDP(N36,"PX_LAST")/100</f>
        <v>-0.1225</v>
      </c>
      <c r="N36" s="18" t="s">
        <v>254</v>
      </c>
    </row>
    <row r="37" spans="1:14" x14ac:dyDescent="0.25">
      <c r="A37" s="53">
        <f ca="1">EDATE(A36,10)</f>
        <v>44222</v>
      </c>
      <c r="B37" s="18">
        <f ca="1">B36</f>
        <v>-0.22549999999999998</v>
      </c>
      <c r="C37" s="51">
        <f t="shared" ca="1" si="2"/>
        <v>44181</v>
      </c>
      <c r="D37" s="18">
        <f ca="1">$P$31+100-_xll.BDH(I37,"PX_LAST",Future_Date,Future_Date)</f>
        <v>-0.37750000000001194</v>
      </c>
      <c r="E37" s="51">
        <f t="shared" ca="1" si="3"/>
        <v>46472</v>
      </c>
      <c r="F37" s="18">
        <f ca="1">_xll.BDH(J37,"PX_LAST",Swap_Date,Swap_Date)+M37</f>
        <v>0.19600000000000001</v>
      </c>
      <c r="I37" s="18" t="s">
        <v>83</v>
      </c>
      <c r="J37" s="18" t="s">
        <v>91</v>
      </c>
      <c r="M37" s="18">
        <f ca="1">_xll.BDP(N37,"PX_LAST")/100</f>
        <v>-0.125</v>
      </c>
      <c r="N37" s="18" t="s">
        <v>255</v>
      </c>
    </row>
    <row r="38" spans="1:14" x14ac:dyDescent="0.25">
      <c r="C38" s="51">
        <f t="shared" ca="1" si="2"/>
        <v>44272</v>
      </c>
      <c r="D38" s="18">
        <f ca="1">$P$31+100-_xll.BDH(I38,"PX_LAST",Future_Date,Future_Date)</f>
        <v>-0.35250000000000625</v>
      </c>
      <c r="E38" s="51">
        <f t="shared" ca="1" si="3"/>
        <v>46838</v>
      </c>
      <c r="F38" s="18">
        <f ca="1">_xll.BDH(J38,"PX_LAST",Swap_Date,Swap_Date)+M38</f>
        <v>0.28470000000000001</v>
      </c>
      <c r="I38" s="18" t="s">
        <v>84</v>
      </c>
      <c r="J38" s="18" t="s">
        <v>92</v>
      </c>
      <c r="M38" s="18">
        <f ca="1">_xll.BDP(N38,"PX_LAST")/100</f>
        <v>-0.125</v>
      </c>
      <c r="N38" s="18" t="s">
        <v>256</v>
      </c>
    </row>
    <row r="39" spans="1:14" x14ac:dyDescent="0.25">
      <c r="E39" s="51">
        <f t="shared" ca="1" si="3"/>
        <v>47203</v>
      </c>
      <c r="F39" s="18">
        <f ca="1">_xll.BDH(J39,"PX_LAST",Swap_Date,Swap_Date)+M39</f>
        <v>0.37275000000000003</v>
      </c>
      <c r="J39" s="18" t="s">
        <v>27</v>
      </c>
      <c r="M39" s="18">
        <f ca="1">_xll.BDP(N39,"PX_LAST")/100</f>
        <v>-0.12375</v>
      </c>
      <c r="N39" s="18" t="s">
        <v>257</v>
      </c>
    </row>
    <row r="40" spans="1:14" x14ac:dyDescent="0.25">
      <c r="E40" s="51">
        <f t="shared" ca="1" si="3"/>
        <v>47568</v>
      </c>
      <c r="F40" s="18">
        <f ca="1">_xll.BDH(J40,"PX_LAST",Swap_Date,Swap_Date)+M40</f>
        <v>0.45325000000000004</v>
      </c>
      <c r="J40" s="18" t="s">
        <v>93</v>
      </c>
      <c r="M40" s="18">
        <f ca="1">_xll.BDP(N40,"PX_LAST")/100</f>
        <v>-0.12125</v>
      </c>
      <c r="N40" s="18" t="s">
        <v>258</v>
      </c>
    </row>
    <row r="41" spans="1:14" x14ac:dyDescent="0.25">
      <c r="E41" s="51">
        <f t="shared" ca="1" si="3"/>
        <v>47933</v>
      </c>
      <c r="F41" s="18">
        <f ca="1">_xll.BDH(J41,"PX_LAST",Swap_Date,Swap_Date)+M41</f>
        <v>0.5282</v>
      </c>
      <c r="J41" s="18" t="s">
        <v>94</v>
      </c>
      <c r="M41" s="18">
        <f ca="1">_xll.BDP(N41,"PX_LAST")/100</f>
        <v>-0.11749999999999999</v>
      </c>
      <c r="N41" s="18" t="s">
        <v>259</v>
      </c>
    </row>
    <row r="42" spans="1:14" x14ac:dyDescent="0.25">
      <c r="E42" s="51">
        <f t="shared" ca="1" si="3"/>
        <v>48299</v>
      </c>
      <c r="F42" s="18">
        <f ca="1">_xll.BDH(J42,"PX_LAST",Swap_Date,Swap_Date)+M42</f>
        <v>0.60081666666666667</v>
      </c>
      <c r="J42" s="18" t="s">
        <v>95</v>
      </c>
      <c r="M42" s="56">
        <f ca="1">(M44-M41)/3+M41</f>
        <v>-0.10958333333333332</v>
      </c>
      <c r="N42" s="18" t="s">
        <v>260</v>
      </c>
    </row>
    <row r="43" spans="1:14" x14ac:dyDescent="0.25">
      <c r="E43" s="51">
        <f t="shared" ca="1" si="3"/>
        <v>48664</v>
      </c>
      <c r="F43" s="18">
        <f ca="1">_xll.BDH(J43,"PX_LAST",Swap_Date,Swap_Date)+M43</f>
        <v>0.66433333333333333</v>
      </c>
      <c r="J43" s="18" t="s">
        <v>96</v>
      </c>
      <c r="M43" s="56">
        <f ca="1">(M44-M41)/3*2+M41</f>
        <v>-0.10166666666666667</v>
      </c>
      <c r="N43" s="18" t="s">
        <v>261</v>
      </c>
    </row>
    <row r="44" spans="1:14" x14ac:dyDescent="0.25">
      <c r="E44" s="51">
        <f t="shared" ca="1" si="3"/>
        <v>49029</v>
      </c>
      <c r="F44" s="18">
        <f ca="1">_xll.BDH(J44,"PX_LAST",Swap_Date,Swap_Date)+M44</f>
        <v>0.72024999999999995</v>
      </c>
      <c r="J44" s="18" t="s">
        <v>97</v>
      </c>
      <c r="M44" s="18">
        <f ca="1">_xll.BDP(N44,"PX_LAST")/100</f>
        <v>-9.375E-2</v>
      </c>
      <c r="N44" s="18" t="s">
        <v>262</v>
      </c>
    </row>
    <row r="45" spans="1:14" x14ac:dyDescent="0.25">
      <c r="E45" s="51">
        <f t="shared" ca="1" si="3"/>
        <v>49394</v>
      </c>
      <c r="F45" s="18">
        <f ca="1">_xll.BDH(J45,"PX_LAST",Swap_Date,Swap_Date)+M45</f>
        <v>0.77385000000000004</v>
      </c>
      <c r="J45" s="18" t="s">
        <v>98</v>
      </c>
      <c r="M45" s="56">
        <f ca="1">(M47-M44)/5+M44</f>
        <v>-8.2750000000000004E-2</v>
      </c>
      <c r="N45" s="18" t="s">
        <v>263</v>
      </c>
    </row>
    <row r="46" spans="1:14" x14ac:dyDescent="0.25">
      <c r="E46" s="51">
        <f t="shared" ca="1" si="3"/>
        <v>49760</v>
      </c>
      <c r="F46" s="18">
        <f ca="1">_xll.BDH(J46,"PX_LAST",Swap_Date,Swap_Date)+M46</f>
        <v>0.82115000000000005</v>
      </c>
      <c r="J46" s="18" t="s">
        <v>99</v>
      </c>
      <c r="M46" s="56">
        <f ca="1">(M47-M44)/5*2+M44</f>
        <v>-7.1750000000000008E-2</v>
      </c>
      <c r="N46" s="18" t="s">
        <v>264</v>
      </c>
    </row>
    <row r="47" spans="1:14" x14ac:dyDescent="0.25">
      <c r="E47" s="51">
        <f ca="1">EDATE(E46,36)</f>
        <v>50855</v>
      </c>
      <c r="F47" s="18">
        <f ca="1">_xll.BDH(J47,"PX_LAST",Swap_Date,Swap_Date)+M47</f>
        <v>0.93115000000000003</v>
      </c>
      <c r="J47" s="18" t="s">
        <v>100</v>
      </c>
      <c r="M47" s="18">
        <f ca="1">_xll.BDP(N47,"PX_LAST")/100</f>
        <v>-3.875E-2</v>
      </c>
      <c r="N47" s="18" t="s">
        <v>265</v>
      </c>
    </row>
    <row r="48" spans="1:14" x14ac:dyDescent="0.25">
      <c r="E48" s="51">
        <f ca="1">EDATE(E47,60)</f>
        <v>52682</v>
      </c>
      <c r="F48" s="18">
        <f ca="1">_xll.BDH(J48,"PX_LAST",Swap_Date,Swap_Date)+M48</f>
        <v>1.0375000000000001</v>
      </c>
      <c r="J48" s="18" t="s">
        <v>101</v>
      </c>
      <c r="M48" s="18">
        <f ca="1">_xll.BDP(N48,"PX_LAST")/100</f>
        <v>0.01</v>
      </c>
      <c r="N48" s="18" t="s">
        <v>266</v>
      </c>
    </row>
    <row r="49" spans="1:17" x14ac:dyDescent="0.25">
      <c r="E49" s="51">
        <f ca="1">EDATE(E48,60)</f>
        <v>54508</v>
      </c>
      <c r="F49" s="18">
        <f ca="1">_xll.BDH(J49,"PX_LAST",Swap_Date,Swap_Date)+M49</f>
        <v>1.083</v>
      </c>
      <c r="J49" s="18" t="s">
        <v>102</v>
      </c>
      <c r="M49" s="18">
        <f ca="1">_xll.BDP(N49,"PX_LAST")/100</f>
        <v>4.2500000000000003E-2</v>
      </c>
      <c r="N49" s="18" t="s">
        <v>267</v>
      </c>
    </row>
    <row r="50" spans="1:17" x14ac:dyDescent="0.25">
      <c r="E50" s="51">
        <f ca="1">EDATE(E49,120)</f>
        <v>58160</v>
      </c>
      <c r="F50" s="18">
        <f ca="1">_xll.BDH(J50,"PX_LAST",Swap_Date,Swap_Date)+M50</f>
        <v>1.0802499999999999</v>
      </c>
      <c r="J50" s="18" t="s">
        <v>103</v>
      </c>
      <c r="M50" s="18">
        <f ca="1">_xll.BDP(N50,"PX_LAST")/100</f>
        <v>4.3749999999999997E-2</v>
      </c>
      <c r="N50" s="18" t="s">
        <v>268</v>
      </c>
    </row>
    <row r="51" spans="1:17" x14ac:dyDescent="0.25">
      <c r="E51" s="51">
        <f ca="1">EDATE(E50,12)</f>
        <v>58526</v>
      </c>
      <c r="F51" s="18">
        <f ca="1">F50</f>
        <v>1.0802499999999999</v>
      </c>
    </row>
    <row r="54" spans="1:17" x14ac:dyDescent="0.25">
      <c r="A54" s="18" t="s">
        <v>19</v>
      </c>
      <c r="B54" s="18">
        <v>7</v>
      </c>
      <c r="D54" s="18">
        <v>7</v>
      </c>
      <c r="F54" s="18">
        <v>100</v>
      </c>
    </row>
    <row r="55" spans="1:17" x14ac:dyDescent="0.25">
      <c r="A55" s="18" t="s">
        <v>29</v>
      </c>
      <c r="B55" s="18" t="s">
        <v>30</v>
      </c>
      <c r="C55" s="18" t="s">
        <v>31</v>
      </c>
      <c r="D55" s="18" t="s">
        <v>32</v>
      </c>
      <c r="E55" s="18" t="s">
        <v>33</v>
      </c>
      <c r="F55" s="18" t="s">
        <v>34</v>
      </c>
      <c r="M55" s="55" t="s">
        <v>248</v>
      </c>
      <c r="N55" s="55" t="s">
        <v>35</v>
      </c>
    </row>
    <row r="56" spans="1:17" ht="15.6" customHeight="1" x14ac:dyDescent="0.25">
      <c r="A56" s="51">
        <f ca="1">WORKDAY(Swap_Date,1)</f>
        <v>43551</v>
      </c>
      <c r="B56" s="18">
        <f ca="1">_xll.BDH(H56,"PX_LAST",Cash_Date,Cash_Date)+$P$56</f>
        <v>-0.33574999999999999</v>
      </c>
      <c r="C56" s="51">
        <f ca="1">nextimm(Swap_Date)</f>
        <v>43635</v>
      </c>
      <c r="D56" s="18">
        <f ca="1">100-IF(ISNUMBER(_xll.BDH(I56,"PX_LAST",Future_Date,Future_Date)),_xll.BDH(I56,"PX_LAST",Future_Date,Future_Date)+$P$56,100-B59)</f>
        <v>-0.29442000000000235</v>
      </c>
      <c r="E56" s="51">
        <f ca="1">EDATE(Swap_Date,24)</f>
        <v>44281</v>
      </c>
      <c r="F56" s="18">
        <f ca="1">_xll.BDH(J56,"PX_LAST",Swap_Date,Swap_Date)+M56</f>
        <v>-0.3075</v>
      </c>
      <c r="H56" s="18" t="s">
        <v>0</v>
      </c>
      <c r="I56" s="18" t="s">
        <v>104</v>
      </c>
      <c r="J56" s="18" t="s">
        <v>112</v>
      </c>
      <c r="M56" s="18">
        <f ca="1">_xll.BDP(N56,"PX_LAST")/100</f>
        <v>-0.27500000000000002</v>
      </c>
      <c r="N56" s="18" t="s">
        <v>269</v>
      </c>
      <c r="P56" s="18">
        <f ca="1">_xll.BDP(Q56,"PX_LAST")/100</f>
        <v>-0.23375000000000001</v>
      </c>
      <c r="Q56" s="18" t="s">
        <v>363</v>
      </c>
    </row>
    <row r="57" spans="1:17" ht="15.6" customHeight="1" x14ac:dyDescent="0.25">
      <c r="A57" s="51">
        <f ca="1">EDATE(Swap_Date,1)</f>
        <v>43581</v>
      </c>
      <c r="B57" s="18">
        <f ca="1">_xll.BDH(H57,"PX_LAST",Cash_Date,Cash_Date)+$P$56</f>
        <v>-0.34025</v>
      </c>
      <c r="C57" s="51">
        <f ca="1">nextimm(C56+1)</f>
        <v>43726</v>
      </c>
      <c r="D57" s="18" t="e">
        <f ca="1">IFERROR(100-_xll.BDH(I57,"PX_LAST",Future_Date,Future_Date)+$M$56,0.5*(D56+D58))</f>
        <v>#VALUE!</v>
      </c>
      <c r="E57" s="51">
        <f ca="1">EDATE(E56,12)</f>
        <v>44646</v>
      </c>
      <c r="F57" s="18">
        <f ca="1">_xll.BDH(J57,"PX_LAST",Swap_Date,Swap_Date)+M57</f>
        <v>-0.36812</v>
      </c>
      <c r="H57" s="18" t="s">
        <v>1</v>
      </c>
      <c r="I57" s="18" t="s">
        <v>105</v>
      </c>
      <c r="J57" s="18" t="s">
        <v>113</v>
      </c>
      <c r="M57" s="18">
        <f ca="1">_xll.BDP(N57,"PX_LAST")/100</f>
        <v>-0.32374999999999998</v>
      </c>
      <c r="N57" s="18" t="s">
        <v>270</v>
      </c>
    </row>
    <row r="58" spans="1:17" ht="15.6" customHeight="1" x14ac:dyDescent="0.25">
      <c r="A58" s="51">
        <f ca="1">EDATE(Swap_Date,2)</f>
        <v>43611</v>
      </c>
      <c r="B58" s="18">
        <f ca="1">_xll.BDH(H58,"PX_LAST",Cash_Date,Cash_Date)+$P$56</f>
        <v>-0.31458000000000003</v>
      </c>
      <c r="C58" s="51">
        <f t="shared" ref="C58:C63" ca="1" si="4">nextimm(C57+1)</f>
        <v>43817</v>
      </c>
      <c r="D58" s="18" t="e">
        <f ca="1">100-_xll.BDH(I58,"PX_LAST",Future_Date,Future_Date)+$M$56</f>
        <v>#VALUE!</v>
      </c>
      <c r="E58" s="51">
        <f t="shared" ref="E58:E71" ca="1" si="5">EDATE(E57,12)</f>
        <v>45011</v>
      </c>
      <c r="F58" s="18">
        <f ca="1">_xll.BDH(J58,"PX_LAST",Swap_Date,Swap_Date)+M58</f>
        <v>-0.41125</v>
      </c>
      <c r="H58" s="18" t="s">
        <v>2</v>
      </c>
      <c r="I58" s="18" t="s">
        <v>106</v>
      </c>
      <c r="J58" s="18" t="s">
        <v>114</v>
      </c>
      <c r="M58" s="18">
        <f ca="1">_xll.BDP(N58,"PX_LAST")/100</f>
        <v>-0.36749999999999999</v>
      </c>
      <c r="N58" s="18" t="s">
        <v>271</v>
      </c>
    </row>
    <row r="59" spans="1:17" x14ac:dyDescent="0.25">
      <c r="A59" s="51">
        <f ca="1">EDATE(Swap_Date,3)</f>
        <v>43642</v>
      </c>
      <c r="B59" s="18">
        <f ca="1">_xll.BDH(H59,"PX_LAST",Cash_Date,Cash_Date)+$P$56</f>
        <v>-0.29442000000000002</v>
      </c>
      <c r="C59" s="51">
        <f t="shared" ca="1" si="4"/>
        <v>43908</v>
      </c>
      <c r="D59" s="18">
        <f ca="1">100-_xll.BDH(I59,"PX_LAST",Future_Date,Future_Date)+$M$56</f>
        <v>-0.24999999999999434</v>
      </c>
      <c r="E59" s="51">
        <f t="shared" ca="1" si="5"/>
        <v>45377</v>
      </c>
      <c r="F59" s="18">
        <f ca="1">_xll.BDH(J59,"PX_LAST",Swap_Date,Swap_Date)+M59</f>
        <v>-0.43999999999999995</v>
      </c>
      <c r="H59" s="18" t="s">
        <v>3</v>
      </c>
      <c r="I59" s="18" t="s">
        <v>107</v>
      </c>
      <c r="J59" s="18" t="s">
        <v>115</v>
      </c>
      <c r="M59" s="18">
        <f ca="1">_xll.BDP(N59,"PX_LAST")/100</f>
        <v>-0.40749999999999997</v>
      </c>
      <c r="N59" s="18" t="s">
        <v>272</v>
      </c>
    </row>
    <row r="60" spans="1:17" x14ac:dyDescent="0.25">
      <c r="A60" s="51">
        <f ca="1">EDATE(Swap_Date,6)</f>
        <v>43734</v>
      </c>
      <c r="B60" s="18">
        <f ca="1">_xll.BDH(H60,"PX_LAST",Cash_Date,Cash_Date)+$P$56</f>
        <v>-0.22158</v>
      </c>
      <c r="C60" s="51">
        <f t="shared" ca="1" si="4"/>
        <v>43999</v>
      </c>
      <c r="D60" s="18">
        <f ca="1">100-_xll.BDH(I60,"PX_LAST",Future_Date,Future_Date)+$M$56</f>
        <v>-0.24999999999999434</v>
      </c>
      <c r="E60" s="51">
        <f t="shared" ca="1" si="5"/>
        <v>45742</v>
      </c>
      <c r="F60" s="18">
        <f ca="1">_xll.BDH(J60,"PX_LAST",Swap_Date,Swap_Date)+M60</f>
        <v>-0.45062000000000002</v>
      </c>
      <c r="H60" s="18" t="s">
        <v>4</v>
      </c>
      <c r="I60" s="18" t="s">
        <v>108</v>
      </c>
      <c r="J60" s="18" t="s">
        <v>116</v>
      </c>
      <c r="M60" s="18">
        <f ca="1">_xll.BDP(N60,"PX_LAST")/100</f>
        <v>-0.4375</v>
      </c>
      <c r="N60" s="18" t="s">
        <v>273</v>
      </c>
    </row>
    <row r="61" spans="1:17" x14ac:dyDescent="0.25">
      <c r="A61" s="51">
        <f ca="1">EDATE(Swap_Date,12)</f>
        <v>43916</v>
      </c>
      <c r="B61" s="18">
        <f ca="1">_xll.BDH(H61,"PX_LAST",Cash_Date,Cash_Date)+$P$56</f>
        <v>-0.13908000000000001</v>
      </c>
      <c r="C61" s="51">
        <f t="shared" ca="1" si="4"/>
        <v>44090</v>
      </c>
      <c r="D61" s="18">
        <f ca="1">100-_xll.BDH(I61,"PX_LAST",Future_Date,Future_Date)+$M$56</f>
        <v>-0.25999999999999945</v>
      </c>
      <c r="E61" s="51">
        <f t="shared" ca="1" si="5"/>
        <v>46107</v>
      </c>
      <c r="F61" s="18">
        <f ca="1">_xll.BDH(J61,"PX_LAST",Swap_Date,Swap_Date)+M61</f>
        <v>-0.44124999999999998</v>
      </c>
      <c r="H61" s="18" t="s">
        <v>5</v>
      </c>
      <c r="I61" s="18" t="s">
        <v>109</v>
      </c>
      <c r="J61" s="18" t="s">
        <v>117</v>
      </c>
      <c r="M61" s="18">
        <f ca="1">_xll.BDP(N61,"PX_LAST")/100</f>
        <v>-0.45874999999999999</v>
      </c>
      <c r="N61" s="18" t="s">
        <v>274</v>
      </c>
    </row>
    <row r="62" spans="1:17" x14ac:dyDescent="0.25">
      <c r="A62" s="53">
        <f ca="1">EDATE(A61,10)</f>
        <v>44222</v>
      </c>
      <c r="B62" s="18">
        <f ca="1">B61</f>
        <v>-0.13908000000000001</v>
      </c>
      <c r="C62" s="51">
        <f t="shared" ca="1" si="4"/>
        <v>44181</v>
      </c>
      <c r="D62" s="18">
        <f ca="1">100-_xll.BDH(I62,"PX_LAST",Future_Date,Future_Date)+$M$56</f>
        <v>-0.26499999999999491</v>
      </c>
      <c r="E62" s="51">
        <f t="shared" ca="1" si="5"/>
        <v>46472</v>
      </c>
      <c r="F62" s="18">
        <f ca="1">_xll.BDH(J62,"PX_LAST",Swap_Date,Swap_Date)+M62</f>
        <v>-0.42645</v>
      </c>
      <c r="I62" s="18" t="s">
        <v>110</v>
      </c>
      <c r="J62" s="18" t="s">
        <v>118</v>
      </c>
      <c r="M62" s="18">
        <f ca="1">_xll.BDP(N62,"PX_LAST")/100</f>
        <v>-0.47125</v>
      </c>
      <c r="N62" s="18" t="s">
        <v>275</v>
      </c>
    </row>
    <row r="63" spans="1:17" x14ac:dyDescent="0.25">
      <c r="C63" s="51">
        <f t="shared" ca="1" si="4"/>
        <v>44272</v>
      </c>
      <c r="D63" s="18">
        <f ca="1">100-_xll.BDH(I63,"PX_LAST",Future_Date,Future_Date)+$M$56</f>
        <v>-0.27000000000000457</v>
      </c>
      <c r="E63" s="51">
        <f t="shared" ca="1" si="5"/>
        <v>46838</v>
      </c>
      <c r="F63" s="18">
        <f ca="1">_xll.BDH(J63,"PX_LAST",Swap_Date,Swap_Date)+M63</f>
        <v>-0.39749999999999996</v>
      </c>
      <c r="I63" s="18" t="s">
        <v>111</v>
      </c>
      <c r="J63" s="18" t="s">
        <v>119</v>
      </c>
      <c r="M63" s="18">
        <f ca="1">_xll.BDP(N63,"PX_LAST")/100</f>
        <v>-0.47749999999999998</v>
      </c>
      <c r="N63" s="18" t="s">
        <v>276</v>
      </c>
    </row>
    <row r="64" spans="1:17" x14ac:dyDescent="0.25">
      <c r="E64" s="51">
        <f t="shared" ca="1" si="5"/>
        <v>47203</v>
      </c>
      <c r="F64" s="18">
        <f ca="1">_xll.BDH(J64,"PX_LAST",Swap_Date,Swap_Date)+M64</f>
        <v>-0.36875000000000002</v>
      </c>
      <c r="J64" s="18" t="s">
        <v>120</v>
      </c>
      <c r="M64" s="18">
        <f ca="1">_xll.BDP(N64,"PX_LAST")/100</f>
        <v>-0.48125000000000001</v>
      </c>
      <c r="N64" s="18" t="s">
        <v>277</v>
      </c>
    </row>
    <row r="65" spans="1:14" x14ac:dyDescent="0.25">
      <c r="E65" s="51">
        <f t="shared" ca="1" si="5"/>
        <v>47568</v>
      </c>
      <c r="F65" s="18">
        <f ca="1">_xll.BDH(J65,"PX_LAST",Swap_Date,Swap_Date)+M65</f>
        <v>-0.32874999999999999</v>
      </c>
      <c r="J65" s="18" t="s">
        <v>121</v>
      </c>
      <c r="M65" s="18">
        <f ca="1">_xll.BDP(N65,"PX_LAST")/100</f>
        <v>-0.47875000000000001</v>
      </c>
      <c r="N65" s="18" t="s">
        <v>278</v>
      </c>
    </row>
    <row r="66" spans="1:14" x14ac:dyDescent="0.25">
      <c r="E66" s="51">
        <f t="shared" ca="1" si="5"/>
        <v>47933</v>
      </c>
      <c r="F66" s="18">
        <f ca="1">_xll.BDH(J66,"PX_LAST",Swap_Date,Swap_Date)+M66</f>
        <v>-0.29061999999999999</v>
      </c>
      <c r="J66" s="18" t="s">
        <v>122</v>
      </c>
      <c r="M66" s="18">
        <f ca="1">_xll.BDP(N66,"PX_LAST")/100</f>
        <v>-0.47625000000000001</v>
      </c>
      <c r="N66" s="18" t="s">
        <v>279</v>
      </c>
    </row>
    <row r="67" spans="1:14" x14ac:dyDescent="0.25">
      <c r="E67" s="51">
        <f t="shared" ca="1" si="5"/>
        <v>48299</v>
      </c>
      <c r="F67" s="18">
        <f ca="1">_xll.BDH(J67,"PX_LAST",Swap_Date,Swap_Date)+M67</f>
        <v>-0.2533333333333333</v>
      </c>
      <c r="J67" s="18" t="s">
        <v>123</v>
      </c>
      <c r="M67" s="56">
        <f ca="1">(M69-M66)/3+M66</f>
        <v>-0.47083333333333333</v>
      </c>
      <c r="N67" s="18" t="s">
        <v>280</v>
      </c>
    </row>
    <row r="68" spans="1:14" x14ac:dyDescent="0.25">
      <c r="E68" s="51">
        <f t="shared" ca="1" si="5"/>
        <v>48664</v>
      </c>
      <c r="F68" s="18">
        <f ca="1">_xll.BDH(J68,"PX_LAST",Swap_Date,Swap_Date)+M68</f>
        <v>-0.21166666666666673</v>
      </c>
      <c r="J68" s="18" t="s">
        <v>124</v>
      </c>
      <c r="M68" s="56">
        <f ca="1">(M69-M66)/3*2+M66</f>
        <v>-0.4654166666666667</v>
      </c>
      <c r="N68" s="18" t="s">
        <v>281</v>
      </c>
    </row>
    <row r="69" spans="1:14" x14ac:dyDescent="0.25">
      <c r="E69" s="51">
        <f t="shared" ca="1" si="5"/>
        <v>49029</v>
      </c>
      <c r="F69" s="18">
        <f ca="1">_xll.BDH(J69,"PX_LAST",Swap_Date,Swap_Date)+M69</f>
        <v>-0.16875000000000001</v>
      </c>
      <c r="J69" s="18" t="s">
        <v>125</v>
      </c>
      <c r="M69" s="18">
        <f ca="1">_xll.BDP(N69,"PX_LAST")/100</f>
        <v>-0.46</v>
      </c>
      <c r="N69" s="18" t="s">
        <v>282</v>
      </c>
    </row>
    <row r="70" spans="1:14" x14ac:dyDescent="0.25">
      <c r="E70" s="51">
        <f t="shared" ca="1" si="5"/>
        <v>49394</v>
      </c>
      <c r="F70" s="18">
        <f ca="1">_xll.BDH(J70,"PX_LAST",Swap_Date,Swap_Date)+M70</f>
        <v>-0.13525000000000004</v>
      </c>
      <c r="J70" s="18" t="s">
        <v>126</v>
      </c>
      <c r="M70" s="56">
        <f ca="1">(M72-M69)/5+M69</f>
        <v>-0.45275000000000004</v>
      </c>
      <c r="N70" s="18" t="s">
        <v>283</v>
      </c>
    </row>
    <row r="71" spans="1:14" x14ac:dyDescent="0.25">
      <c r="E71" s="51">
        <f t="shared" ca="1" si="5"/>
        <v>49760</v>
      </c>
      <c r="F71" s="18">
        <f ca="1">_xll.BDH(J71,"PX_LAST",Swap_Date,Swap_Date)+M71</f>
        <v>-9.9250000000000005E-2</v>
      </c>
      <c r="J71" s="18" t="s">
        <v>127</v>
      </c>
      <c r="M71" s="56">
        <f ca="1">(M72-M69)/5*2+M69</f>
        <v>-0.44550000000000001</v>
      </c>
      <c r="N71" s="18" t="s">
        <v>284</v>
      </c>
    </row>
    <row r="72" spans="1:14" x14ac:dyDescent="0.25">
      <c r="E72" s="51">
        <f ca="1">EDATE(E71,36)</f>
        <v>50855</v>
      </c>
      <c r="F72" s="18">
        <f ca="1">_xll.BDH(J72,"PX_LAST",Swap_Date,Swap_Date)+M72</f>
        <v>1.4999999999999958E-2</v>
      </c>
      <c r="J72" s="18" t="s">
        <v>128</v>
      </c>
      <c r="M72" s="18">
        <f ca="1">_xll.BDP(N72,"PX_LAST")/100</f>
        <v>-0.42375000000000002</v>
      </c>
      <c r="N72" s="18" t="s">
        <v>285</v>
      </c>
    </row>
    <row r="73" spans="1:14" x14ac:dyDescent="0.25">
      <c r="E73" s="51">
        <f ca="1">EDATE(E72,60)</f>
        <v>52682</v>
      </c>
      <c r="F73" s="18">
        <f ca="1">_xll.BDH(J73,"PX_LAST",Swap_Date,Swap_Date)+M73</f>
        <v>0.12562000000000001</v>
      </c>
      <c r="J73" s="18" t="s">
        <v>129</v>
      </c>
      <c r="M73" s="18">
        <f ca="1">_xll.BDP(N73,"PX_LAST")/100</f>
        <v>-0.39750000000000002</v>
      </c>
      <c r="N73" s="18" t="s">
        <v>286</v>
      </c>
    </row>
    <row r="74" spans="1:14" x14ac:dyDescent="0.25">
      <c r="E74" s="51">
        <f ca="1">EDATE(E73,60)</f>
        <v>54508</v>
      </c>
      <c r="F74" s="18">
        <f ca="1">_xll.BDH(J74,"PX_LAST",Swap_Date,Swap_Date)+M74</f>
        <v>0.20874999999999999</v>
      </c>
      <c r="J74" s="18" t="s">
        <v>130</v>
      </c>
      <c r="M74" s="18">
        <f ca="1">_xll.BDP(N74,"PX_LAST")/100</f>
        <v>-0.37</v>
      </c>
      <c r="N74" s="18" t="s">
        <v>287</v>
      </c>
    </row>
    <row r="75" spans="1:14" x14ac:dyDescent="0.25">
      <c r="E75" s="51">
        <f ca="1">EDATE(E74,120)</f>
        <v>58160</v>
      </c>
      <c r="F75" s="18">
        <f ca="1">_xll.BDH(J75,"PX_LAST",Swap_Date,Swap_Date)+M75</f>
        <v>0.30000000000000004</v>
      </c>
      <c r="J75" s="18" t="s">
        <v>131</v>
      </c>
      <c r="M75" s="18">
        <f ca="1">_xll.BDP(N75,"PX_LAST")/100</f>
        <v>-0.32250000000000001</v>
      </c>
      <c r="N75" s="18" t="s">
        <v>288</v>
      </c>
    </row>
    <row r="76" spans="1:14" x14ac:dyDescent="0.25">
      <c r="E76" s="51">
        <f ca="1">EDATE(E75,12)</f>
        <v>58526</v>
      </c>
      <c r="F76" s="18">
        <f ca="1">F75</f>
        <v>0.30000000000000004</v>
      </c>
    </row>
    <row r="79" spans="1:14" x14ac:dyDescent="0.25">
      <c r="A79" s="18" t="s">
        <v>14</v>
      </c>
      <c r="B79" s="18">
        <v>7</v>
      </c>
      <c r="D79" s="18">
        <v>7</v>
      </c>
      <c r="F79" s="18">
        <v>100</v>
      </c>
    </row>
    <row r="80" spans="1:14" x14ac:dyDescent="0.25">
      <c r="A80" s="18" t="s">
        <v>29</v>
      </c>
      <c r="B80" s="18" t="s">
        <v>30</v>
      </c>
      <c r="C80" s="18" t="s">
        <v>31</v>
      </c>
      <c r="D80" s="18" t="s">
        <v>32</v>
      </c>
      <c r="E80" s="18" t="s">
        <v>33</v>
      </c>
      <c r="F80" s="18" t="s">
        <v>34</v>
      </c>
      <c r="M80" s="55" t="s">
        <v>248</v>
      </c>
      <c r="N80" s="55" t="s">
        <v>35</v>
      </c>
    </row>
    <row r="81" spans="1:17" x14ac:dyDescent="0.25">
      <c r="A81" s="51">
        <f ca="1">WORKDAY(Swap_Date,1)</f>
        <v>43551</v>
      </c>
      <c r="B81" s="18">
        <f ca="1">_xll.BDH(H81,"PX_LAST",Cash_Date,Cash_Date)+$P$81</f>
        <v>0.70012999999999992</v>
      </c>
      <c r="C81" s="51">
        <f ca="1">nextimm(Swap_Date)</f>
        <v>43635</v>
      </c>
      <c r="D81" s="18">
        <f ca="1">100-IF(ISNUMBER(_xll.BDH(I81,"PX_LAST",Future_Date,Future_Date)),_xll.BDH(I81,"PX_LAST",Future_Date,Future_Date)+$P$81,100-B84)</f>
        <v>0.85875000000000057</v>
      </c>
      <c r="E81" s="51">
        <f ca="1">EDATE(Swap_Date,24)</f>
        <v>44281</v>
      </c>
      <c r="F81" s="18">
        <f ca="1">_xll.BDH(J81,"PX_LAST",Swap_Date,Swap_Date)+M81</f>
        <v>1.0051099999999999</v>
      </c>
      <c r="H81" s="18" t="s">
        <v>135</v>
      </c>
      <c r="I81" s="18" t="s">
        <v>141</v>
      </c>
      <c r="J81" s="18" t="s">
        <v>149</v>
      </c>
      <c r="M81" s="18">
        <f ca="1">_xll.BDP(N81,"PX_LAST")/100</f>
        <v>4.4999999999999998E-2</v>
      </c>
      <c r="N81" s="18" t="s">
        <v>308</v>
      </c>
      <c r="P81" s="18">
        <f ca="1">_xll.BDP(Q81,"PX_LAST")/100</f>
        <v>2.2499999999999999E-2</v>
      </c>
      <c r="Q81" s="18" t="s">
        <v>366</v>
      </c>
    </row>
    <row r="82" spans="1:17" x14ac:dyDescent="0.25">
      <c r="A82" s="51">
        <f ca="1">EDATE(Swap_Date,1)</f>
        <v>43581</v>
      </c>
      <c r="B82" s="18">
        <f ca="1">_xll.BDH(H82,"PX_LAST",Cash_Date,Cash_Date)+$P$81</f>
        <v>0.75362999999999991</v>
      </c>
      <c r="C82" s="51">
        <f ca="1">nextimm(C81+1)</f>
        <v>43726</v>
      </c>
      <c r="D82" s="18" t="e">
        <f ca="1">IFERROR($P$81+100-_xll.BDH(I82,"PX_LAST",Future_Date,Future_Date),0.5*(D81+D83))</f>
        <v>#VALUE!</v>
      </c>
      <c r="E82" s="51">
        <f ca="1">EDATE(E81,12)</f>
        <v>44646</v>
      </c>
      <c r="F82" s="18">
        <f ca="1">_xll.BDH(J82,"PX_LAST",Swap_Date,Swap_Date)+M82</f>
        <v>1.0489999999999999</v>
      </c>
      <c r="H82" s="18" t="s">
        <v>136</v>
      </c>
      <c r="I82" s="18" t="s">
        <v>142</v>
      </c>
      <c r="J82" s="18" t="s">
        <v>150</v>
      </c>
      <c r="M82" s="56">
        <f ca="1">(M81+M83)/2</f>
        <v>5.5E-2</v>
      </c>
      <c r="N82" s="18" t="s">
        <v>289</v>
      </c>
    </row>
    <row r="83" spans="1:17" x14ac:dyDescent="0.25">
      <c r="A83" s="51">
        <f ca="1">EDATE(Swap_Date,2)</f>
        <v>43611</v>
      </c>
      <c r="B83" s="18">
        <f ca="1">_xll.BDH(H83,"PX_LAST",Cash_Date,Cash_Date)+$P$81</f>
        <v>0.79937999999999998</v>
      </c>
      <c r="C83" s="51">
        <f t="shared" ref="C83:C88" ca="1" si="6">nextimm(C82+1)</f>
        <v>43817</v>
      </c>
      <c r="D83" s="18" t="e">
        <f ca="1">$P$81+100-_xll.BDH(I83,"PX_LAST",Future_Date,Future_Date)</f>
        <v>#VALUE!</v>
      </c>
      <c r="E83" s="51">
        <f t="shared" ref="E83:E96" ca="1" si="7">EDATE(E82,12)</f>
        <v>45011</v>
      </c>
      <c r="F83" s="18">
        <f ca="1">_xll.BDH(J83,"PX_LAST",Swap_Date,Swap_Date)+M83</f>
        <v>1.0947499999999999</v>
      </c>
      <c r="H83" s="18" t="s">
        <v>137</v>
      </c>
      <c r="I83" s="18" t="s">
        <v>143</v>
      </c>
      <c r="J83" s="18" t="s">
        <v>151</v>
      </c>
      <c r="M83" s="18">
        <f ca="1">_xll.BDP(N83,"PX_LAST")/100</f>
        <v>6.5000000000000002E-2</v>
      </c>
      <c r="N83" s="18" t="s">
        <v>290</v>
      </c>
    </row>
    <row r="84" spans="1:17" x14ac:dyDescent="0.25">
      <c r="A84" s="51">
        <f ca="1">EDATE(Swap_Date,3)</f>
        <v>43642</v>
      </c>
      <c r="B84" s="18">
        <f ca="1">_xll.BDH(H84,"PX_LAST",Cash_Date,Cash_Date)+$P$81</f>
        <v>0.85875000000000001</v>
      </c>
      <c r="C84" s="51">
        <f t="shared" ca="1" si="6"/>
        <v>43908</v>
      </c>
      <c r="D84" s="18">
        <f ca="1">$P$81+100-_xll.BDH(I84,"PX_LAST",Future_Date,Future_Date)</f>
        <v>0.87249999999998806</v>
      </c>
      <c r="E84" s="51">
        <f t="shared" ca="1" si="7"/>
        <v>45377</v>
      </c>
      <c r="F84" s="18">
        <f ca="1">_xll.BDH(J84,"PX_LAST",Swap_Date,Swap_Date)+M84</f>
        <v>1.1349</v>
      </c>
      <c r="H84" s="18" t="s">
        <v>138</v>
      </c>
      <c r="I84" s="18" t="s">
        <v>144</v>
      </c>
      <c r="J84" s="18" t="s">
        <v>152</v>
      </c>
      <c r="M84" s="18">
        <f ca="1">_xll.BDP(N84,"PX_LAST")/100</f>
        <v>7.3749999999999996E-2</v>
      </c>
      <c r="N84" s="18" t="s">
        <v>291</v>
      </c>
    </row>
    <row r="85" spans="1:17" x14ac:dyDescent="0.25">
      <c r="A85" s="51">
        <f ca="1">EDATE(Swap_Date,6)</f>
        <v>43734</v>
      </c>
      <c r="B85" s="18">
        <f ca="1">_xll.BDH(H85,"PX_LAST",Cash_Date,Cash_Date)+$P$81</f>
        <v>0.97087999999999997</v>
      </c>
      <c r="C85" s="51">
        <f t="shared" ca="1" si="6"/>
        <v>43999</v>
      </c>
      <c r="D85" s="18">
        <f ca="1">$P$81+100-_xll.BDH(I85,"PX_LAST",Future_Date,Future_Date)</f>
        <v>0.85749999999998749</v>
      </c>
      <c r="E85" s="51">
        <f t="shared" ca="1" si="7"/>
        <v>45742</v>
      </c>
      <c r="F85" s="18">
        <f ca="1">_xll.BDH(J85,"PX_LAST",Swap_Date,Swap_Date)+M85</f>
        <v>1.1730400000000001</v>
      </c>
      <c r="H85" s="18" t="s">
        <v>139</v>
      </c>
      <c r="I85" s="18" t="s">
        <v>145</v>
      </c>
      <c r="J85" s="18" t="s">
        <v>153</v>
      </c>
      <c r="M85" s="18">
        <f ca="1">_xll.BDP(N85,"PX_LAST")/100</f>
        <v>8.2500000000000004E-2</v>
      </c>
      <c r="N85" s="18" t="s">
        <v>292</v>
      </c>
    </row>
    <row r="86" spans="1:17" x14ac:dyDescent="0.25">
      <c r="A86" s="51">
        <f ca="1">EDATE(Swap_Date,12)</f>
        <v>43916</v>
      </c>
      <c r="B86" s="18">
        <f ca="1">_xll.BDH(H86,"PX_LAST",Cash_Date,Cash_Date)+$P$81</f>
        <v>1.0836299999999999</v>
      </c>
      <c r="C86" s="51">
        <f t="shared" ca="1" si="6"/>
        <v>44090</v>
      </c>
      <c r="D86" s="18">
        <f ca="1">$P$81+100-_xll.BDH(I86,"PX_LAST",Future_Date,Future_Date)</f>
        <v>0.87749999999999773</v>
      </c>
      <c r="E86" s="51">
        <f t="shared" ca="1" si="7"/>
        <v>46107</v>
      </c>
      <c r="F86" s="18">
        <f ca="1">_xll.BDH(J86,"PX_LAST",Swap_Date,Swap_Date)+M86</f>
        <v>1.21088</v>
      </c>
      <c r="H86" s="18" t="s">
        <v>140</v>
      </c>
      <c r="I86" s="18" t="s">
        <v>146</v>
      </c>
      <c r="J86" s="18" t="s">
        <v>154</v>
      </c>
      <c r="M86" s="18">
        <f ca="1">_xll.BDP(N86,"PX_LAST")/100</f>
        <v>9.1249999999999998E-2</v>
      </c>
      <c r="N86" s="18" t="s">
        <v>293</v>
      </c>
    </row>
    <row r="87" spans="1:17" x14ac:dyDescent="0.25">
      <c r="A87" s="53">
        <f ca="1">EDATE(A86,10)</f>
        <v>44222</v>
      </c>
      <c r="B87" s="18">
        <f ca="1">B86</f>
        <v>1.0836299999999999</v>
      </c>
      <c r="C87" s="51">
        <f t="shared" ca="1" si="6"/>
        <v>44181</v>
      </c>
      <c r="D87" s="18">
        <f ca="1">$P$81+100-_xll.BDH(I87,"PX_LAST",Future_Date,Future_Date)</f>
        <v>0.87749999999999773</v>
      </c>
      <c r="E87" s="51">
        <f t="shared" ca="1" si="7"/>
        <v>46472</v>
      </c>
      <c r="F87" s="18">
        <f ca="1">_xll.BDH(J87,"PX_LAST",Swap_Date,Swap_Date)+M87</f>
        <v>1.2470000000000001</v>
      </c>
      <c r="I87" s="18" t="s">
        <v>147</v>
      </c>
      <c r="J87" s="18" t="s">
        <v>155</v>
      </c>
      <c r="M87" s="18">
        <f ca="1">_xll.BDP(N87,"PX_LAST")/100</f>
        <v>0.1</v>
      </c>
      <c r="N87" s="18" t="s">
        <v>294</v>
      </c>
    </row>
    <row r="88" spans="1:17" x14ac:dyDescent="0.25">
      <c r="C88" s="51">
        <f t="shared" ca="1" si="6"/>
        <v>44272</v>
      </c>
      <c r="D88" s="18">
        <f ca="1">$P$81+100-_xll.BDH(I88,"PX_LAST",Future_Date,Future_Date)</f>
        <v>0.89749999999999375</v>
      </c>
      <c r="E88" s="51">
        <f t="shared" ca="1" si="7"/>
        <v>46838</v>
      </c>
      <c r="F88" s="18">
        <f ca="1">_xll.BDH(J88,"PX_LAST",Swap_Date,Swap_Date)+M88</f>
        <v>1.2845500000000001</v>
      </c>
      <c r="I88" s="18" t="s">
        <v>148</v>
      </c>
      <c r="J88" s="18" t="s">
        <v>156</v>
      </c>
      <c r="M88" s="18">
        <f ca="1">_xll.BDP(N88,"PX_LAST")/100</f>
        <v>0.11</v>
      </c>
      <c r="N88" s="18" t="s">
        <v>295</v>
      </c>
    </row>
    <row r="89" spans="1:17" x14ac:dyDescent="0.25">
      <c r="E89" s="51">
        <f t="shared" ca="1" si="7"/>
        <v>47203</v>
      </c>
      <c r="F89" s="18">
        <f ca="1">_xll.BDH(J89,"PX_LAST",Swap_Date,Swap_Date)+M89</f>
        <v>1.32053</v>
      </c>
      <c r="J89" s="18" t="s">
        <v>28</v>
      </c>
      <c r="M89" s="18">
        <f ca="1">_xll.BDP(N89,"PX_LAST")/100</f>
        <v>0.11874999999999999</v>
      </c>
      <c r="N89" s="18" t="s">
        <v>296</v>
      </c>
    </row>
    <row r="90" spans="1:17" x14ac:dyDescent="0.25">
      <c r="E90" s="51">
        <f t="shared" ca="1" si="7"/>
        <v>47568</v>
      </c>
      <c r="F90" s="18">
        <f ca="1">_xll.BDH(J90,"PX_LAST",Swap_Date,Swap_Date)+M90</f>
        <v>1.3501700000000001</v>
      </c>
      <c r="J90" s="18" t="s">
        <v>157</v>
      </c>
      <c r="M90" s="18">
        <f ca="1">_xll.BDP(N90,"PX_LAST")/100</f>
        <v>0.12375</v>
      </c>
      <c r="N90" s="18" t="s">
        <v>297</v>
      </c>
    </row>
    <row r="91" spans="1:17" x14ac:dyDescent="0.25">
      <c r="E91" s="51">
        <f t="shared" ca="1" si="7"/>
        <v>47933</v>
      </c>
      <c r="F91" s="18">
        <f ca="1">_xll.BDH(J91,"PX_LAST",Swap_Date,Swap_Date)+M91</f>
        <v>1.3714999999999999</v>
      </c>
      <c r="J91" s="18" t="s">
        <v>158</v>
      </c>
      <c r="M91" s="18">
        <f ca="1">_xll.BDP(N91,"PX_LAST")/100</f>
        <v>0.125</v>
      </c>
      <c r="N91" s="18" t="s">
        <v>298</v>
      </c>
    </row>
    <row r="92" spans="1:17" x14ac:dyDescent="0.25">
      <c r="E92" s="51">
        <f t="shared" ca="1" si="7"/>
        <v>48299</v>
      </c>
      <c r="F92" s="18">
        <f ca="1">_xll.BDH(J92,"PX_LAST",Swap_Date,Swap_Date)+M92</f>
        <v>1.3847333333333334</v>
      </c>
      <c r="J92" s="18" t="s">
        <v>159</v>
      </c>
      <c r="M92" s="56">
        <f ca="1">(M94-M91)/3+M91</f>
        <v>0.12083333333333333</v>
      </c>
      <c r="N92" s="18" t="s">
        <v>299</v>
      </c>
    </row>
    <row r="93" spans="1:17" x14ac:dyDescent="0.25">
      <c r="E93" s="51">
        <f t="shared" ca="1" si="7"/>
        <v>48664</v>
      </c>
      <c r="F93" s="18">
        <f ca="1">_xll.BDH(J93,"PX_LAST",Swap_Date,Swap_Date)+M93</f>
        <v>1.3961666666666668</v>
      </c>
      <c r="J93" s="18" t="s">
        <v>160</v>
      </c>
      <c r="M93" s="56">
        <f ca="1">(M94-M91)/3*2+M91</f>
        <v>0.11666666666666667</v>
      </c>
      <c r="N93" s="18" t="s">
        <v>300</v>
      </c>
    </row>
    <row r="94" spans="1:17" x14ac:dyDescent="0.25">
      <c r="E94" s="51">
        <f t="shared" ca="1" si="7"/>
        <v>49029</v>
      </c>
      <c r="F94" s="18">
        <f ca="1">_xll.BDH(J94,"PX_LAST",Swap_Date,Swap_Date)+M94</f>
        <v>1.4043000000000001</v>
      </c>
      <c r="J94" s="18" t="s">
        <v>161</v>
      </c>
      <c r="M94" s="18">
        <f ca="1">_xll.BDP(N94,"PX_LAST")/100</f>
        <v>0.1125</v>
      </c>
      <c r="N94" s="18" t="s">
        <v>301</v>
      </c>
    </row>
    <row r="95" spans="1:17" x14ac:dyDescent="0.25">
      <c r="E95" s="51">
        <f t="shared" ca="1" si="7"/>
        <v>49394</v>
      </c>
      <c r="F95" s="18">
        <f ca="1">_xll.BDH(J95,"PX_LAST",Swap_Date,Swap_Date)+M95</f>
        <v>1.4106500000000002</v>
      </c>
      <c r="J95" s="18" t="s">
        <v>162</v>
      </c>
      <c r="M95" s="56">
        <f ca="1">(M97-M94)/5+M94</f>
        <v>0.10925</v>
      </c>
      <c r="N95" s="18" t="s">
        <v>302</v>
      </c>
    </row>
    <row r="96" spans="1:17" x14ac:dyDescent="0.25">
      <c r="E96" s="51">
        <f t="shared" ca="1" si="7"/>
        <v>49760</v>
      </c>
      <c r="F96" s="18">
        <f ca="1">_xll.BDH(J96,"PX_LAST",Swap_Date,Swap_Date)+M96</f>
        <v>1.417</v>
      </c>
      <c r="J96" s="18" t="s">
        <v>163</v>
      </c>
      <c r="M96" s="56">
        <f ca="1">(M97-M94)/5*2+M94</f>
        <v>0.106</v>
      </c>
      <c r="N96" s="18" t="s">
        <v>303</v>
      </c>
    </row>
    <row r="97" spans="1:17" x14ac:dyDescent="0.25">
      <c r="E97" s="51">
        <f ca="1">EDATE(E96,36)</f>
        <v>50855</v>
      </c>
      <c r="F97" s="18">
        <f ca="1">_xll.BDH(J97,"PX_LAST",Swap_Date,Swap_Date)+M97</f>
        <v>1.42455</v>
      </c>
      <c r="J97" s="18" t="s">
        <v>164</v>
      </c>
      <c r="M97" s="18">
        <f ca="1">_xll.BDP(N97,"PX_LAST")/100</f>
        <v>9.6250000000000002E-2</v>
      </c>
      <c r="N97" s="18" t="s">
        <v>304</v>
      </c>
    </row>
    <row r="98" spans="1:17" x14ac:dyDescent="0.25">
      <c r="E98" s="51">
        <f ca="1">EDATE(E97,60)</f>
        <v>52682</v>
      </c>
      <c r="F98" s="18">
        <f ca="1">_xll.BDH(J98,"PX_LAST",Swap_Date,Swap_Date)+M98</f>
        <v>1.41625</v>
      </c>
      <c r="J98" s="18" t="s">
        <v>165</v>
      </c>
      <c r="M98" s="18">
        <f ca="1">_xll.BDP(N98,"PX_LAST")/100</f>
        <v>8.6249999999999993E-2</v>
      </c>
      <c r="N98" s="18" t="s">
        <v>305</v>
      </c>
    </row>
    <row r="99" spans="1:17" x14ac:dyDescent="0.25">
      <c r="E99" s="51">
        <f ca="1">EDATE(E98,60)</f>
        <v>54508</v>
      </c>
      <c r="F99" s="18">
        <f ca="1">_xll.BDH(J99,"PX_LAST",Swap_Date,Swap_Date)+M99</f>
        <v>1.4275833333333332</v>
      </c>
      <c r="J99" s="18" t="s">
        <v>166</v>
      </c>
      <c r="M99" s="56">
        <f ca="1">(M100-M98)/3+M98</f>
        <v>0.10458333333333332</v>
      </c>
      <c r="N99" s="18" t="s">
        <v>306</v>
      </c>
    </row>
    <row r="100" spans="1:17" x14ac:dyDescent="0.25">
      <c r="E100" s="51">
        <f ca="1">EDATE(E99,120)</f>
        <v>58160</v>
      </c>
      <c r="F100" s="18">
        <f ca="1">_xll.BDH(J100,"PX_LAST",Swap_Date,Swap_Date)+M100</f>
        <v>1.4352499999999999</v>
      </c>
      <c r="J100" s="18" t="s">
        <v>167</v>
      </c>
      <c r="M100" s="18">
        <f ca="1">_xll.BDP(N100,"PX_LAST")/100</f>
        <v>0.14124999999999999</v>
      </c>
      <c r="N100" s="18" t="s">
        <v>307</v>
      </c>
    </row>
    <row r="101" spans="1:17" x14ac:dyDescent="0.25">
      <c r="E101" s="51">
        <f ca="1">EDATE(E100,12)</f>
        <v>58526</v>
      </c>
      <c r="F101" s="18">
        <f ca="1">F100</f>
        <v>1.4352499999999999</v>
      </c>
    </row>
    <row r="104" spans="1:17" x14ac:dyDescent="0.25">
      <c r="A104" s="18" t="s">
        <v>247</v>
      </c>
      <c r="B104" s="18">
        <v>7</v>
      </c>
      <c r="D104" s="18">
        <v>7</v>
      </c>
      <c r="F104" s="18">
        <v>100</v>
      </c>
    </row>
    <row r="105" spans="1:17" x14ac:dyDescent="0.25">
      <c r="A105" s="18" t="s">
        <v>29</v>
      </c>
      <c r="B105" s="18" t="s">
        <v>30</v>
      </c>
      <c r="C105" s="18" t="s">
        <v>31</v>
      </c>
      <c r="D105" s="18" t="s">
        <v>32</v>
      </c>
      <c r="E105" s="18" t="s">
        <v>33</v>
      </c>
      <c r="F105" s="18" t="s">
        <v>34</v>
      </c>
      <c r="M105" s="55" t="s">
        <v>248</v>
      </c>
      <c r="N105" s="55" t="s">
        <v>35</v>
      </c>
    </row>
    <row r="106" spans="1:17" x14ac:dyDescent="0.25">
      <c r="A106" s="51">
        <f ca="1">WORKDAY(Swap_Date,1)</f>
        <v>43551</v>
      </c>
      <c r="B106" s="18">
        <f ca="1">_xll.BDH(H106,"PX_LAST",Cash_Date,Cash_Date)+$P$106</f>
        <v>-0.87580000000000002</v>
      </c>
      <c r="C106" s="51">
        <f ca="1">nextimm(Swap_Date)</f>
        <v>43635</v>
      </c>
      <c r="D106" s="18">
        <f ca="1">100-IF(ISNUMBER(_xll.BDH(I106,"PX_LAST",Future_Date,Future_Date)),_xll.BDH(I106,"PX_LAST",Future_Date,Future_Date)+$P$106,100-B109)</f>
        <v>-0.79319999999999879</v>
      </c>
      <c r="E106" s="51">
        <f ca="1">EDATE(Swap_Date,24)</f>
        <v>44281</v>
      </c>
      <c r="F106" s="18">
        <f ca="1">_xll.BDH(J106,"PX_LAST",Swap_Date,Swap_Date)+M106</f>
        <v>-0.71549999999999991</v>
      </c>
      <c r="H106" s="18" t="s">
        <v>168</v>
      </c>
      <c r="I106" s="18" t="s">
        <v>174</v>
      </c>
      <c r="J106" s="18" t="s">
        <v>182</v>
      </c>
      <c r="M106" s="18">
        <f ca="1">_xll.BDP(N106,"PX_LAST")/100</f>
        <v>-8.5000000000000006E-2</v>
      </c>
      <c r="N106" s="18" t="s">
        <v>309</v>
      </c>
      <c r="P106" s="18">
        <f ca="1">_xll.BDP(Q106,"PX_LAST")/100</f>
        <v>-0.09</v>
      </c>
      <c r="Q106" s="18" t="s">
        <v>364</v>
      </c>
    </row>
    <row r="107" spans="1:17" x14ac:dyDescent="0.25">
      <c r="A107" s="51">
        <f ca="1">EDATE(Swap_Date,1)</f>
        <v>43581</v>
      </c>
      <c r="B107" s="18">
        <f ca="1">_xll.BDH(H107,"PX_LAST",Cash_Date,Cash_Date)+$P$106</f>
        <v>-0.87380000000000002</v>
      </c>
      <c r="C107" s="51">
        <f ca="1">nextimm(C106+1)</f>
        <v>43726</v>
      </c>
      <c r="D107" s="18" t="e">
        <f ca="1">IFERROR($P$106+100-_xll.BDH(I107,"PX_LAST",Future_Date,Future_Date),0.5*(D106+D108))</f>
        <v>#VALUE!</v>
      </c>
      <c r="E107" s="51">
        <f ca="1">EDATE(E106,12)</f>
        <v>44646</v>
      </c>
      <c r="F107" s="18">
        <f ca="1">_xll.BDH(J107,"PX_LAST",Swap_Date,Swap_Date)+M107</f>
        <v>-0.6632499999999999</v>
      </c>
      <c r="H107" s="18" t="s">
        <v>169</v>
      </c>
      <c r="I107" s="18" t="s">
        <v>175</v>
      </c>
      <c r="J107" s="18" t="s">
        <v>183</v>
      </c>
      <c r="M107" s="56">
        <f ca="1">(M106+M108)/2</f>
        <v>-9.6250000000000002E-2</v>
      </c>
      <c r="N107" s="18" t="s">
        <v>310</v>
      </c>
    </row>
    <row r="108" spans="1:17" x14ac:dyDescent="0.25">
      <c r="A108" s="51">
        <f ca="1">EDATE(Swap_Date,2)</f>
        <v>43611</v>
      </c>
      <c r="B108" s="18">
        <f ca="1">_xll.BDH(H108,"PX_LAST",Cash_Date,Cash_Date)+$P$106</f>
        <v>-0.81579999999999997</v>
      </c>
      <c r="C108" s="51">
        <f t="shared" ref="C108:C113" ca="1" si="8">nextimm(C107+1)</f>
        <v>43817</v>
      </c>
      <c r="D108" s="18" t="e">
        <f ca="1">$P$106+100-_xll.BDH(I108,"PX_LAST",Future_Date,Future_Date)</f>
        <v>#VALUE!</v>
      </c>
      <c r="E108" s="51">
        <f t="shared" ref="E108:E119" ca="1" si="9">EDATE(E107,12)</f>
        <v>45011</v>
      </c>
      <c r="F108" s="18">
        <f ca="1">_xll.BDH(J108,"PX_LAST",Swap_Date,Swap_Date)+M108</f>
        <v>-0.59660000000000002</v>
      </c>
      <c r="H108" s="18" t="s">
        <v>170</v>
      </c>
      <c r="I108" s="18" t="s">
        <v>176</v>
      </c>
      <c r="J108" s="18" t="s">
        <v>184</v>
      </c>
      <c r="M108" s="18">
        <f ca="1">_xll.BDP(N108,"PX_LAST")/100</f>
        <v>-0.1075</v>
      </c>
      <c r="N108" s="18" t="s">
        <v>311</v>
      </c>
    </row>
    <row r="109" spans="1:17" x14ac:dyDescent="0.25">
      <c r="A109" s="51">
        <f ca="1">EDATE(Swap_Date,3)</f>
        <v>43642</v>
      </c>
      <c r="B109" s="18">
        <f ca="1">_xll.BDH(H109,"PX_LAST",Cash_Date,Cash_Date)+$P$106</f>
        <v>-0.79320000000000002</v>
      </c>
      <c r="C109" s="51">
        <f t="shared" ca="1" si="8"/>
        <v>43908</v>
      </c>
      <c r="D109" s="18">
        <f ca="1">$P$106+100-_xll.BDH(I109,"PX_LAST",Future_Date,Future_Date)</f>
        <v>-0.79999999999999716</v>
      </c>
      <c r="E109" s="51">
        <f t="shared" ca="1" si="9"/>
        <v>45377</v>
      </c>
      <c r="F109" s="18">
        <f ca="1">_xll.BDH(J109,"PX_LAST",Swap_Date,Swap_Date)+M109</f>
        <v>-0.51275000000000004</v>
      </c>
      <c r="H109" s="18" t="s">
        <v>171</v>
      </c>
      <c r="I109" s="18" t="s">
        <v>177</v>
      </c>
      <c r="J109" s="18" t="s">
        <v>185</v>
      </c>
      <c r="M109" s="18">
        <f ca="1">_xll.BDP(N109,"PX_LAST")/100</f>
        <v>-0.10875</v>
      </c>
      <c r="N109" s="18" t="s">
        <v>312</v>
      </c>
    </row>
    <row r="110" spans="1:17" x14ac:dyDescent="0.25">
      <c r="A110" s="51">
        <f ca="1">EDATE(Swap_Date,6)</f>
        <v>43734</v>
      </c>
      <c r="B110" s="18">
        <f ca="1">_xll.BDH(H110,"PX_LAST",Cash_Date,Cash_Date)+$P$106</f>
        <v>-0.72939999999999994</v>
      </c>
      <c r="C110" s="51">
        <f t="shared" ca="1" si="8"/>
        <v>43999</v>
      </c>
      <c r="D110" s="18">
        <f ca="1">$P$106+100-_xll.BDH(I110,"PX_LAST",Future_Date,Future_Date)</f>
        <v>-0.82000000000000739</v>
      </c>
      <c r="E110" s="51">
        <f t="shared" ca="1" si="9"/>
        <v>45742</v>
      </c>
      <c r="F110" s="18">
        <f ca="1">_xll.BDH(J110,"PX_LAST",Swap_Date,Swap_Date)+M110</f>
        <v>-0.44750000000000001</v>
      </c>
      <c r="H110" s="18" t="s">
        <v>172</v>
      </c>
      <c r="I110" s="18" t="s">
        <v>178</v>
      </c>
      <c r="J110" s="18" t="s">
        <v>186</v>
      </c>
      <c r="M110" s="18">
        <f ca="1">_xll.BDP(N110,"PX_LAST")/100</f>
        <v>-0.13</v>
      </c>
      <c r="N110" s="18" t="s">
        <v>313</v>
      </c>
    </row>
    <row r="111" spans="1:17" x14ac:dyDescent="0.25">
      <c r="A111" s="51">
        <f ca="1">EDATE(Swap_Date,12)</f>
        <v>43916</v>
      </c>
      <c r="B111" s="18">
        <f ca="1">_xll.BDH(H111,"PX_LAST",Cash_Date,Cash_Date)+$P$106</f>
        <v>-0.59599999999999997</v>
      </c>
      <c r="C111" s="51">
        <f t="shared" ca="1" si="8"/>
        <v>44090</v>
      </c>
      <c r="D111" s="18">
        <f ca="1">$P$106+100-_xll.BDH(I111,"PX_LAST",Future_Date,Future_Date)</f>
        <v>-0.81000000000000227</v>
      </c>
      <c r="E111" s="51">
        <f t="shared" ca="1" si="9"/>
        <v>46107</v>
      </c>
      <c r="F111" s="18">
        <f ca="1">_xll.BDH(J111,"PX_LAST",Swap_Date,Swap_Date)+M111</f>
        <v>-0.38075000000000003</v>
      </c>
      <c r="H111" s="18" t="s">
        <v>173</v>
      </c>
      <c r="I111" s="18" t="s">
        <v>179</v>
      </c>
      <c r="J111" s="18" t="s">
        <v>187</v>
      </c>
      <c r="M111" s="18">
        <f ca="1">_xll.BDP(N111,"PX_LAST")/100</f>
        <v>-0.15375</v>
      </c>
      <c r="N111" s="18" t="s">
        <v>314</v>
      </c>
    </row>
    <row r="112" spans="1:17" x14ac:dyDescent="0.25">
      <c r="A112" s="53">
        <f ca="1">EDATE(A111,10)</f>
        <v>44222</v>
      </c>
      <c r="B112" s="54">
        <f ca="1">B111</f>
        <v>-0.59599999999999997</v>
      </c>
      <c r="C112" s="51">
        <f t="shared" ca="1" si="8"/>
        <v>44181</v>
      </c>
      <c r="D112" s="18">
        <f ca="1">$P$106+100-_xll.BDH(I112,"PX_LAST",Future_Date,Future_Date)</f>
        <v>-0.79999999999999716</v>
      </c>
      <c r="E112" s="51">
        <f t="shared" ca="1" si="9"/>
        <v>46472</v>
      </c>
      <c r="F112" s="18">
        <f ca="1">_xll.BDH(J112,"PX_LAST",Swap_Date,Swap_Date)+M112</f>
        <v>-0.30575000000000002</v>
      </c>
      <c r="I112" s="18" t="s">
        <v>180</v>
      </c>
      <c r="J112" s="18" t="s">
        <v>188</v>
      </c>
      <c r="M112" s="18">
        <f ca="1">_xll.BDP(N112,"PX_LAST")/100</f>
        <v>-0.16625000000000001</v>
      </c>
      <c r="N112" s="18" t="s">
        <v>315</v>
      </c>
    </row>
    <row r="113" spans="3:14" x14ac:dyDescent="0.25">
      <c r="C113" s="51">
        <f t="shared" ca="1" si="8"/>
        <v>44272</v>
      </c>
      <c r="D113" s="18">
        <f ca="1">$P$106+100-_xll.BDH(I113,"PX_LAST",Future_Date,Future_Date)</f>
        <v>-0.79000000000000625</v>
      </c>
      <c r="E113" s="51">
        <f t="shared" ca="1" si="9"/>
        <v>46838</v>
      </c>
      <c r="F113" s="18">
        <f ca="1">_xll.BDH(J113,"PX_LAST",Swap_Date,Swap_Date)+M113</f>
        <v>-0.23135</v>
      </c>
      <c r="I113" s="18" t="s">
        <v>181</v>
      </c>
      <c r="J113" s="18" t="s">
        <v>189</v>
      </c>
      <c r="M113" s="18">
        <f ca="1">_xll.BDP(N113,"PX_LAST")/100</f>
        <v>-0.18375</v>
      </c>
      <c r="N113" s="18" t="s">
        <v>316</v>
      </c>
    </row>
    <row r="114" spans="3:14" x14ac:dyDescent="0.25">
      <c r="E114" s="51">
        <f t="shared" ca="1" si="9"/>
        <v>47203</v>
      </c>
      <c r="F114" s="18">
        <f ca="1">_xll.BDH(J114,"PX_LAST",Swap_Date,Swap_Date)+M114</f>
        <v>-0.17199999999999999</v>
      </c>
      <c r="J114" s="18" t="s">
        <v>190</v>
      </c>
      <c r="M114" s="18">
        <f ca="1">_xll.BDP(N114,"PX_LAST")/100</f>
        <v>-0.20749999999999999</v>
      </c>
      <c r="N114" s="18" t="s">
        <v>317</v>
      </c>
    </row>
    <row r="115" spans="3:14" x14ac:dyDescent="0.25">
      <c r="E115" s="51">
        <f t="shared" ca="1" si="9"/>
        <v>47568</v>
      </c>
      <c r="F115" s="18">
        <f ca="1">_xll.BDH(J115,"PX_LAST",Swap_Date,Swap_Date)+M115</f>
        <v>-9.8749999999999991E-2</v>
      </c>
      <c r="J115" s="18" t="s">
        <v>191</v>
      </c>
      <c r="M115" s="56">
        <f ca="1">(M114+M116)/2</f>
        <v>-0.21375</v>
      </c>
      <c r="N115" s="18" t="s">
        <v>318</v>
      </c>
    </row>
    <row r="116" spans="3:14" x14ac:dyDescent="0.25">
      <c r="E116" s="51">
        <f t="shared" ca="1" si="9"/>
        <v>47933</v>
      </c>
      <c r="F116" s="18">
        <f ca="1">_xll.BDH(J116,"PX_LAST",Swap_Date,Swap_Date)+M116</f>
        <v>-2.6400000000000007E-2</v>
      </c>
      <c r="J116" s="18" t="s">
        <v>192</v>
      </c>
      <c r="M116" s="18">
        <f ca="1">_xll.BDP(N116,"PX_LAST")/100</f>
        <v>-0.22</v>
      </c>
      <c r="N116" s="18" t="s">
        <v>319</v>
      </c>
    </row>
    <row r="117" spans="3:14" x14ac:dyDescent="0.25">
      <c r="E117" s="51">
        <f t="shared" ca="1" si="9"/>
        <v>48299</v>
      </c>
      <c r="F117" s="18">
        <f ca="1">_xll.BDH(J117,"PX_LAST",Swap_Date,Swap_Date)+M117</f>
        <v>3.4166666666666679E-2</v>
      </c>
      <c r="J117" s="18" t="s">
        <v>193</v>
      </c>
      <c r="M117" s="56">
        <f ca="1">(M119-M116)/3+M116</f>
        <v>-0.22083333333333333</v>
      </c>
      <c r="N117" s="18" t="s">
        <v>320</v>
      </c>
    </row>
    <row r="118" spans="3:14" x14ac:dyDescent="0.25">
      <c r="E118" s="51">
        <f t="shared" ca="1" si="9"/>
        <v>48664</v>
      </c>
      <c r="F118" s="18">
        <f ca="1">_xll.BDH(J118,"PX_LAST",Swap_Date,Swap_Date)+M118</f>
        <v>9.0833333333333321E-2</v>
      </c>
      <c r="J118" s="18" t="s">
        <v>194</v>
      </c>
      <c r="M118" s="56">
        <f ca="1">(M119-M116)/3*2+M116</f>
        <v>-0.22166666666666668</v>
      </c>
      <c r="N118" s="18" t="s">
        <v>321</v>
      </c>
    </row>
    <row r="119" spans="3:14" x14ac:dyDescent="0.25">
      <c r="E119" s="51">
        <f t="shared" ca="1" si="9"/>
        <v>49029</v>
      </c>
      <c r="F119" s="18">
        <f ca="1">_xll.BDH(J119,"PX_LAST",Swap_Date,Swap_Date)+M119</f>
        <v>0.14249999999999999</v>
      </c>
      <c r="J119" s="18" t="s">
        <v>195</v>
      </c>
      <c r="M119" s="18">
        <f ca="1">_xll.BDP(N119,"PX_LAST")/100</f>
        <v>-0.2225</v>
      </c>
      <c r="N119" s="18" t="s">
        <v>322</v>
      </c>
    </row>
    <row r="120" spans="3:14" x14ac:dyDescent="0.25">
      <c r="E120" s="51">
        <f ca="1">EDATE(E119,60)</f>
        <v>50855</v>
      </c>
      <c r="F120" s="18">
        <f ca="1">_xll.BDH(J120,"PX_LAST",Swap_Date,Swap_Date)+M120</f>
        <v>0.30049999999999999</v>
      </c>
      <c r="J120" s="18" t="s">
        <v>196</v>
      </c>
      <c r="M120" s="18">
        <f ca="1">_xll.BDP(N120,"PX_LAST")/100</f>
        <v>-0.20749999999999999</v>
      </c>
      <c r="N120" s="18" t="s">
        <v>323</v>
      </c>
    </row>
    <row r="121" spans="3:14" x14ac:dyDescent="0.25">
      <c r="E121" s="51">
        <f ca="1">EDATE(E120,60)</f>
        <v>52682</v>
      </c>
      <c r="F121" s="18">
        <f ca="1">_xll.BDH(J121,"PX_LAST",Swap_Date,Swap_Date)+M121</f>
        <v>0.37250000000000005</v>
      </c>
      <c r="J121" s="18" t="s">
        <v>197</v>
      </c>
      <c r="M121" s="56">
        <f ca="1">(M120+M122)/2</f>
        <v>-0.1825</v>
      </c>
      <c r="N121" s="18" t="s">
        <v>324</v>
      </c>
    </row>
    <row r="122" spans="3:14" x14ac:dyDescent="0.25">
      <c r="E122" s="51">
        <f ca="1">EDATE(E121,60)</f>
        <v>54508</v>
      </c>
      <c r="F122" s="18">
        <f ca="1">_xll.BDH(J122,"PX_LAST",Swap_Date,Swap_Date)+M122</f>
        <v>0.40749999999999997</v>
      </c>
      <c r="J122" s="18" t="s">
        <v>198</v>
      </c>
      <c r="M122" s="18">
        <f ca="1">_xll.BDP(N122,"PX_LAST")/100</f>
        <v>-0.1575</v>
      </c>
      <c r="N122" s="18" t="s">
        <v>325</v>
      </c>
    </row>
    <row r="123" spans="3:14" x14ac:dyDescent="0.25">
      <c r="E123" s="51">
        <f ca="1">EDATE(E122,120)</f>
        <v>58160</v>
      </c>
      <c r="F123" s="18">
        <f ca="1">_xll.BDH(J123,"PX_LAST",Swap_Date,Swap_Date)+M123</f>
        <v>0.42000000000000004</v>
      </c>
      <c r="J123" s="18" t="s">
        <v>199</v>
      </c>
      <c r="M123" s="56">
        <f ca="1">$M$122</f>
        <v>-0.1575</v>
      </c>
      <c r="N123" s="18" t="s">
        <v>326</v>
      </c>
    </row>
    <row r="124" spans="3:14" x14ac:dyDescent="0.25">
      <c r="E124" s="51">
        <f ca="1">EDATE(E123,12)</f>
        <v>58526</v>
      </c>
      <c r="F124" s="18">
        <f ca="1">F123</f>
        <v>0.42000000000000004</v>
      </c>
    </row>
    <row r="125" spans="3:14" x14ac:dyDescent="0.25">
      <c r="E125" s="51"/>
    </row>
    <row r="129" spans="1:17" x14ac:dyDescent="0.25">
      <c r="A129" s="57" t="s">
        <v>21</v>
      </c>
      <c r="B129" s="58">
        <v>7</v>
      </c>
      <c r="C129" s="58"/>
      <c r="D129" s="58">
        <v>7</v>
      </c>
      <c r="E129" s="58"/>
      <c r="F129" s="58">
        <v>100</v>
      </c>
    </row>
    <row r="130" spans="1:17" x14ac:dyDescent="0.25">
      <c r="A130" s="18" t="s">
        <v>29</v>
      </c>
      <c r="B130" s="18" t="s">
        <v>30</v>
      </c>
      <c r="C130" s="18" t="s">
        <v>31</v>
      </c>
      <c r="D130" s="18" t="s">
        <v>32</v>
      </c>
      <c r="E130" s="18" t="s">
        <v>33</v>
      </c>
      <c r="F130" s="18" t="s">
        <v>34</v>
      </c>
      <c r="M130" s="55" t="s">
        <v>248</v>
      </c>
      <c r="N130" s="55" t="s">
        <v>35</v>
      </c>
    </row>
    <row r="131" spans="1:17" x14ac:dyDescent="0.25">
      <c r="A131" s="51">
        <f ca="1">WORKDAY(Swap_Date,1)</f>
        <v>43551</v>
      </c>
      <c r="B131" s="18">
        <f ca="1">_xll.BDH(H131,"PX_LAST",Cash_Date,Cash_Date)+$P$131</f>
        <v>1.5175000000000001</v>
      </c>
      <c r="C131" s="51">
        <f ca="1">nextimm(Swap_Date)</f>
        <v>43635</v>
      </c>
      <c r="D131" s="18">
        <f ca="1">100-IF(ISNUMBER(_xll.BDH(I131,"PX_LAST",Future_Date,Future_Date)),_xll.BDH(I131,"PX_LAST",Future_Date,Future_Date)+$P$131,100-B134)</f>
        <v>1.7849999999999966</v>
      </c>
      <c r="E131" s="51">
        <f ca="1">EDATE(Swap_Date,24)</f>
        <v>44281</v>
      </c>
      <c r="F131" s="18">
        <f ca="1">_xll.BDH(J131,"PX_LAST",Swap_Date,Swap_Date)+M131</f>
        <v>1.6717</v>
      </c>
      <c r="H131" s="18" t="s">
        <v>200</v>
      </c>
      <c r="I131" s="18" t="s">
        <v>206</v>
      </c>
      <c r="J131" s="18" t="s">
        <v>214</v>
      </c>
      <c r="M131" s="18">
        <f ca="1">_xll.BDP(N131,"PX_LAST")/100</f>
        <v>-0.19500000000000001</v>
      </c>
      <c r="N131" s="18" t="s">
        <v>327</v>
      </c>
      <c r="P131" s="18">
        <f ca="1">_xll.BDP(Q131,"PX_LAST")/100</f>
        <v>-0.23250000000000001</v>
      </c>
      <c r="Q131" s="18" t="s">
        <v>365</v>
      </c>
    </row>
    <row r="132" spans="1:17" x14ac:dyDescent="0.25">
      <c r="A132" s="51">
        <f ca="1">EDATE(Swap_Date,1)</f>
        <v>43581</v>
      </c>
      <c r="B132" s="18">
        <f ca="1">_xll.BDH(H132,"PX_LAST",Cash_Date,Cash_Date)+$P$131</f>
        <v>1.7400000000000002</v>
      </c>
      <c r="C132" s="51">
        <f ca="1">nextimm(C131+1)</f>
        <v>43726</v>
      </c>
      <c r="D132" s="18" t="e">
        <f ca="1">IFERROR($P$131+100-_xll.BDH(I132,"PX_LAST",Future_Date,Future_Date),0.5*(D131+D133))</f>
        <v>#VALUE!</v>
      </c>
      <c r="E132" s="51">
        <f ca="1">EDATE(E131,12)</f>
        <v>44646</v>
      </c>
      <c r="F132" s="18">
        <f ca="1">_xll.BDH(J132,"PX_LAST",Swap_Date,Swap_Date)+M132</f>
        <v>1.6608000000000001</v>
      </c>
      <c r="H132" s="18" t="s">
        <v>201</v>
      </c>
      <c r="I132" s="18" t="s">
        <v>207</v>
      </c>
      <c r="J132" s="18" t="s">
        <v>215</v>
      </c>
      <c r="M132" s="56">
        <f ca="1">(M131+M133)/2</f>
        <v>-0.16500000000000001</v>
      </c>
      <c r="N132" s="18" t="s">
        <v>328</v>
      </c>
    </row>
    <row r="133" spans="1:17" x14ac:dyDescent="0.25">
      <c r="A133" s="51">
        <f ca="1">EDATE(Swap_Date,2)</f>
        <v>43611</v>
      </c>
      <c r="B133" s="18">
        <f ca="1">_xll.BDH(H133,"PX_LAST",Cash_Date,Cash_Date)+$P$131</f>
        <v>1.7675000000000001</v>
      </c>
      <c r="C133" s="51">
        <f t="shared" ref="C133:C138" ca="1" si="10">nextimm(C132+1)</f>
        <v>43817</v>
      </c>
      <c r="D133" s="18" t="e">
        <f ca="1">$P$131+100-_xll.BDH(I133,"PX_LAST",Future_Date,Future_Date)</f>
        <v>#VALUE!</v>
      </c>
      <c r="E133" s="51">
        <f t="shared" ref="E133:E139" ca="1" si="11">EDATE(E132,12)</f>
        <v>45011</v>
      </c>
      <c r="F133" s="18">
        <f ca="1">_xll.BDH(J133,"PX_LAST",Swap_Date,Swap_Date)+M133</f>
        <v>1.6904000000000001</v>
      </c>
      <c r="H133" s="18" t="s">
        <v>202</v>
      </c>
      <c r="I133" s="18" t="s">
        <v>208</v>
      </c>
      <c r="J133" s="18" t="s">
        <v>216</v>
      </c>
      <c r="M133" s="18">
        <f ca="1">_xll.BDP(N133,"PX_LAST")/100</f>
        <v>-0.13500000000000001</v>
      </c>
      <c r="N133" s="18" t="s">
        <v>329</v>
      </c>
    </row>
    <row r="134" spans="1:17" x14ac:dyDescent="0.25">
      <c r="A134" s="51">
        <f ca="1">EDATE(Swap_Date,3)</f>
        <v>43642</v>
      </c>
      <c r="B134" s="18">
        <f ca="1">_xll.BDH(H134,"PX_LAST",Cash_Date,Cash_Date)+$P$131</f>
        <v>1.7850000000000001</v>
      </c>
      <c r="C134" s="51">
        <f t="shared" ca="1" si="10"/>
        <v>43908</v>
      </c>
      <c r="D134" s="18">
        <f ca="1">$P$131+100-_xll.BDH(I134,"PX_LAST",Future_Date,Future_Date)</f>
        <v>1.7724999999999937</v>
      </c>
      <c r="E134" s="51">
        <f t="shared" ca="1" si="11"/>
        <v>45377</v>
      </c>
      <c r="F134" s="18">
        <f ca="1">_xll.BDH(J134,"PX_LAST",Swap_Date,Swap_Date)+M134</f>
        <v>1.7283999999999999</v>
      </c>
      <c r="H134" s="18" t="s">
        <v>203</v>
      </c>
      <c r="I134" s="18" t="s">
        <v>209</v>
      </c>
      <c r="J134" s="18" t="s">
        <v>217</v>
      </c>
      <c r="M134" s="18">
        <f ca="1">_xll.BDP(N134,"PX_LAST")/100</f>
        <v>-0.1125</v>
      </c>
      <c r="N134" s="18" t="s">
        <v>330</v>
      </c>
    </row>
    <row r="135" spans="1:17" x14ac:dyDescent="0.25">
      <c r="A135" s="51">
        <f ca="1">EDATE(Swap_Date,6)</f>
        <v>43734</v>
      </c>
      <c r="B135" s="18">
        <f ca="1">_xll.BDH(H135,"PX_LAST",Cash_Date,Cash_Date)+$P$131</f>
        <v>1.8537500000000002</v>
      </c>
      <c r="C135" s="51">
        <f t="shared" ca="1" si="10"/>
        <v>43999</v>
      </c>
      <c r="D135" s="18">
        <f ca="1">$P$131+100-_xll.BDH(I135,"PX_LAST",Future_Date,Future_Date)</f>
        <v>1.6825000000000045</v>
      </c>
      <c r="E135" s="51">
        <f t="shared" ca="1" si="11"/>
        <v>45742</v>
      </c>
      <c r="F135" s="18">
        <f ca="1">_xll.BDH(J135,"PX_LAST",Swap_Date,Swap_Date)+M135</f>
        <v>1.7679999999999998</v>
      </c>
      <c r="H135" s="18" t="s">
        <v>204</v>
      </c>
      <c r="I135" s="18" t="s">
        <v>210</v>
      </c>
      <c r="J135" s="18" t="s">
        <v>218</v>
      </c>
      <c r="M135" s="18">
        <f ca="1">_xll.BDP(N135,"PX_LAST")/100</f>
        <v>-0.1</v>
      </c>
      <c r="N135" s="18" t="s">
        <v>331</v>
      </c>
    </row>
    <row r="136" spans="1:17" x14ac:dyDescent="0.25">
      <c r="A136" s="51">
        <f ca="1">EDATE(Swap_Date,12)</f>
        <v>43916</v>
      </c>
      <c r="B136" s="18">
        <f ca="1">_xll.BDH(H136,"PX_LAST",Cash_Date,Cash_Date)+$P$131</f>
        <v>2.0075000000000003</v>
      </c>
      <c r="C136" s="51">
        <f t="shared" ca="1" si="10"/>
        <v>44090</v>
      </c>
      <c r="D136" s="18">
        <f ca="1">$P$131+100-_xll.BDH(I136,"PX_LAST",Future_Date,Future_Date)</f>
        <v>1.6424999999999983</v>
      </c>
      <c r="E136" s="51">
        <f t="shared" ca="1" si="11"/>
        <v>46107</v>
      </c>
      <c r="F136" s="18">
        <f ca="1">_xll.BDH(J136,"PX_LAST",Swap_Date,Swap_Date)+M136</f>
        <v>1.81335</v>
      </c>
      <c r="H136" s="18" t="s">
        <v>205</v>
      </c>
      <c r="I136" s="18" t="s">
        <v>211</v>
      </c>
      <c r="J136" s="18" t="s">
        <v>219</v>
      </c>
      <c r="M136" s="18">
        <f ca="1">_xll.BDP(N136,"PX_LAST")/100</f>
        <v>-8.6249999999999993E-2</v>
      </c>
      <c r="N136" s="18" t="s">
        <v>332</v>
      </c>
    </row>
    <row r="137" spans="1:17" x14ac:dyDescent="0.25">
      <c r="A137" s="53">
        <f ca="1">EDATE(A136,10)</f>
        <v>44222</v>
      </c>
      <c r="B137" s="54">
        <f ca="1">B136</f>
        <v>2.0075000000000003</v>
      </c>
      <c r="C137" s="51">
        <f t="shared" ca="1" si="10"/>
        <v>44181</v>
      </c>
      <c r="D137" s="18">
        <f ca="1">$P$131+100-_xll.BDH(I137,"PX_LAST",Future_Date,Future_Date)</f>
        <v>1.5725000000000051</v>
      </c>
      <c r="E137" s="51">
        <f t="shared" ca="1" si="11"/>
        <v>46472</v>
      </c>
      <c r="F137" s="18">
        <f ca="1">_xll.BDH(J137,"PX_LAST",Swap_Date,Swap_Date)+M137</f>
        <v>1.8520000000000001</v>
      </c>
      <c r="I137" s="18" t="s">
        <v>212</v>
      </c>
      <c r="J137" s="18" t="s">
        <v>220</v>
      </c>
      <c r="M137" s="18">
        <f ca="1">_xll.BDP(N137,"PX_LAST")/100</f>
        <v>-8.5000000000000006E-2</v>
      </c>
      <c r="N137" s="18" t="s">
        <v>333</v>
      </c>
    </row>
    <row r="138" spans="1:17" x14ac:dyDescent="0.25">
      <c r="C138" s="51">
        <f t="shared" ca="1" si="10"/>
        <v>44272</v>
      </c>
      <c r="D138" s="18">
        <f ca="1">$P$131+100-_xll.BDH(I138,"PX_LAST",Future_Date,Future_Date)</f>
        <v>1.5324999999999989</v>
      </c>
      <c r="E138" s="51">
        <f t="shared" ca="1" si="11"/>
        <v>46838</v>
      </c>
      <c r="F138" s="18">
        <f ca="1">_xll.BDH(J138,"PX_LAST",Swap_Date,Swap_Date)+M138</f>
        <v>1.9105000000000001</v>
      </c>
      <c r="I138" s="18" t="s">
        <v>213</v>
      </c>
      <c r="J138" s="18" t="s">
        <v>221</v>
      </c>
      <c r="M138" s="18">
        <f ca="1">_xll.BDP(N138,"PX_LAST")/100</f>
        <v>-7.2499999999999995E-2</v>
      </c>
      <c r="N138" s="18" t="s">
        <v>334</v>
      </c>
    </row>
    <row r="139" spans="1:17" x14ac:dyDescent="0.25">
      <c r="E139" s="51">
        <f t="shared" ca="1" si="11"/>
        <v>47203</v>
      </c>
      <c r="F139" s="18">
        <f ca="1">_xll.BDH(J139,"PX_LAST",Swap_Date,Swap_Date)+M139</f>
        <v>1.954</v>
      </c>
      <c r="J139" s="18" t="s">
        <v>222</v>
      </c>
      <c r="M139" s="18">
        <f ca="1">_xll.BDP(N139,"PX_LAST")/100</f>
        <v>-7.0000000000000007E-2</v>
      </c>
      <c r="N139" s="18" t="s">
        <v>335</v>
      </c>
    </row>
    <row r="140" spans="1:17" x14ac:dyDescent="0.25">
      <c r="E140" s="51">
        <f ca="1">EDATE(E139,24)</f>
        <v>47933</v>
      </c>
      <c r="F140" s="18">
        <f ca="1">_xll.BDH(J140,"PX_LAST",Swap_Date,Swap_Date)+M140</f>
        <v>2.0420000000000003</v>
      </c>
      <c r="J140" s="18" t="s">
        <v>223</v>
      </c>
      <c r="M140" s="18">
        <f ca="1">_xll.BDP(N140,"PX_LAST")/100</f>
        <v>-7.0000000000000007E-2</v>
      </c>
      <c r="N140" s="18" t="s">
        <v>336</v>
      </c>
    </row>
    <row r="141" spans="1:17" x14ac:dyDescent="0.25">
      <c r="E141" s="51">
        <f ca="1">EDATE(E140,36)</f>
        <v>49029</v>
      </c>
      <c r="F141" s="18">
        <f ca="1">_xll.BDH(J141,"PX_LAST",Swap_Date,Swap_Date)+M141</f>
        <v>2.1404000000000001</v>
      </c>
      <c r="J141" s="18" t="s">
        <v>224</v>
      </c>
      <c r="M141" s="18">
        <f ca="1">_xll.BDP(N141,"PX_LAST")/100</f>
        <v>-0.08</v>
      </c>
      <c r="N141" s="18" t="s">
        <v>337</v>
      </c>
    </row>
    <row r="142" spans="1:17" x14ac:dyDescent="0.25">
      <c r="E142" s="51">
        <f ca="1">EDATE(E141,60)</f>
        <v>50855</v>
      </c>
      <c r="F142" s="18">
        <f ca="1">_xll.BDH(J142,"PX_LAST",Swap_Date,Swap_Date)+M142</f>
        <v>2.2048999999999999</v>
      </c>
      <c r="J142" s="18" t="s">
        <v>225</v>
      </c>
      <c r="M142" s="18">
        <f ca="1">_xll.BDP(N142,"PX_LAST")/100</f>
        <v>-0.10249999999999999</v>
      </c>
      <c r="N142" s="18" t="s">
        <v>338</v>
      </c>
    </row>
    <row r="143" spans="1:17" x14ac:dyDescent="0.25">
      <c r="E143" s="51">
        <f ca="1">EDATE(E142,60)</f>
        <v>52682</v>
      </c>
      <c r="F143" s="18">
        <f ca="1">_xll.BDH(J143,"PX_LAST",Swap_Date,Swap_Date)+M143</f>
        <v>2.1462999999999997</v>
      </c>
      <c r="J143" s="18" t="s">
        <v>226</v>
      </c>
      <c r="M143" s="56">
        <f ca="1">$M$122</f>
        <v>-0.1575</v>
      </c>
      <c r="N143" s="18" t="s">
        <v>339</v>
      </c>
    </row>
    <row r="144" spans="1:17" x14ac:dyDescent="0.25">
      <c r="E144" s="51">
        <f ca="1">EDATE(E143,60)</f>
        <v>54508</v>
      </c>
      <c r="F144" s="18">
        <f ca="1">_xll.BDH(J144,"PX_LAST",Swap_Date,Swap_Date)+M144</f>
        <v>2.1236999999999999</v>
      </c>
      <c r="J144" s="18" t="s">
        <v>227</v>
      </c>
      <c r="M144" s="56">
        <f ca="1">$M$122</f>
        <v>-0.1575</v>
      </c>
      <c r="N144" s="18" t="s">
        <v>340</v>
      </c>
    </row>
    <row r="145" spans="1:24" x14ac:dyDescent="0.25">
      <c r="E145" s="51">
        <f ca="1">EDATE(E144,120)</f>
        <v>58160</v>
      </c>
      <c r="F145" s="18">
        <f ca="1">_xll.BDH(J145,"PX_LAST",Swap_Date,Swap_Date)+M145</f>
        <v>2.1119999999999997</v>
      </c>
      <c r="J145" s="18" t="s">
        <v>228</v>
      </c>
      <c r="M145" s="56">
        <f ca="1">$M$122</f>
        <v>-0.1575</v>
      </c>
      <c r="N145" s="18" t="s">
        <v>341</v>
      </c>
    </row>
    <row r="146" spans="1:24" x14ac:dyDescent="0.25">
      <c r="E146" s="51">
        <f ca="1">EDATE(E145,12)</f>
        <v>58526</v>
      </c>
      <c r="F146" s="18">
        <f ca="1">F145</f>
        <v>2.1119999999999997</v>
      </c>
    </row>
    <row r="154" spans="1:24" x14ac:dyDescent="0.25">
      <c r="A154" s="57" t="s">
        <v>230</v>
      </c>
      <c r="B154" s="58">
        <v>7</v>
      </c>
      <c r="C154" s="58"/>
      <c r="D154" s="58">
        <v>0</v>
      </c>
      <c r="E154" s="58"/>
      <c r="F154" s="58">
        <v>100</v>
      </c>
      <c r="M154" s="52">
        <v>43430</v>
      </c>
      <c r="S154" s="59" t="s">
        <v>482</v>
      </c>
    </row>
    <row r="155" spans="1:24" x14ac:dyDescent="0.25">
      <c r="A155" s="18" t="s">
        <v>29</v>
      </c>
      <c r="B155" s="18" t="s">
        <v>30</v>
      </c>
      <c r="C155" s="18" t="s">
        <v>31</v>
      </c>
      <c r="D155" s="18" t="s">
        <v>32</v>
      </c>
      <c r="E155" s="18" t="s">
        <v>33</v>
      </c>
      <c r="F155" s="18" t="s">
        <v>34</v>
      </c>
      <c r="M155" s="55" t="s">
        <v>248</v>
      </c>
      <c r="N155" s="55" t="s">
        <v>35</v>
      </c>
      <c r="S155" s="59" t="s">
        <v>481</v>
      </c>
    </row>
    <row r="156" spans="1:24" x14ac:dyDescent="0.25">
      <c r="A156" s="51">
        <f ca="1">WORKDAY(Swap_Date,1)</f>
        <v>43551</v>
      </c>
      <c r="B156" s="18">
        <f ca="1">B157</f>
        <v>5.5885999999999996</v>
      </c>
      <c r="C156" s="51">
        <f ca="1">nextimm(Swap_Date)</f>
        <v>43635</v>
      </c>
      <c r="D156" s="18" t="s">
        <v>246</v>
      </c>
      <c r="E156" s="51">
        <f ca="1">EDATE(Swap_Date,12)</f>
        <v>43916</v>
      </c>
      <c r="F156" s="18">
        <f>T156</f>
        <v>5.7073999999999998</v>
      </c>
      <c r="I156" s="18">
        <f ca="1">IF(ISNUMBER(_xll.BDH(J156,"PX_LAST",Swap_Date,Swap_Date)),_xll.BDH(J156,"PX_LAST",Swap_Date,Swap_Date),X156)</f>
        <v>6.5243000000000002</v>
      </c>
      <c r="J156" s="18" t="s">
        <v>236</v>
      </c>
      <c r="M156" s="18" t="e">
        <f ca="1">_xll.BDH(N156,"PX_LAST",Swap_Date,Swap_Date)/100</f>
        <v>#VALUE!</v>
      </c>
      <c r="N156" s="18" t="s">
        <v>342</v>
      </c>
      <c r="P156" s="18" t="e">
        <f ca="1">_xll.BDH(Q156,"PX_LAST",Cash_Date,Cash_Date)/100</f>
        <v>#VALUE!</v>
      </c>
      <c r="Q156" s="18" t="s">
        <v>367</v>
      </c>
      <c r="R156" s="18">
        <f ca="1">I156-F156</f>
        <v>0.8169000000000004</v>
      </c>
      <c r="S156" s="54">
        <v>5.7073999999999998</v>
      </c>
      <c r="T156" s="54">
        <f>S156</f>
        <v>5.7073999999999998</v>
      </c>
      <c r="X156">
        <f ca="1">_xll.BDP(J156,"PX_LAST")</f>
        <v>6.6448</v>
      </c>
    </row>
    <row r="157" spans="1:24" x14ac:dyDescent="0.25">
      <c r="A157" s="51">
        <f ca="1">EDATE(Swap_Date,1)</f>
        <v>43581</v>
      </c>
      <c r="B157" s="18">
        <f t="shared" ref="B157:B162" ca="1" si="12">U157</f>
        <v>5.5885999999999996</v>
      </c>
      <c r="C157" s="51">
        <f ca="1">nextimm(C156+1)</f>
        <v>43726</v>
      </c>
      <c r="D157" s="18" t="s">
        <v>246</v>
      </c>
      <c r="E157" s="51">
        <f ca="1">EDATE(E156,12)</f>
        <v>44281</v>
      </c>
      <c r="F157" s="18">
        <f t="shared" ref="F157:F172" si="13">T157</f>
        <v>6.5526</v>
      </c>
      <c r="G157" s="18">
        <f t="shared" ref="G157:G164" si="14">100*(F157-F156)</f>
        <v>84.52000000000001</v>
      </c>
      <c r="H157" s="18" t="s">
        <v>231</v>
      </c>
      <c r="I157" s="18">
        <f ca="1">IF(ISNUMBER(_xll.BDH(J157,"PX_LAST",Swap_Date,Swap_Date)),_xll.BDH(J157,"PX_LAST",Swap_Date,Swap_Date),X157)</f>
        <v>7.2778</v>
      </c>
      <c r="J157" s="18" t="s">
        <v>237</v>
      </c>
      <c r="M157" s="18" t="e">
        <f ca="1">_xll.BDH(N157,"PX_LAST",Swap_Date,Swap_Date)/100</f>
        <v>#VALUE!</v>
      </c>
      <c r="N157" s="18" t="s">
        <v>343</v>
      </c>
      <c r="S157" s="54">
        <v>6.5526</v>
      </c>
      <c r="T157" s="54">
        <f t="shared" ref="T157:T164" si="15">S157</f>
        <v>6.5526</v>
      </c>
      <c r="U157">
        <f ca="1">V157-$R$156</f>
        <v>5.5885999999999996</v>
      </c>
      <c r="V157">
        <f ca="1">IF(ISNUMBER(_xll.BDH(H157,"PX_LAST",Cash_Date,Cash_Date)),_xll.BDH(H157,"PX_LAST",Cash_Date,Cash_Date),W157)</f>
        <v>6.4055</v>
      </c>
      <c r="W157">
        <f ca="1">_xll.BDP(H157,"PX_LAST")</f>
        <v>6.4137000000000004</v>
      </c>
      <c r="X157">
        <f ca="1">_xll.BDP(J157,"PX_LAST")</f>
        <v>7.4702000000000002</v>
      </c>
    </row>
    <row r="158" spans="1:24" x14ac:dyDescent="0.25">
      <c r="A158" s="51">
        <f ca="1">EDATE(Swap_Date,2)</f>
        <v>43611</v>
      </c>
      <c r="B158" s="18">
        <f t="shared" ca="1" si="12"/>
        <v>5.6003499999999997</v>
      </c>
      <c r="C158" s="51">
        <f t="shared" ref="C158:C163" ca="1" si="16">nextimm(C157+1)</f>
        <v>43817</v>
      </c>
      <c r="D158" s="18" t="s">
        <v>246</v>
      </c>
      <c r="E158" s="51">
        <f ca="1">EDATE(E157,12)</f>
        <v>44646</v>
      </c>
      <c r="F158" s="18">
        <f t="shared" si="13"/>
        <v>7.1788999999999996</v>
      </c>
      <c r="G158" s="18">
        <f t="shared" si="14"/>
        <v>62.629999999999967</v>
      </c>
      <c r="H158" s="18" t="s">
        <v>232</v>
      </c>
      <c r="I158" s="18">
        <f ca="1">IF(ISNUMBER(_xll.BDH(J158,"PX_LAST",Swap_Date,Swap_Date)),_xll.BDH(J158,"PX_LAST",Swap_Date,Swap_Date),X158)</f>
        <v>7.8906999999999998</v>
      </c>
      <c r="J158" s="18" t="s">
        <v>238</v>
      </c>
      <c r="M158" s="18" t="e">
        <f ca="1">_xll.BDH(N158,"PX_LAST",Swap_Date,Swap_Date)/100</f>
        <v>#VALUE!</v>
      </c>
      <c r="N158" s="18" t="s">
        <v>344</v>
      </c>
      <c r="S158" s="54">
        <v>7.1788999999999996</v>
      </c>
      <c r="T158" s="54">
        <f t="shared" si="15"/>
        <v>7.1788999999999996</v>
      </c>
      <c r="U158">
        <f t="shared" ref="U158:U162" ca="1" si="17">V158-$R$156</f>
        <v>5.6003499999999997</v>
      </c>
      <c r="V158">
        <f ca="1">IF(ISNUMBER(_xll.BDH(H158,"PX_LAST",Cash_Date,Cash_Date)),_xll.BDH(H158,"PX_LAST",Cash_Date,Cash_Date),0.5*(V157+V159))</f>
        <v>6.4172500000000001</v>
      </c>
      <c r="X158">
        <f ca="1">_xll.BDP(J158,"PX_LAST")</f>
        <v>8.1107999999999993</v>
      </c>
    </row>
    <row r="159" spans="1:24" x14ac:dyDescent="0.25">
      <c r="A159" s="51">
        <f ca="1">EDATE(Swap_Date,3)</f>
        <v>43642</v>
      </c>
      <c r="B159" s="18">
        <f t="shared" ca="1" si="12"/>
        <v>5.6120999999999999</v>
      </c>
      <c r="C159" s="51">
        <f t="shared" ca="1" si="16"/>
        <v>43908</v>
      </c>
      <c r="D159" s="18" t="s">
        <v>246</v>
      </c>
      <c r="E159" s="51">
        <f t="shared" ref="E159:E165" ca="1" si="18">EDATE(E158,12)</f>
        <v>45011</v>
      </c>
      <c r="F159" s="18">
        <f t="shared" si="13"/>
        <v>7.5522999999999998</v>
      </c>
      <c r="G159" s="18">
        <f t="shared" si="14"/>
        <v>37.340000000000018</v>
      </c>
      <c r="H159" s="18" t="s">
        <v>233</v>
      </c>
      <c r="I159" s="18">
        <f ca="1">IF(ISNUMBER(_xll.BDH(J159,"PX_LAST",Swap_Date,Swap_Date)),_xll.BDH(J159,"PX_LAST",Swap_Date,Swap_Date),X159)</f>
        <v>8.3231999999999999</v>
      </c>
      <c r="J159" s="18" t="s">
        <v>239</v>
      </c>
      <c r="M159" s="18" t="e">
        <f ca="1">_xll.BDH(N159,"PX_LAST",Swap_Date,Swap_Date)/100</f>
        <v>#VALUE!</v>
      </c>
      <c r="N159" s="18" t="s">
        <v>345</v>
      </c>
      <c r="S159" s="54">
        <v>7.5522999999999998</v>
      </c>
      <c r="T159" s="54">
        <f t="shared" si="15"/>
        <v>7.5522999999999998</v>
      </c>
      <c r="U159">
        <f t="shared" ca="1" si="17"/>
        <v>5.6120999999999999</v>
      </c>
      <c r="V159">
        <f ca="1">IF(ISNUMBER(_xll.BDH(H159,"PX_LAST",Cash_Date,Cash_Date)),_xll.BDH(H159,"PX_LAST",Cash_Date,Cash_Date),W159)</f>
        <v>6.4290000000000003</v>
      </c>
      <c r="W159">
        <f ca="1">_xll.BDP(H159,"PX_LAST")</f>
        <v>6.4390000000000001</v>
      </c>
      <c r="X159">
        <f ca="1">_xll.BDP(J159,"PX_LAST")</f>
        <v>8.5625</v>
      </c>
    </row>
    <row r="160" spans="1:24" x14ac:dyDescent="0.25">
      <c r="A160" s="51">
        <f ca="1">EDATE(Swap_Date,6)</f>
        <v>43734</v>
      </c>
      <c r="B160" s="18">
        <f t="shared" ca="1" si="12"/>
        <v>5.617</v>
      </c>
      <c r="C160" s="51">
        <f t="shared" ca="1" si="16"/>
        <v>43999</v>
      </c>
      <c r="D160" s="18" t="s">
        <v>246</v>
      </c>
      <c r="E160" s="51">
        <f t="shared" ca="1" si="18"/>
        <v>45377</v>
      </c>
      <c r="F160" s="18">
        <f t="shared" si="13"/>
        <v>7.8151999999999999</v>
      </c>
      <c r="G160" s="18">
        <f t="shared" si="14"/>
        <v>26.290000000000013</v>
      </c>
      <c r="H160" s="18" t="s">
        <v>234</v>
      </c>
      <c r="I160" s="18">
        <f ca="1">IF(ISNUMBER(_xll.BDH(J160,"PX_LAST",Swap_Date,Swap_Date)),_xll.BDH(J160,"PX_LAST",Swap_Date,Swap_Date),X160)</f>
        <v>8.6599000000000004</v>
      </c>
      <c r="J160" s="18" t="s">
        <v>240</v>
      </c>
      <c r="M160" s="18" t="e">
        <f ca="1">_xll.BDH(N160,"PX_LAST",Swap_Date,Swap_Date)/100</f>
        <v>#VALUE!</v>
      </c>
      <c r="N160" s="18" t="s">
        <v>346</v>
      </c>
      <c r="S160" s="54">
        <v>7.8151999999999999</v>
      </c>
      <c r="T160" s="54">
        <f t="shared" si="15"/>
        <v>7.8151999999999999</v>
      </c>
      <c r="U160">
        <f t="shared" ca="1" si="17"/>
        <v>5.617</v>
      </c>
      <c r="V160">
        <f ca="1">IF(ISNUMBER(_xll.BDH(H160,"PX_LAST",Cash_Date,Cash_Date)),_xll.BDH(H160,"PX_LAST",Cash_Date,Cash_Date),W160)</f>
        <v>6.4339000000000004</v>
      </c>
      <c r="W160">
        <f ca="1">_xll.BDP(H160,"PX_LAST")</f>
        <v>6.4877000000000002</v>
      </c>
      <c r="X160">
        <f ca="1">_xll.BDP(J160,"PX_LAST")</f>
        <v>8.8916000000000004</v>
      </c>
    </row>
    <row r="161" spans="1:24" x14ac:dyDescent="0.25">
      <c r="A161" s="51">
        <f ca="1">EDATE(Swap_Date,12)</f>
        <v>43916</v>
      </c>
      <c r="B161" s="18">
        <f t="shared" ca="1" si="12"/>
        <v>5.6437999999999997</v>
      </c>
      <c r="C161" s="51">
        <f t="shared" ca="1" si="16"/>
        <v>44090</v>
      </c>
      <c r="D161" s="18" t="s">
        <v>246</v>
      </c>
      <c r="E161" s="51">
        <f t="shared" ca="1" si="18"/>
        <v>45742</v>
      </c>
      <c r="F161" s="18">
        <f t="shared" si="13"/>
        <v>8.0724999999999998</v>
      </c>
      <c r="G161" s="18">
        <f t="shared" si="14"/>
        <v>25.729999999999986</v>
      </c>
      <c r="H161" s="18" t="s">
        <v>235</v>
      </c>
      <c r="I161" s="18">
        <f ca="1">IF(ISNUMBER(_xll.BDH(J161,"PX_LAST",Swap_Date,Swap_Date)),_xll.BDH(J161,"PX_LAST",Swap_Date,Swap_Date),X161)</f>
        <v>8.8674999999999997</v>
      </c>
      <c r="J161" s="18" t="s">
        <v>241</v>
      </c>
      <c r="M161" s="18" t="e">
        <f ca="1">_xll.BDH(N161,"PX_LAST",Swap_Date,Swap_Date)/100</f>
        <v>#VALUE!</v>
      </c>
      <c r="N161" s="18" t="s">
        <v>347</v>
      </c>
      <c r="S161" s="54">
        <v>8.0724999999999998</v>
      </c>
      <c r="T161" s="54">
        <f t="shared" si="15"/>
        <v>8.0724999999999998</v>
      </c>
      <c r="U161">
        <f t="shared" ca="1" si="17"/>
        <v>5.6437999999999997</v>
      </c>
      <c r="V161">
        <f ca="1">IF(ISNUMBER(_xll.BDH(H161,"PX_LAST",Cash_Date,Cash_Date)),_xll.BDH(H161,"PX_LAST",Cash_Date,Cash_Date),W161)</f>
        <v>6.4607000000000001</v>
      </c>
      <c r="W161">
        <f ca="1">_xll.BDP(H161,"PX_LAST")</f>
        <v>6.5598999999999998</v>
      </c>
      <c r="X161">
        <f ca="1">_xll.BDP(J161,"PX_LAST")</f>
        <v>9.0885999999999996</v>
      </c>
    </row>
    <row r="162" spans="1:24" x14ac:dyDescent="0.25">
      <c r="A162" s="53">
        <f ca="1">EDATE(A161,10)</f>
        <v>44222</v>
      </c>
      <c r="B162" s="54">
        <f t="shared" ca="1" si="12"/>
        <v>5.6437999999999997</v>
      </c>
      <c r="C162" s="51">
        <f t="shared" ca="1" si="16"/>
        <v>44181</v>
      </c>
      <c r="D162" s="18" t="s">
        <v>246</v>
      </c>
      <c r="E162" s="51">
        <f t="shared" ca="1" si="18"/>
        <v>46107</v>
      </c>
      <c r="F162" s="18">
        <f t="shared" si="13"/>
        <v>8.2072000000000003</v>
      </c>
      <c r="G162" s="18">
        <f t="shared" si="14"/>
        <v>13.470000000000049</v>
      </c>
      <c r="I162" s="18">
        <f ca="1">IF(ISNUMBER(_xll.BDH(J162,"PX_LAST",Swap_Date,Swap_Date)),_xll.BDH(J162,"PX_LAST",Swap_Date,Swap_Date),X162)</f>
        <v>9.0249000000000006</v>
      </c>
      <c r="J162" s="18" t="s">
        <v>242</v>
      </c>
      <c r="M162" s="18" t="e">
        <f ca="1">_xll.BDH(N162,"PX_LAST",Swap_Date,Swap_Date)/100</f>
        <v>#VALUE!</v>
      </c>
      <c r="N162" s="18" t="s">
        <v>348</v>
      </c>
      <c r="S162" s="54">
        <v>8.2072000000000003</v>
      </c>
      <c r="T162" s="54">
        <f t="shared" si="15"/>
        <v>8.2072000000000003</v>
      </c>
      <c r="U162">
        <f t="shared" ca="1" si="17"/>
        <v>5.6437999999999997</v>
      </c>
      <c r="V162">
        <f ca="1">IF(ISNUMBER(_xll.BDH(H162,"PX_LAST",Cash_Date,Cash_Date)),_xll.BDH(H162,"PX_LAST",Cash_Date,Cash_Date),V161)</f>
        <v>6.4607000000000001</v>
      </c>
      <c r="X162">
        <f ca="1">_xll.BDP(J162,"PX_LAST")</f>
        <v>9.2514000000000003</v>
      </c>
    </row>
    <row r="163" spans="1:24" x14ac:dyDescent="0.25">
      <c r="C163" s="51">
        <f t="shared" ca="1" si="16"/>
        <v>44272</v>
      </c>
      <c r="D163" s="18" t="s">
        <v>246</v>
      </c>
      <c r="E163" s="51">
        <f t="shared" ca="1" si="18"/>
        <v>46472</v>
      </c>
      <c r="F163" s="18">
        <f t="shared" si="13"/>
        <v>8.3289000000000009</v>
      </c>
      <c r="G163" s="18">
        <f t="shared" si="14"/>
        <v>12.170000000000059</v>
      </c>
      <c r="I163" s="18">
        <f ca="1">IF(ISNUMBER(_xll.BDH(J163,"PX_LAST",Swap_Date,Swap_Date)),_xll.BDH(J163,"PX_LAST",Swap_Date,Swap_Date),X163)</f>
        <v>9.1714000000000002</v>
      </c>
      <c r="J163" s="18" t="s">
        <v>243</v>
      </c>
      <c r="M163" s="18" t="e">
        <f ca="1">_xll.BDH(N163,"PX_LAST",Swap_Date,Swap_Date)/100</f>
        <v>#VALUE!</v>
      </c>
      <c r="N163" s="18" t="s">
        <v>349</v>
      </c>
      <c r="S163" s="54">
        <v>8.3289000000000009</v>
      </c>
      <c r="T163" s="54">
        <f t="shared" si="15"/>
        <v>8.3289000000000009</v>
      </c>
      <c r="X163">
        <f ca="1">_xll.BDP(J163,"PX_LAST")</f>
        <v>9.3999000000000006</v>
      </c>
    </row>
    <row r="164" spans="1:24" x14ac:dyDescent="0.25">
      <c r="E164" s="51">
        <f t="shared" ca="1" si="18"/>
        <v>46838</v>
      </c>
      <c r="F164" s="18">
        <f t="shared" si="13"/>
        <v>8.3926999999999996</v>
      </c>
      <c r="G164" s="18">
        <f t="shared" si="14"/>
        <v>6.3799999999998747</v>
      </c>
      <c r="I164" s="18">
        <f ca="1">IF(ISNUMBER(_xll.BDH(J164,"PX_LAST",Swap_Date,Swap_Date)),_xll.BDH(J164,"PX_LAST",Swap_Date,Swap_Date),X164)</f>
        <v>9.2710000000000008</v>
      </c>
      <c r="J164" s="18" t="s">
        <v>244</v>
      </c>
      <c r="M164" s="18" t="e">
        <f ca="1">_xll.BDH(N164,"PX_LAST",Swap_Date,Swap_Date)/100</f>
        <v>#VALUE!</v>
      </c>
      <c r="N164" s="18" t="s">
        <v>350</v>
      </c>
      <c r="S164" s="54">
        <v>8.3926999999999996</v>
      </c>
      <c r="T164" s="54">
        <f t="shared" si="15"/>
        <v>8.3926999999999996</v>
      </c>
      <c r="X164">
        <f ca="1">_xll.BDP(J164,"PX_LAST")</f>
        <v>9.4880999999999993</v>
      </c>
    </row>
    <row r="165" spans="1:24" x14ac:dyDescent="0.25">
      <c r="E165" s="51">
        <f t="shared" ca="1" si="18"/>
        <v>47203</v>
      </c>
      <c r="F165" s="18">
        <f t="shared" ca="1" si="13"/>
        <v>8.4428999999999981</v>
      </c>
      <c r="G165" s="18">
        <f ca="1">100*(F165-F164)</f>
        <v>5.0199999999998468</v>
      </c>
      <c r="I165" s="18">
        <f ca="1">IF(ISNUMBER(_xll.BDH(J165,"PX_LAST",Swap_Date,Swap_Date)),_xll.BDH(J165,"PX_LAST",Swap_Date,Swap_Date),X165)</f>
        <v>9.3211999999999993</v>
      </c>
      <c r="J165" s="18" t="s">
        <v>245</v>
      </c>
      <c r="M165" s="18" t="e">
        <f ca="1">_xll.BDH(N165,"PX_LAST",Swap_Date,Swap_Date)/100</f>
        <v>#VALUE!</v>
      </c>
      <c r="N165" s="18" t="s">
        <v>351</v>
      </c>
      <c r="T165" s="54">
        <f ca="1">I165-($I$164-$S$164)</f>
        <v>8.4428999999999981</v>
      </c>
      <c r="X165">
        <f ca="1">_xll.BDP(J165,"PX_LAST")</f>
        <v>9.5311000000000003</v>
      </c>
    </row>
    <row r="166" spans="1:24" x14ac:dyDescent="0.25">
      <c r="E166" s="51">
        <f ca="1">EDATE(E165,24)</f>
        <v>47933</v>
      </c>
      <c r="F166" s="18">
        <f t="shared" ca="1" si="13"/>
        <v>8.4428999999999981</v>
      </c>
      <c r="I166" s="18">
        <f ca="1">IF(ISNUMBER(_xll.BDH(J166,"PX_LAST",Swap_Date,Swap_Date)),_xll.BDH(J166,"PX_LAST",Swap_Date,Swap_Date),X166)</f>
        <v>9.3211999999999993</v>
      </c>
      <c r="J166" s="18" t="s">
        <v>245</v>
      </c>
      <c r="M166" s="18" t="e">
        <f ca="1">_xll.BDH(N166,"PX_LAST",Swap_Date,Swap_Date)/100</f>
        <v>#VALUE!</v>
      </c>
      <c r="N166" s="18" t="s">
        <v>352</v>
      </c>
      <c r="T166" s="54">
        <f t="shared" ref="T166:T172" ca="1" si="19">I166-($I$164-$S$164)</f>
        <v>8.4428999999999981</v>
      </c>
      <c r="X166">
        <f ca="1">_xll.BDP(J166,"PX_LAST")</f>
        <v>9.5311000000000003</v>
      </c>
    </row>
    <row r="167" spans="1:24" x14ac:dyDescent="0.25">
      <c r="E167" s="51">
        <f ca="1">EDATE(E166,36)</f>
        <v>49029</v>
      </c>
      <c r="F167" s="18">
        <f t="shared" ca="1" si="13"/>
        <v>8.4428999999999981</v>
      </c>
      <c r="I167" s="18">
        <f ca="1">IF(ISNUMBER(_xll.BDH(J167,"PX_LAST",Swap_Date,Swap_Date)),_xll.BDH(J167,"PX_LAST",Swap_Date,Swap_Date),X167)</f>
        <v>9.3211999999999993</v>
      </c>
      <c r="J167" s="18" t="s">
        <v>245</v>
      </c>
      <c r="M167" s="18" t="e">
        <f ca="1">_xll.BDH(N167,"PX_LAST",Swap_Date,Swap_Date)/100</f>
        <v>#VALUE!</v>
      </c>
      <c r="N167" s="18" t="s">
        <v>353</v>
      </c>
      <c r="T167" s="54">
        <f t="shared" ca="1" si="19"/>
        <v>8.4428999999999981</v>
      </c>
      <c r="X167">
        <f ca="1">_xll.BDP(J167,"PX_LAST")</f>
        <v>9.5311000000000003</v>
      </c>
    </row>
    <row r="168" spans="1:24" x14ac:dyDescent="0.25">
      <c r="E168" s="51">
        <f ca="1">EDATE(E167,60)</f>
        <v>50855</v>
      </c>
      <c r="F168" s="18">
        <f t="shared" ca="1" si="13"/>
        <v>8.4428999999999981</v>
      </c>
      <c r="I168" s="18">
        <f ca="1">IF(ISNUMBER(_xll.BDH(J168,"PX_LAST",Swap_Date,Swap_Date)),_xll.BDH(J168,"PX_LAST",Swap_Date,Swap_Date),X168)</f>
        <v>9.3211999999999993</v>
      </c>
      <c r="J168" s="18" t="s">
        <v>245</v>
      </c>
      <c r="M168" s="18" t="e">
        <f ca="1">_xll.BDH(N168,"PX_LAST",Swap_Date,Swap_Date)/100</f>
        <v>#VALUE!</v>
      </c>
      <c r="N168" s="18" t="s">
        <v>354</v>
      </c>
      <c r="T168" s="54">
        <f t="shared" ca="1" si="19"/>
        <v>8.4428999999999981</v>
      </c>
      <c r="X168">
        <f ca="1">_xll.BDP(J168,"PX_LAST")</f>
        <v>9.5311000000000003</v>
      </c>
    </row>
    <row r="169" spans="1:24" x14ac:dyDescent="0.25">
      <c r="E169" s="51">
        <f ca="1">EDATE(E168,60)</f>
        <v>52682</v>
      </c>
      <c r="F169" s="18">
        <f t="shared" ca="1" si="13"/>
        <v>8.4428999999999981</v>
      </c>
      <c r="I169" s="18">
        <f ca="1">IF(ISNUMBER(_xll.BDH(J169,"PX_LAST",Swap_Date,Swap_Date)),_xll.BDH(J169,"PX_LAST",Swap_Date,Swap_Date),X169)</f>
        <v>9.3211999999999993</v>
      </c>
      <c r="J169" s="18" t="s">
        <v>245</v>
      </c>
      <c r="M169" s="18" t="e">
        <f ca="1">_xll.BDH(N169,"PX_LAST",Swap_Date,Swap_Date)/100</f>
        <v>#VALUE!</v>
      </c>
      <c r="N169" s="18" t="s">
        <v>355</v>
      </c>
      <c r="T169" s="54">
        <f t="shared" ca="1" si="19"/>
        <v>8.4428999999999981</v>
      </c>
      <c r="X169">
        <f ca="1">_xll.BDP(J169,"PX_LAST")</f>
        <v>9.5311000000000003</v>
      </c>
    </row>
    <row r="170" spans="1:24" x14ac:dyDescent="0.25">
      <c r="E170" s="51">
        <f ca="1">EDATE(E169,60)</f>
        <v>54508</v>
      </c>
      <c r="F170" s="18">
        <f t="shared" ca="1" si="13"/>
        <v>8.4428999999999981</v>
      </c>
      <c r="I170" s="18">
        <f ca="1">IF(ISNUMBER(_xll.BDH(J170,"PX_LAST",Swap_Date,Swap_Date)),_xll.BDH(J170,"PX_LAST",Swap_Date,Swap_Date),X170)</f>
        <v>9.3211999999999993</v>
      </c>
      <c r="J170" s="18" t="s">
        <v>245</v>
      </c>
      <c r="M170" s="18" t="e">
        <f ca="1">_xll.BDH(N170,"PX_LAST",Swap_Date,Swap_Date)/100</f>
        <v>#VALUE!</v>
      </c>
      <c r="N170" s="18" t="s">
        <v>356</v>
      </c>
      <c r="T170" s="54">
        <f t="shared" ca="1" si="19"/>
        <v>8.4428999999999981</v>
      </c>
      <c r="X170">
        <f ca="1">_xll.BDP(J170,"PX_LAST")</f>
        <v>9.5311000000000003</v>
      </c>
    </row>
    <row r="171" spans="1:24" x14ac:dyDescent="0.25">
      <c r="E171" s="51">
        <f ca="1">EDATE(E170,120)</f>
        <v>58160</v>
      </c>
      <c r="F171" s="18">
        <f t="shared" ca="1" si="13"/>
        <v>8.4428999999999981</v>
      </c>
      <c r="I171" s="18">
        <f ca="1">IF(ISNUMBER(_xll.BDH(J171,"PX_LAST",Swap_Date,Swap_Date)),_xll.BDH(J171,"PX_LAST",Swap_Date,Swap_Date),X171)</f>
        <v>9.3211999999999993</v>
      </c>
      <c r="J171" s="18" t="s">
        <v>245</v>
      </c>
      <c r="M171" s="18" t="e">
        <f ca="1">_xll.BDH(N171,"PX_LAST",Swap_Date,Swap_Date)/100</f>
        <v>#VALUE!</v>
      </c>
      <c r="N171" s="18" t="s">
        <v>357</v>
      </c>
      <c r="T171" s="54">
        <f t="shared" ca="1" si="19"/>
        <v>8.4428999999999981</v>
      </c>
      <c r="X171">
        <f ca="1">_xll.BDP(J171,"PX_LAST")</f>
        <v>9.5311000000000003</v>
      </c>
    </row>
    <row r="172" spans="1:24" x14ac:dyDescent="0.25">
      <c r="E172" s="51">
        <f ca="1">EDATE(E171,12)</f>
        <v>58526</v>
      </c>
      <c r="F172" s="18">
        <f t="shared" ca="1" si="13"/>
        <v>8.4428999999999981</v>
      </c>
      <c r="I172" s="18">
        <f ca="1">IF(ISNUMBER(_xll.BDH(J172,"PX_LAST",Swap_Date,Swap_Date)),_xll.BDH(J172,"PX_LAST",Swap_Date,Swap_Date),X172)</f>
        <v>9.3211999999999993</v>
      </c>
      <c r="J172" s="18" t="s">
        <v>245</v>
      </c>
      <c r="M172" s="18" t="e">
        <f ca="1">_xll.BDH(N172,"PX_LAST",Swap_Date,Swap_Date)/100</f>
        <v>#VALUE!</v>
      </c>
      <c r="N172" s="18" t="s">
        <v>358</v>
      </c>
      <c r="T172" s="54">
        <f t="shared" ca="1" si="19"/>
        <v>8.4428999999999981</v>
      </c>
      <c r="X172">
        <f ca="1">_xll.BDP(J172,"PX_LAST")</f>
        <v>9.5311000000000003</v>
      </c>
    </row>
    <row r="173" spans="1:24" x14ac:dyDescent="0.25">
      <c r="N173" s="18" t="s">
        <v>359</v>
      </c>
    </row>
    <row r="174" spans="1:24" x14ac:dyDescent="0.25">
      <c r="N174" s="18" t="s">
        <v>360</v>
      </c>
    </row>
    <row r="175" spans="1:24" x14ac:dyDescent="0.25">
      <c r="N175" s="18" t="s">
        <v>361</v>
      </c>
    </row>
    <row r="179" spans="1:10" x14ac:dyDescent="0.25">
      <c r="A179" s="18" t="s">
        <v>510</v>
      </c>
      <c r="B179" s="18">
        <v>6</v>
      </c>
      <c r="D179" s="18">
        <v>0</v>
      </c>
      <c r="F179" s="18">
        <v>100</v>
      </c>
    </row>
    <row r="180" spans="1:10" x14ac:dyDescent="0.25">
      <c r="A180" s="18" t="s">
        <v>29</v>
      </c>
      <c r="B180" s="18" t="s">
        <v>30</v>
      </c>
      <c r="C180" s="18" t="s">
        <v>31</v>
      </c>
      <c r="D180" s="18" t="s">
        <v>32</v>
      </c>
      <c r="E180" s="18" t="s">
        <v>33</v>
      </c>
      <c r="F180" s="18" t="s">
        <v>34</v>
      </c>
    </row>
    <row r="181" spans="1:10" x14ac:dyDescent="0.25">
      <c r="A181" s="51">
        <f ca="1">WORKDAY(Swap_Date,1)</f>
        <v>43551</v>
      </c>
      <c r="B181" s="18">
        <f ca="1">IF(ISNUMBER(_xll.BDH(H181,"PX_LAST",Cash_Date,Cash_Date)),_xll.BDH(H181,"PX_LAST",Cash_Date,Cash_Date),B182)</f>
        <v>4.1100000000000003</v>
      </c>
      <c r="C181" s="51">
        <f ca="1">nextimm(Swap_Date)</f>
        <v>43635</v>
      </c>
      <c r="D181" s="18" t="s">
        <v>246</v>
      </c>
      <c r="E181" s="51">
        <f ca="1">EDATE(Swap_Date,24)</f>
        <v>44281</v>
      </c>
      <c r="F181" s="18">
        <f ca="1">_xll.BDH(J181,"PX_LAST",Swap_Date,Swap_Date)</f>
        <v>4.4450000000000003</v>
      </c>
      <c r="H181" s="18" t="s">
        <v>511</v>
      </c>
      <c r="I181" s="18" t="s">
        <v>141</v>
      </c>
      <c r="J181" s="18" t="s">
        <v>512</v>
      </c>
    </row>
    <row r="182" spans="1:10" x14ac:dyDescent="0.25">
      <c r="A182" s="51">
        <f ca="1">EDATE(Swap_Date,1)</f>
        <v>43581</v>
      </c>
      <c r="B182" s="18">
        <f ca="1">_xll.BDH(H182,"PX_LAST",Cash_Date,Cash_Date)</f>
        <v>4.1100000000000003</v>
      </c>
      <c r="C182" s="51">
        <f ca="1">nextimm(C181+1)</f>
        <v>43726</v>
      </c>
      <c r="D182" s="18" t="s">
        <v>246</v>
      </c>
      <c r="E182" s="51">
        <f ca="1">EDATE(E181,12)</f>
        <v>44646</v>
      </c>
      <c r="F182" s="18">
        <f ca="1">_xll.BDH(J182,"PX_LAST",Swap_Date,Swap_Date)</f>
        <v>4.6899999999999995</v>
      </c>
      <c r="H182" s="18" t="s">
        <v>531</v>
      </c>
      <c r="I182" s="18" t="s">
        <v>142</v>
      </c>
      <c r="J182" s="18" t="s">
        <v>513</v>
      </c>
    </row>
    <row r="183" spans="1:10" x14ac:dyDescent="0.25">
      <c r="A183" s="51">
        <f ca="1">EDATE(Swap_Date,2)</f>
        <v>43611</v>
      </c>
      <c r="B183" s="18">
        <f ca="1">0.5*(B182+B184)</f>
        <v>4.12</v>
      </c>
      <c r="C183" s="51">
        <f t="shared" ref="C183:C188" ca="1" si="20">nextimm(C182+1)</f>
        <v>43817</v>
      </c>
      <c r="D183" s="18" t="s">
        <v>246</v>
      </c>
      <c r="E183" s="51">
        <f t="shared" ref="E183:E196" ca="1" si="21">EDATE(E182,12)</f>
        <v>45011</v>
      </c>
      <c r="F183" s="18">
        <f ca="1">_xll.BDH(J183,"PX_LAST",Swap_Date,Swap_Date)</f>
        <v>4.9000000000000004</v>
      </c>
      <c r="I183" s="18" t="s">
        <v>143</v>
      </c>
      <c r="J183" s="18" t="s">
        <v>514</v>
      </c>
    </row>
    <row r="184" spans="1:10" x14ac:dyDescent="0.25">
      <c r="A184" s="51">
        <f ca="1">EDATE(Swap_Date,3)</f>
        <v>43642</v>
      </c>
      <c r="B184" s="18">
        <f ca="1">_xll.BDH(H184,"PX_LAST",Cash_Date,Cash_Date)</f>
        <v>4.13</v>
      </c>
      <c r="C184" s="51">
        <f t="shared" ca="1" si="20"/>
        <v>43908</v>
      </c>
      <c r="D184" s="18" t="s">
        <v>246</v>
      </c>
      <c r="E184" s="51">
        <f t="shared" ca="1" si="21"/>
        <v>45377</v>
      </c>
      <c r="F184" s="18">
        <f ca="1">_xll.BDH(J184,"PX_LAST",Swap_Date,Swap_Date)</f>
        <v>5.08</v>
      </c>
      <c r="H184" s="18" t="s">
        <v>532</v>
      </c>
      <c r="I184" s="18" t="s">
        <v>144</v>
      </c>
      <c r="J184" s="18" t="s">
        <v>515</v>
      </c>
    </row>
    <row r="185" spans="1:10" x14ac:dyDescent="0.25">
      <c r="A185" s="51">
        <f ca="1">EDATE(Swap_Date,6)</f>
        <v>43734</v>
      </c>
      <c r="B185" s="18">
        <f ca="1">_xll.BDH(H185,"PX_LAST",Cash_Date,Cash_Date)</f>
        <v>4.22</v>
      </c>
      <c r="C185" s="51">
        <f t="shared" ca="1" si="20"/>
        <v>43999</v>
      </c>
      <c r="D185" s="18" t="s">
        <v>246</v>
      </c>
      <c r="E185" s="51">
        <f t="shared" ca="1" si="21"/>
        <v>45742</v>
      </c>
      <c r="F185" s="18">
        <f ca="1">_xll.BDH(J185,"PX_LAST",Swap_Date,Swap_Date)</f>
        <v>5.25</v>
      </c>
      <c r="H185" s="18" t="s">
        <v>533</v>
      </c>
      <c r="I185" s="18" t="s">
        <v>145</v>
      </c>
      <c r="J185" s="18" t="s">
        <v>516</v>
      </c>
    </row>
    <row r="186" spans="1:10" x14ac:dyDescent="0.25">
      <c r="A186" s="51">
        <f ca="1">EDATE(Swap_Date,12)</f>
        <v>43916</v>
      </c>
      <c r="B186" s="18">
        <f ca="1">_xll.BDH(H186,"PX_LAST",Cash_Date,Cash_Date)</f>
        <v>4.28</v>
      </c>
      <c r="C186" s="51">
        <f t="shared" ca="1" si="20"/>
        <v>44090</v>
      </c>
      <c r="D186" s="18" t="s">
        <v>246</v>
      </c>
      <c r="E186" s="51">
        <f t="shared" ca="1" si="21"/>
        <v>46107</v>
      </c>
      <c r="F186" s="18">
        <f ca="1">_xll.BDH(J186,"PX_LAST",Swap_Date,Swap_Date)</f>
        <v>5.4050000000000002</v>
      </c>
      <c r="H186" s="18" t="s">
        <v>534</v>
      </c>
      <c r="I186" s="18" t="s">
        <v>146</v>
      </c>
      <c r="J186" s="18" t="s">
        <v>517</v>
      </c>
    </row>
    <row r="187" spans="1:10" x14ac:dyDescent="0.25">
      <c r="A187" s="53">
        <f ca="1">EDATE(Swap_Date,18)</f>
        <v>44100</v>
      </c>
      <c r="B187" s="18">
        <f ca="1">_xll.BDH(H187,"PX_LAST",Cash_Date,Cash_Date)</f>
        <v>4.4400000000000004</v>
      </c>
      <c r="C187" s="51">
        <f t="shared" ca="1" si="20"/>
        <v>44181</v>
      </c>
      <c r="D187" s="18" t="s">
        <v>246</v>
      </c>
      <c r="E187" s="51">
        <f t="shared" ca="1" si="21"/>
        <v>46472</v>
      </c>
      <c r="F187" s="18">
        <f ca="1">_xll.BDH(J187,"PX_LAST",Swap_Date,Swap_Date)</f>
        <v>5.53</v>
      </c>
      <c r="H187" s="18" t="s">
        <v>535</v>
      </c>
      <c r="I187" s="18" t="s">
        <v>147</v>
      </c>
      <c r="J187" s="18" t="s">
        <v>518</v>
      </c>
    </row>
    <row r="188" spans="1:10" x14ac:dyDescent="0.25">
      <c r="A188" s="53">
        <f ca="1">EDATE(Swap_Date,24)</f>
        <v>44281</v>
      </c>
      <c r="B188" s="54">
        <f ca="1">B187+(B187-B186)</f>
        <v>4.6000000000000005</v>
      </c>
      <c r="C188" s="51">
        <f t="shared" ca="1" si="20"/>
        <v>44272</v>
      </c>
      <c r="D188" s="18" t="s">
        <v>246</v>
      </c>
      <c r="E188" s="51">
        <f t="shared" ca="1" si="21"/>
        <v>46838</v>
      </c>
      <c r="F188" s="18">
        <f ca="1">_xll.BDH(J188,"PX_LAST",Swap_Date,Swap_Date)</f>
        <v>5.6550000000000002</v>
      </c>
      <c r="I188" s="18" t="s">
        <v>148</v>
      </c>
      <c r="J188" s="18" t="s">
        <v>519</v>
      </c>
    </row>
    <row r="189" spans="1:10" x14ac:dyDescent="0.25">
      <c r="E189" s="51">
        <f t="shared" ca="1" si="21"/>
        <v>47203</v>
      </c>
      <c r="F189" s="18">
        <f ca="1">_xll.BDH(J189,"PX_LAST",Swap_Date,Swap_Date)</f>
        <v>5.77</v>
      </c>
      <c r="J189" s="18" t="s">
        <v>520</v>
      </c>
    </row>
    <row r="190" spans="1:10" x14ac:dyDescent="0.25">
      <c r="E190" s="51">
        <f t="shared" ca="1" si="21"/>
        <v>47568</v>
      </c>
      <c r="F190" s="18">
        <f ca="1">0.5*(F189+F191)</f>
        <v>5.8324999999999996</v>
      </c>
      <c r="J190" s="18" t="s">
        <v>521</v>
      </c>
    </row>
    <row r="191" spans="1:10" x14ac:dyDescent="0.25">
      <c r="E191" s="51">
        <f t="shared" ca="1" si="21"/>
        <v>47933</v>
      </c>
      <c r="F191" s="18">
        <f ca="1">_xll.BDH(J191,"PX_LAST",Swap_Date,Swap_Date)</f>
        <v>5.8949999999999996</v>
      </c>
      <c r="J191" s="18" t="s">
        <v>522</v>
      </c>
    </row>
    <row r="192" spans="1:10" x14ac:dyDescent="0.25">
      <c r="E192" s="51">
        <f t="shared" ca="1" si="21"/>
        <v>48299</v>
      </c>
      <c r="F192" s="18">
        <f ca="1">1/3*(F194-F191)+F191</f>
        <v>5.9483333333333333</v>
      </c>
      <c r="J192" s="18" t="s">
        <v>523</v>
      </c>
    </row>
    <row r="193" spans="5:10" x14ac:dyDescent="0.25">
      <c r="E193" s="51">
        <f t="shared" ca="1" si="21"/>
        <v>48664</v>
      </c>
      <c r="F193" s="18">
        <f ca="1">2/3*(F194-F191)+F191</f>
        <v>6.001666666666666</v>
      </c>
      <c r="J193" s="18" t="s">
        <v>524</v>
      </c>
    </row>
    <row r="194" spans="5:10" x14ac:dyDescent="0.25">
      <c r="E194" s="51">
        <f t="shared" ca="1" si="21"/>
        <v>49029</v>
      </c>
      <c r="F194" s="18">
        <f ca="1">_xll.BDH(J194,"PX_LAST",Swap_Date,Swap_Date)</f>
        <v>6.0549999999999997</v>
      </c>
      <c r="J194" s="18" t="s">
        <v>525</v>
      </c>
    </row>
    <row r="195" spans="5:10" x14ac:dyDescent="0.25">
      <c r="E195" s="51">
        <f t="shared" ca="1" si="21"/>
        <v>49394</v>
      </c>
      <c r="F195" s="18">
        <f ca="1">1/5*(F197-F194)+F194</f>
        <v>6.0975000000000001</v>
      </c>
      <c r="J195" s="18" t="s">
        <v>526</v>
      </c>
    </row>
    <row r="196" spans="5:10" x14ac:dyDescent="0.25">
      <c r="E196" s="51">
        <f t="shared" ca="1" si="21"/>
        <v>49760</v>
      </c>
      <c r="F196" s="18">
        <f ca="1">2/5*(F197-F194)+F194</f>
        <v>6.14</v>
      </c>
      <c r="J196" s="18" t="s">
        <v>527</v>
      </c>
    </row>
    <row r="197" spans="5:10" x14ac:dyDescent="0.25">
      <c r="E197" s="51">
        <f ca="1">EDATE(E196,36)</f>
        <v>50855</v>
      </c>
      <c r="F197" s="18">
        <f ca="1">_xll.BDH(J197,"PX_LAST",Swap_Date,Swap_Date)</f>
        <v>6.2675000000000001</v>
      </c>
      <c r="J197" s="18" t="s">
        <v>528</v>
      </c>
    </row>
    <row r="198" spans="5:10" x14ac:dyDescent="0.25">
      <c r="E198" s="51">
        <f ca="1">EDATE(E197,60)</f>
        <v>52682</v>
      </c>
      <c r="F198" s="18">
        <f ca="1">F197</f>
        <v>6.2675000000000001</v>
      </c>
    </row>
    <row r="199" spans="5:10" x14ac:dyDescent="0.25">
      <c r="E199" s="51">
        <f ca="1">EDATE(E198,60)</f>
        <v>54508</v>
      </c>
      <c r="F199" s="18">
        <f t="shared" ref="F199:F201" ca="1" si="22">F198</f>
        <v>6.2675000000000001</v>
      </c>
    </row>
    <row r="200" spans="5:10" x14ac:dyDescent="0.25">
      <c r="E200" s="51">
        <f ca="1">EDATE(E199,120)</f>
        <v>58160</v>
      </c>
      <c r="F200" s="18">
        <f t="shared" ca="1" si="22"/>
        <v>6.2675000000000001</v>
      </c>
    </row>
    <row r="201" spans="5:10" x14ac:dyDescent="0.25">
      <c r="E201" s="51">
        <f ca="1">EDATE(E200,12)</f>
        <v>58526</v>
      </c>
      <c r="F201" s="18">
        <f t="shared" ca="1" si="22"/>
        <v>6.2675000000000001</v>
      </c>
    </row>
  </sheetData>
  <mergeCells count="3">
    <mergeCell ref="A1:B1"/>
    <mergeCell ref="A2:B2"/>
    <mergeCell ref="A3:B3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4F315-7458-4B5F-811C-EFF400652239}">
  <sheetPr codeName="Sheet39"/>
  <dimension ref="A1:D131"/>
  <sheetViews>
    <sheetView workbookViewId="0">
      <selection activeCell="H50" sqref="H50"/>
    </sheetView>
  </sheetViews>
  <sheetFormatPr defaultRowHeight="15" x14ac:dyDescent="0.25"/>
  <cols>
    <col min="1" max="1" width="10.28515625" bestFit="1" customWidth="1"/>
    <col min="4" max="4" width="11.5703125" customWidth="1"/>
  </cols>
  <sheetData>
    <row r="1" spans="1:4" ht="15.75" x14ac:dyDescent="0.25">
      <c r="A1" s="83" t="s">
        <v>426</v>
      </c>
      <c r="B1" s="83"/>
      <c r="C1" s="83"/>
      <c r="D1" s="83"/>
    </row>
    <row r="2" spans="1:4" x14ac:dyDescent="0.25">
      <c r="A2" s="17" t="s">
        <v>229</v>
      </c>
      <c r="B2" s="17" t="s">
        <v>230</v>
      </c>
    </row>
    <row r="3" spans="1:4" x14ac:dyDescent="0.25">
      <c r="A3" t="s">
        <v>24</v>
      </c>
      <c r="B3" t="s">
        <v>388</v>
      </c>
      <c r="D3" t="s">
        <v>389</v>
      </c>
    </row>
    <row r="4" spans="1:4" x14ac:dyDescent="0.25">
      <c r="A4" s="3">
        <f ca="1">EDATE(Today,0.25)</f>
        <v>43550</v>
      </c>
      <c r="B4" t="s">
        <v>370</v>
      </c>
      <c r="D4">
        <f ca="1">_xll.BDH($B4,"PX_LAST",Today,Today)</f>
        <v>16.7</v>
      </c>
    </row>
    <row r="5" spans="1:4" x14ac:dyDescent="0.25">
      <c r="A5" s="3">
        <f ca="1">EDATE(Today,1)</f>
        <v>43581</v>
      </c>
      <c r="B5" t="s">
        <v>371</v>
      </c>
      <c r="D5">
        <f ca="1">_xll.BDH($B5,"PX_LAST",Today,Today)</f>
        <v>71.13</v>
      </c>
    </row>
    <row r="6" spans="1:4" x14ac:dyDescent="0.25">
      <c r="A6" s="3">
        <f ca="1">EDATE(A5,1)</f>
        <v>43611</v>
      </c>
      <c r="B6" t="s">
        <v>372</v>
      </c>
      <c r="D6">
        <f ca="1">_xll.BDH($B6,"PX_LAST",Today,Today)</f>
        <v>153.41</v>
      </c>
    </row>
    <row r="7" spans="1:4" x14ac:dyDescent="0.25">
      <c r="A7" s="3">
        <f t="shared" ref="A7:A10" ca="1" si="0">EDATE(A6,1)</f>
        <v>43642</v>
      </c>
      <c r="B7" t="s">
        <v>373</v>
      </c>
      <c r="D7">
        <f ca="1">_xll.BDH($B7,"PX_LAST",Today,Today)</f>
        <v>261.67</v>
      </c>
    </row>
    <row r="8" spans="1:4" x14ac:dyDescent="0.25">
      <c r="A8" s="3">
        <f t="shared" ca="1" si="0"/>
        <v>43672</v>
      </c>
      <c r="B8" t="s">
        <v>374</v>
      </c>
      <c r="D8" t="str">
        <f ca="1">_xll.BDH($B8,"PX_LAST",Today,Today)</f>
        <v>#N/A N/A</v>
      </c>
    </row>
    <row r="9" spans="1:4" x14ac:dyDescent="0.25">
      <c r="A9" s="3">
        <f t="shared" ca="1" si="0"/>
        <v>43703</v>
      </c>
      <c r="B9" t="s">
        <v>375</v>
      </c>
      <c r="D9" t="str">
        <f ca="1">_xll.BDH($B9,"PX_LAST",Today,Today)</f>
        <v>#N/A N/A</v>
      </c>
    </row>
    <row r="10" spans="1:4" x14ac:dyDescent="0.25">
      <c r="A10" s="3">
        <f t="shared" ca="1" si="0"/>
        <v>43734</v>
      </c>
      <c r="B10" t="s">
        <v>376</v>
      </c>
      <c r="D10">
        <f ca="1">_xll.BDH($B10,"PX_LAST",Today,Today)</f>
        <v>583.96</v>
      </c>
    </row>
    <row r="11" spans="1:4" x14ac:dyDescent="0.25">
      <c r="A11" s="3">
        <f ca="1">EDATE(A10,3)</f>
        <v>43825</v>
      </c>
      <c r="B11" t="s">
        <v>377</v>
      </c>
      <c r="D11">
        <f ca="1">_xll.BDH($B11,"PX_LAST",Today,Today)</f>
        <v>862.85</v>
      </c>
    </row>
    <row r="12" spans="1:4" x14ac:dyDescent="0.25">
      <c r="A12" s="3">
        <f ca="1">EDATE(A11,3)</f>
        <v>43916</v>
      </c>
      <c r="B12" t="s">
        <v>378</v>
      </c>
      <c r="D12">
        <f ca="1">_xll.BDH($B12,"PX_LAST",Today,Today)</f>
        <v>1143</v>
      </c>
    </row>
    <row r="13" spans="1:4" x14ac:dyDescent="0.25">
      <c r="A13" s="3">
        <f ca="1">EDATE(A12,12)</f>
        <v>44281</v>
      </c>
      <c r="B13" t="s">
        <v>379</v>
      </c>
      <c r="D13">
        <f ca="1">_xll.BDH($B13,"PX_LAST",Today,Today)</f>
        <v>2865</v>
      </c>
    </row>
    <row r="14" spans="1:4" x14ac:dyDescent="0.25">
      <c r="A14" s="3">
        <f t="shared" ref="A14:A21" ca="1" si="1">EDATE(A13,12)</f>
        <v>44646</v>
      </c>
      <c r="B14" t="s">
        <v>380</v>
      </c>
      <c r="D14">
        <f ca="1">_xll.BDH($B14,"PX_LAST",Today,Today)</f>
        <v>5173.6899999999996</v>
      </c>
    </row>
    <row r="15" spans="1:4" x14ac:dyDescent="0.25">
      <c r="A15" s="3">
        <f t="shared" ca="1" si="1"/>
        <v>45011</v>
      </c>
      <c r="B15" t="s">
        <v>381</v>
      </c>
      <c r="D15">
        <f ca="1">_xll.BDH($B15,"PX_LAST",Today,Today)</f>
        <v>7827.34</v>
      </c>
    </row>
    <row r="16" spans="1:4" x14ac:dyDescent="0.25">
      <c r="A16" s="3">
        <f t="shared" ca="1" si="1"/>
        <v>45377</v>
      </c>
      <c r="B16" t="s">
        <v>382</v>
      </c>
      <c r="D16">
        <f ca="1">_xll.BDH($B16,"PX_LAST",Today,Today)</f>
        <v>10727.5</v>
      </c>
    </row>
    <row r="17" spans="1:4" x14ac:dyDescent="0.25">
      <c r="A17" s="3">
        <f t="shared" ca="1" si="1"/>
        <v>45742</v>
      </c>
      <c r="B17" t="s">
        <v>383</v>
      </c>
      <c r="D17" t="str">
        <f ca="1">_xll.BDH($B17,"PX_LAST",Today,Today)</f>
        <v>#N/A N/A</v>
      </c>
    </row>
    <row r="18" spans="1:4" x14ac:dyDescent="0.25">
      <c r="A18" s="3">
        <f t="shared" ca="1" si="1"/>
        <v>46107</v>
      </c>
      <c r="B18" t="s">
        <v>384</v>
      </c>
      <c r="D18">
        <f ca="1">_xll.BDH($B18,"PX_LAST",Today,Today)</f>
        <v>16909.5</v>
      </c>
    </row>
    <row r="19" spans="1:4" x14ac:dyDescent="0.25">
      <c r="A19" s="3">
        <f t="shared" ca="1" si="1"/>
        <v>46472</v>
      </c>
      <c r="B19" t="s">
        <v>385</v>
      </c>
      <c r="D19" t="str">
        <f ca="1">_xll.BDH($B19,"PX_LAST",Today,Today)</f>
        <v>#N/A N/A</v>
      </c>
    </row>
    <row r="20" spans="1:4" x14ac:dyDescent="0.25">
      <c r="A20" s="3">
        <f t="shared" ca="1" si="1"/>
        <v>46838</v>
      </c>
      <c r="B20" t="s">
        <v>386</v>
      </c>
      <c r="D20" t="str">
        <f ca="1">_xll.BDH($B20,"PX_LAST",Today,Today)</f>
        <v>#N/A N/A</v>
      </c>
    </row>
    <row r="21" spans="1:4" x14ac:dyDescent="0.25">
      <c r="A21" s="3">
        <f t="shared" ca="1" si="1"/>
        <v>47203</v>
      </c>
      <c r="B21" t="s">
        <v>387</v>
      </c>
      <c r="D21">
        <f ca="1">_xll.BDH($B21,"PX_LAST",Today,Today)</f>
        <v>27107.31</v>
      </c>
    </row>
    <row r="24" spans="1:4" x14ac:dyDescent="0.25">
      <c r="A24" s="17" t="s">
        <v>229</v>
      </c>
      <c r="B24" s="17" t="s">
        <v>13</v>
      </c>
    </row>
    <row r="25" spans="1:4" x14ac:dyDescent="0.25">
      <c r="A25" t="s">
        <v>24</v>
      </c>
      <c r="B25" t="s">
        <v>388</v>
      </c>
      <c r="D25" t="s">
        <v>389</v>
      </c>
    </row>
    <row r="26" spans="1:4" x14ac:dyDescent="0.25">
      <c r="A26" s="3">
        <f ca="1">EDATE(Today,0.25)</f>
        <v>43550</v>
      </c>
      <c r="B26" t="s">
        <v>390</v>
      </c>
      <c r="D26">
        <f ca="1">_xll.BDH($B26,"PX_LAST",Today,Today)</f>
        <v>7.74</v>
      </c>
    </row>
    <row r="27" spans="1:4" x14ac:dyDescent="0.25">
      <c r="A27" s="3">
        <f ca="1">EDATE(Today,1)</f>
        <v>43581</v>
      </c>
      <c r="B27" t="s">
        <v>391</v>
      </c>
      <c r="D27">
        <f ca="1">_xll.BDH($B27,"PX_LAST",Today,Today)</f>
        <v>31.55</v>
      </c>
    </row>
    <row r="28" spans="1:4" x14ac:dyDescent="0.25">
      <c r="A28" s="3">
        <f ca="1">EDATE(A27,1)</f>
        <v>43611</v>
      </c>
      <c r="B28" t="s">
        <v>392</v>
      </c>
      <c r="D28">
        <f ca="1">_xll.BDH($B28,"PX_LAST",Today,Today)</f>
        <v>58.97</v>
      </c>
    </row>
    <row r="29" spans="1:4" x14ac:dyDescent="0.25">
      <c r="A29" s="3">
        <f t="shared" ref="A29:A32" ca="1" si="2">EDATE(A28,1)</f>
        <v>43642</v>
      </c>
      <c r="B29" t="s">
        <v>393</v>
      </c>
      <c r="D29">
        <f ca="1">_xll.BDH($B29,"PX_LAST",Today,Today)</f>
        <v>88.14</v>
      </c>
    </row>
    <row r="30" spans="1:4" x14ac:dyDescent="0.25">
      <c r="A30" s="3">
        <f t="shared" ca="1" si="2"/>
        <v>43672</v>
      </c>
      <c r="B30" t="s">
        <v>394</v>
      </c>
      <c r="D30">
        <f ca="1">_xll.BDH($B30,"PX_LAST",Today,Today)</f>
        <v>117.67</v>
      </c>
    </row>
    <row r="31" spans="1:4" x14ac:dyDescent="0.25">
      <c r="A31" s="3">
        <f t="shared" ca="1" si="2"/>
        <v>43703</v>
      </c>
      <c r="B31" t="s">
        <v>395</v>
      </c>
      <c r="D31">
        <f ca="1">_xll.BDH($B31,"PX_LAST",Today,Today)</f>
        <v>145.26</v>
      </c>
    </row>
    <row r="32" spans="1:4" x14ac:dyDescent="0.25">
      <c r="A32" s="3">
        <f t="shared" ca="1" si="2"/>
        <v>43734</v>
      </c>
      <c r="B32" t="s">
        <v>396</v>
      </c>
      <c r="D32">
        <f ca="1">_xll.BDH($B32,"PX_LAST",Today,Today)</f>
        <v>175.46</v>
      </c>
    </row>
    <row r="33" spans="1:4" x14ac:dyDescent="0.25">
      <c r="A33" s="3">
        <f ca="1">EDATE(A32,3)</f>
        <v>43825</v>
      </c>
      <c r="B33" t="s">
        <v>397</v>
      </c>
      <c r="D33">
        <f ca="1">_xll.BDH($B33,"PX_LAST",Today,Today)</f>
        <v>257.5</v>
      </c>
    </row>
    <row r="34" spans="1:4" x14ac:dyDescent="0.25">
      <c r="A34" s="3">
        <f ca="1">EDATE(A33,3)</f>
        <v>43916</v>
      </c>
      <c r="B34" t="s">
        <v>398</v>
      </c>
      <c r="D34">
        <f ca="1">_xll.BDH($B34,"PX_LAST",Today,Today)</f>
        <v>340.6</v>
      </c>
    </row>
    <row r="35" spans="1:4" x14ac:dyDescent="0.25">
      <c r="A35" s="3">
        <f ca="1">EDATE(A34,12)</f>
        <v>44281</v>
      </c>
      <c r="B35" t="s">
        <v>399</v>
      </c>
      <c r="D35">
        <f ca="1">_xll.BDH($B35,"PX_LAST",Today,Today)</f>
        <v>629.87</v>
      </c>
    </row>
    <row r="36" spans="1:4" x14ac:dyDescent="0.25">
      <c r="A36" s="3">
        <f t="shared" ref="A36:A43" ca="1" si="3">EDATE(A35,12)</f>
        <v>44646</v>
      </c>
      <c r="B36" t="s">
        <v>400</v>
      </c>
      <c r="D36">
        <f ca="1">_xll.BDH($B36,"PX_LAST",Today,Today)</f>
        <v>896.5</v>
      </c>
    </row>
    <row r="37" spans="1:4" x14ac:dyDescent="0.25">
      <c r="A37" s="3">
        <f t="shared" ca="1" si="3"/>
        <v>45011</v>
      </c>
      <c r="B37" t="s">
        <v>401</v>
      </c>
      <c r="D37">
        <f ca="1">_xll.BDH($B37,"PX_LAST",Today,Today)</f>
        <v>1161.4000000000001</v>
      </c>
    </row>
    <row r="38" spans="1:4" x14ac:dyDescent="0.25">
      <c r="A38" s="3">
        <f t="shared" ca="1" si="3"/>
        <v>45377</v>
      </c>
      <c r="B38" t="s">
        <v>402</v>
      </c>
      <c r="D38">
        <f ca="1">_xll.BDH($B38,"PX_LAST",Today,Today)</f>
        <v>1424.25</v>
      </c>
    </row>
    <row r="39" spans="1:4" x14ac:dyDescent="0.25">
      <c r="A39" s="3">
        <f t="shared" ca="1" si="3"/>
        <v>45742</v>
      </c>
      <c r="B39" t="s">
        <v>403</v>
      </c>
      <c r="D39">
        <f ca="1">_xll.BDH($B39,"PX_LAST",Today,Today)</f>
        <v>1679</v>
      </c>
    </row>
    <row r="40" spans="1:4" x14ac:dyDescent="0.25">
      <c r="A40" s="3">
        <f t="shared" ca="1" si="3"/>
        <v>46107</v>
      </c>
      <c r="B40" t="s">
        <v>404</v>
      </c>
      <c r="D40">
        <f ca="1">_xll.BDH($B40,"PX_LAST",Today,Today)</f>
        <v>1928.5</v>
      </c>
    </row>
    <row r="41" spans="1:4" x14ac:dyDescent="0.25">
      <c r="A41" s="3">
        <f t="shared" ca="1" si="3"/>
        <v>46472</v>
      </c>
      <c r="B41" t="s">
        <v>405</v>
      </c>
      <c r="D41">
        <f ca="1">_xll.BDH($B41,"PX_LAST",Today,Today)</f>
        <v>2170</v>
      </c>
    </row>
    <row r="42" spans="1:4" x14ac:dyDescent="0.25">
      <c r="A42" s="3">
        <f t="shared" ca="1" si="3"/>
        <v>46838</v>
      </c>
      <c r="B42" t="s">
        <v>406</v>
      </c>
      <c r="D42">
        <f ca="1">_xll.BDH($B42,"PX_LAST",Today,Today)</f>
        <v>2400</v>
      </c>
    </row>
    <row r="43" spans="1:4" x14ac:dyDescent="0.25">
      <c r="A43" s="3">
        <f t="shared" ca="1" si="3"/>
        <v>47203</v>
      </c>
      <c r="B43" t="s">
        <v>407</v>
      </c>
      <c r="D43">
        <f ca="1">_xll.BDH($B43,"PX_LAST",Today,Today)</f>
        <v>2620</v>
      </c>
    </row>
    <row r="46" spans="1:4" x14ac:dyDescent="0.25">
      <c r="A46" s="17" t="s">
        <v>229</v>
      </c>
      <c r="B46" s="17" t="s">
        <v>14</v>
      </c>
    </row>
    <row r="47" spans="1:4" x14ac:dyDescent="0.25">
      <c r="A47" t="s">
        <v>24</v>
      </c>
      <c r="B47" t="s">
        <v>388</v>
      </c>
      <c r="D47" t="s">
        <v>389</v>
      </c>
    </row>
    <row r="48" spans="1:4" x14ac:dyDescent="0.25">
      <c r="A48" s="3">
        <f ca="1">EDATE(Today,0.25)</f>
        <v>43550</v>
      </c>
      <c r="B48" t="s">
        <v>408</v>
      </c>
      <c r="D48">
        <f ca="1">_xll.BDH(B48,"PX_LAST",Today,Today)</f>
        <v>5.85</v>
      </c>
    </row>
    <row r="49" spans="1:4" x14ac:dyDescent="0.25">
      <c r="A49" s="3">
        <f ca="1">EDATE(Today,1)</f>
        <v>43581</v>
      </c>
      <c r="B49" t="s">
        <v>409</v>
      </c>
      <c r="D49">
        <f ca="1">_xll.BDH(B49,"PX_LAST",Today,Today)</f>
        <v>21.95</v>
      </c>
    </row>
    <row r="50" spans="1:4" x14ac:dyDescent="0.25">
      <c r="A50" s="3">
        <f ca="1">EDATE(A49,1)</f>
        <v>43611</v>
      </c>
      <c r="B50" t="s">
        <v>410</v>
      </c>
      <c r="D50">
        <f ca="1">_xll.BDH(B50,"PX_LAST",Today,Today)</f>
        <v>40.450000000000003</v>
      </c>
    </row>
    <row r="51" spans="1:4" x14ac:dyDescent="0.25">
      <c r="A51" s="3">
        <f t="shared" ref="A51:A54" ca="1" si="4">EDATE(A50,1)</f>
        <v>43642</v>
      </c>
      <c r="B51" t="s">
        <v>411</v>
      </c>
      <c r="D51">
        <f ca="1">_xll.BDH(B51,"PX_LAST",Today,Today)</f>
        <v>60.18</v>
      </c>
    </row>
    <row r="52" spans="1:4" x14ac:dyDescent="0.25">
      <c r="A52" s="3">
        <f t="shared" ca="1" si="4"/>
        <v>43672</v>
      </c>
      <c r="B52" t="s">
        <v>412</v>
      </c>
      <c r="D52">
        <f ca="1">_xll.BDH(B52,"PX_LAST",Today,Today)</f>
        <v>80.3</v>
      </c>
    </row>
    <row r="53" spans="1:4" x14ac:dyDescent="0.25">
      <c r="A53" s="3">
        <f t="shared" ca="1" si="4"/>
        <v>43703</v>
      </c>
      <c r="B53" t="s">
        <v>413</v>
      </c>
      <c r="D53">
        <f ca="1">_xll.BDH(B53,"PX_LAST",Today,Today)</f>
        <v>98.57</v>
      </c>
    </row>
    <row r="54" spans="1:4" x14ac:dyDescent="0.25">
      <c r="A54" s="3">
        <f t="shared" ca="1" si="4"/>
        <v>43734</v>
      </c>
      <c r="B54" t="s">
        <v>414</v>
      </c>
      <c r="D54">
        <f ca="1">_xll.BDH(B54,"PX_LAST",Today,Today)</f>
        <v>118.26</v>
      </c>
    </row>
    <row r="55" spans="1:4" x14ac:dyDescent="0.25">
      <c r="A55" s="3">
        <f ca="1">EDATE(A54,3)</f>
        <v>43825</v>
      </c>
      <c r="B55" t="s">
        <v>415</v>
      </c>
      <c r="D55">
        <f ca="1">_xll.BDH(B55,"PX_LAST",Today,Today)</f>
        <v>170.75</v>
      </c>
    </row>
    <row r="56" spans="1:4" x14ac:dyDescent="0.25">
      <c r="A56" s="3">
        <f ca="1">EDATE(A55,3)</f>
        <v>43916</v>
      </c>
      <c r="B56" t="s">
        <v>416</v>
      </c>
      <c r="D56">
        <f ca="1">_xll.BDH(B56,"PX_LAST",Today,Today)</f>
        <v>222.31</v>
      </c>
    </row>
    <row r="57" spans="1:4" x14ac:dyDescent="0.25">
      <c r="A57" s="3">
        <f ca="1">EDATE(A56,12)</f>
        <v>44281</v>
      </c>
      <c r="B57" t="s">
        <v>417</v>
      </c>
      <c r="D57">
        <f ca="1">_xll.BDH(B57,"PX_LAST",Today,Today)</f>
        <v>384.36</v>
      </c>
    </row>
    <row r="58" spans="1:4" x14ac:dyDescent="0.25">
      <c r="A58" s="3">
        <f t="shared" ref="A58:A65" ca="1" si="5">EDATE(A57,12)</f>
        <v>44646</v>
      </c>
      <c r="B58" t="s">
        <v>418</v>
      </c>
      <c r="D58">
        <f ca="1">_xll.BDH(B58,"PX_LAST",Today,Today)</f>
        <v>522.13</v>
      </c>
    </row>
    <row r="59" spans="1:4" x14ac:dyDescent="0.25">
      <c r="A59" s="3">
        <f t="shared" ca="1" si="5"/>
        <v>45011</v>
      </c>
      <c r="B59" t="s">
        <v>419</v>
      </c>
      <c r="D59">
        <f ca="1">_xll.BDH(B59,"PX_LAST",Today,Today)</f>
        <v>659</v>
      </c>
    </row>
    <row r="60" spans="1:4" x14ac:dyDescent="0.25">
      <c r="A60" s="3">
        <f t="shared" ca="1" si="5"/>
        <v>45377</v>
      </c>
      <c r="B60" t="s">
        <v>420</v>
      </c>
      <c r="D60">
        <f ca="1">_xll.BDH(B60,"PX_LAST",Today,Today)</f>
        <v>802.6</v>
      </c>
    </row>
    <row r="61" spans="1:4" x14ac:dyDescent="0.25">
      <c r="A61" s="3">
        <f t="shared" ca="1" si="5"/>
        <v>45742</v>
      </c>
      <c r="B61" t="s">
        <v>421</v>
      </c>
      <c r="D61">
        <f ca="1">_xll.BDH(B61,"PX_LAST",Today,Today)</f>
        <v>951.5</v>
      </c>
    </row>
    <row r="62" spans="1:4" x14ac:dyDescent="0.25">
      <c r="A62" s="3">
        <f t="shared" ca="1" si="5"/>
        <v>46107</v>
      </c>
      <c r="B62" t="s">
        <v>422</v>
      </c>
      <c r="D62">
        <f ca="1">_xll.BDH(B62,"PX_LAST",Today,Today)</f>
        <v>1104.5</v>
      </c>
    </row>
    <row r="63" spans="1:4" x14ac:dyDescent="0.25">
      <c r="A63" s="3">
        <f t="shared" ca="1" si="5"/>
        <v>46472</v>
      </c>
      <c r="B63" t="s">
        <v>423</v>
      </c>
      <c r="D63">
        <f ca="1">_xll.BDH(B63,"PX_LAST",Today,Today)</f>
        <v>1268.5</v>
      </c>
    </row>
    <row r="64" spans="1:4" x14ac:dyDescent="0.25">
      <c r="A64" s="3">
        <f t="shared" ca="1" si="5"/>
        <v>46838</v>
      </c>
      <c r="B64" t="s">
        <v>424</v>
      </c>
      <c r="D64">
        <f ca="1">_xll.BDH(B64,"PX_LAST",Today,Today)</f>
        <v>1427</v>
      </c>
    </row>
    <row r="65" spans="1:4" x14ac:dyDescent="0.25">
      <c r="A65" s="3">
        <f t="shared" ca="1" si="5"/>
        <v>47203</v>
      </c>
      <c r="B65" t="s">
        <v>425</v>
      </c>
      <c r="D65">
        <f ca="1">_xll.BDH(B65,"PX_LAST",Today,Today)</f>
        <v>1589.82</v>
      </c>
    </row>
    <row r="68" spans="1:4" x14ac:dyDescent="0.25">
      <c r="A68" s="17" t="s">
        <v>229</v>
      </c>
      <c r="B68" s="17" t="s">
        <v>19</v>
      </c>
    </row>
    <row r="69" spans="1:4" x14ac:dyDescent="0.25">
      <c r="A69" t="s">
        <v>24</v>
      </c>
      <c r="B69" t="s">
        <v>388</v>
      </c>
      <c r="D69" t="s">
        <v>389</v>
      </c>
    </row>
    <row r="70" spans="1:4" x14ac:dyDescent="0.25">
      <c r="A70" s="3">
        <f ca="1">EDATE(Today,0.25)</f>
        <v>43550</v>
      </c>
      <c r="B70" t="s">
        <v>427</v>
      </c>
      <c r="D70">
        <f ca="1">_xll.BDH(B70,"PX_LAST",Today,Today)</f>
        <v>-8</v>
      </c>
    </row>
    <row r="71" spans="1:4" x14ac:dyDescent="0.25">
      <c r="A71" s="3">
        <f ca="1">EDATE(Today,1)</f>
        <v>43581</v>
      </c>
      <c r="B71" t="s">
        <v>428</v>
      </c>
      <c r="D71">
        <f ca="1">_xll.BDH(B71,"PX_LAST",Today,Today)</f>
        <v>-26.54</v>
      </c>
    </row>
    <row r="72" spans="1:4" x14ac:dyDescent="0.25">
      <c r="A72" s="3">
        <f ca="1">EDATE(A71,1)</f>
        <v>43611</v>
      </c>
      <c r="B72" t="s">
        <v>429</v>
      </c>
      <c r="D72">
        <f ca="1">_xll.BDH(B72,"PX_LAST",Today,Today)</f>
        <v>-53.9</v>
      </c>
    </row>
    <row r="73" spans="1:4" x14ac:dyDescent="0.25">
      <c r="A73" s="3">
        <f t="shared" ref="A73:A76" ca="1" si="6">EDATE(A72,1)</f>
        <v>43642</v>
      </c>
      <c r="B73" t="s">
        <v>430</v>
      </c>
      <c r="D73">
        <f ca="1">_xll.BDH(B73,"PX_LAST",Today,Today)</f>
        <v>-79.95</v>
      </c>
    </row>
    <row r="74" spans="1:4" x14ac:dyDescent="0.25">
      <c r="A74" s="3">
        <f t="shared" ca="1" si="6"/>
        <v>43672</v>
      </c>
      <c r="B74" t="s">
        <v>431</v>
      </c>
      <c r="D74">
        <f ca="1">_xll.BDH(B74,"PX_LAST",Today,Today)</f>
        <v>-107.5</v>
      </c>
    </row>
    <row r="75" spans="1:4" x14ac:dyDescent="0.25">
      <c r="A75" s="3">
        <f t="shared" ca="1" si="6"/>
        <v>43703</v>
      </c>
      <c r="B75" t="s">
        <v>432</v>
      </c>
      <c r="D75">
        <f ca="1">_xll.BDH(B75,"PX_LAST",Today,Today)</f>
        <v>-132.18</v>
      </c>
    </row>
    <row r="76" spans="1:4" x14ac:dyDescent="0.25">
      <c r="A76" s="3">
        <f t="shared" ca="1" si="6"/>
        <v>43734</v>
      </c>
      <c r="B76" t="s">
        <v>433</v>
      </c>
      <c r="D76">
        <f ca="1">_xll.BDH(B76,"PX_LAST",Today,Today)</f>
        <v>-159.12</v>
      </c>
    </row>
    <row r="77" spans="1:4" x14ac:dyDescent="0.25">
      <c r="A77" s="3">
        <f ca="1">EDATE(A76,3)</f>
        <v>43825</v>
      </c>
      <c r="B77" t="s">
        <v>434</v>
      </c>
      <c r="D77">
        <f ca="1">_xll.BDH(B77,"PX_LAST",Today,Today)</f>
        <v>-233.07</v>
      </c>
    </row>
    <row r="78" spans="1:4" x14ac:dyDescent="0.25">
      <c r="A78" s="3">
        <f ca="1">EDATE(A77,3)</f>
        <v>43916</v>
      </c>
      <c r="B78" t="s">
        <v>435</v>
      </c>
      <c r="D78">
        <f ca="1">_xll.BDH(B78,"PX_LAST",Today,Today)</f>
        <v>-312</v>
      </c>
    </row>
    <row r="79" spans="1:4" x14ac:dyDescent="0.25">
      <c r="A79" s="3">
        <f ca="1">EDATE(A78,12)</f>
        <v>44281</v>
      </c>
      <c r="B79" t="s">
        <v>436</v>
      </c>
      <c r="D79">
        <f ca="1">_xll.BDH(B79,"PX_LAST",Today,Today)</f>
        <v>-587.28</v>
      </c>
    </row>
    <row r="80" spans="1:4" x14ac:dyDescent="0.25">
      <c r="A80" s="3">
        <f t="shared" ref="A80:A87" ca="1" si="7">EDATE(A79,12)</f>
        <v>44646</v>
      </c>
      <c r="B80" t="s">
        <v>437</v>
      </c>
      <c r="D80">
        <f ca="1">_xll.BDH(B80,"PX_LAST",Today,Today)</f>
        <v>-857.57</v>
      </c>
    </row>
    <row r="81" spans="1:4" x14ac:dyDescent="0.25">
      <c r="A81" s="3">
        <f t="shared" ca="1" si="7"/>
        <v>45011</v>
      </c>
      <c r="B81" t="s">
        <v>438</v>
      </c>
      <c r="D81">
        <f ca="1">_xll.BDH(B81,"PX_LAST",Today,Today)</f>
        <v>-1134.25</v>
      </c>
    </row>
    <row r="82" spans="1:4" x14ac:dyDescent="0.25">
      <c r="A82" s="3">
        <f t="shared" ca="1" si="7"/>
        <v>45377</v>
      </c>
      <c r="B82" t="s">
        <v>439</v>
      </c>
      <c r="D82">
        <f ca="1">_xll.BDH(B82,"PX_LAST",Today,Today)</f>
        <v>-1416.45</v>
      </c>
    </row>
    <row r="83" spans="1:4" x14ac:dyDescent="0.25">
      <c r="A83" s="3">
        <f t="shared" ca="1" si="7"/>
        <v>45742</v>
      </c>
      <c r="B83" t="s">
        <v>440</v>
      </c>
      <c r="D83">
        <f ca="1">_xll.BDH(B83,"PX_LAST",Today,Today)</f>
        <v>-1696.85</v>
      </c>
    </row>
    <row r="84" spans="1:4" x14ac:dyDescent="0.25">
      <c r="A84" s="3">
        <f t="shared" ca="1" si="7"/>
        <v>46107</v>
      </c>
      <c r="B84" t="s">
        <v>441</v>
      </c>
      <c r="D84">
        <f ca="1">_xll.BDH(B84,"PX_LAST",Today,Today)</f>
        <v>-1971.18</v>
      </c>
    </row>
    <row r="85" spans="1:4" x14ac:dyDescent="0.25">
      <c r="A85" s="3">
        <f t="shared" ca="1" si="7"/>
        <v>46472</v>
      </c>
      <c r="B85" t="s">
        <v>442</v>
      </c>
      <c r="D85">
        <f ca="1">_xll.BDH(B85,"PX_LAST",Today,Today)</f>
        <v>-2238.4</v>
      </c>
    </row>
    <row r="86" spans="1:4" x14ac:dyDescent="0.25">
      <c r="A86" s="3">
        <f t="shared" ca="1" si="7"/>
        <v>46838</v>
      </c>
      <c r="B86" t="s">
        <v>443</v>
      </c>
      <c r="D86">
        <f ca="1">_xll.BDH(B86,"PX_LAST",Today,Today)</f>
        <v>-2491.5</v>
      </c>
    </row>
    <row r="87" spans="1:4" x14ac:dyDescent="0.25">
      <c r="A87" s="3">
        <f t="shared" ca="1" si="7"/>
        <v>47203</v>
      </c>
      <c r="B87" t="s">
        <v>444</v>
      </c>
      <c r="D87">
        <f ca="1">_xll.BDH(B87,"PX_LAST",Today,Today)</f>
        <v>-2735.5</v>
      </c>
    </row>
    <row r="90" spans="1:4" x14ac:dyDescent="0.25">
      <c r="A90" s="17" t="s">
        <v>229</v>
      </c>
      <c r="B90" s="17" t="s">
        <v>21</v>
      </c>
    </row>
    <row r="91" spans="1:4" x14ac:dyDescent="0.25">
      <c r="A91" t="s">
        <v>24</v>
      </c>
      <c r="B91" t="s">
        <v>388</v>
      </c>
      <c r="D91" t="s">
        <v>389</v>
      </c>
    </row>
    <row r="92" spans="1:4" x14ac:dyDescent="0.25">
      <c r="A92" s="3">
        <f ca="1">EDATE(Today,0.25)</f>
        <v>43550</v>
      </c>
      <c r="B92" t="s">
        <v>445</v>
      </c>
      <c r="D92">
        <f ca="1">_xll.BDH(B92,"PX_LAST",Today,Today)</f>
        <v>-3.38</v>
      </c>
    </row>
    <row r="93" spans="1:4" x14ac:dyDescent="0.25">
      <c r="A93" s="3">
        <f ca="1">EDATE(Today,1)</f>
        <v>43581</v>
      </c>
      <c r="B93" t="s">
        <v>446</v>
      </c>
      <c r="D93">
        <f ca="1">_xll.BDH(B93,"PX_LAST",Today,Today)</f>
        <v>-12.17</v>
      </c>
    </row>
    <row r="94" spans="1:4" x14ac:dyDescent="0.25">
      <c r="A94" s="3">
        <f ca="1">EDATE(A93,1)</f>
        <v>43611</v>
      </c>
      <c r="B94" t="s">
        <v>447</v>
      </c>
      <c r="D94">
        <f ca="1">_xll.BDH(B94,"PX_LAST",Today,Today)</f>
        <v>-21.55</v>
      </c>
    </row>
    <row r="95" spans="1:4" x14ac:dyDescent="0.25">
      <c r="A95" s="3">
        <f t="shared" ref="A95:A98" ca="1" si="8">EDATE(A94,1)</f>
        <v>43642</v>
      </c>
      <c r="B95" t="s">
        <v>448</v>
      </c>
      <c r="D95">
        <f ca="1">_xll.BDH(B95,"PX_LAST",Today,Today)</f>
        <v>-30.77</v>
      </c>
    </row>
    <row r="96" spans="1:4" x14ac:dyDescent="0.25">
      <c r="A96" s="3">
        <f t="shared" ca="1" si="8"/>
        <v>43672</v>
      </c>
      <c r="B96" t="s">
        <v>449</v>
      </c>
      <c r="D96">
        <f ca="1">_xll.BDH(B96,"PX_LAST",Today,Today)</f>
        <v>-41.23</v>
      </c>
    </row>
    <row r="97" spans="1:4" x14ac:dyDescent="0.25">
      <c r="A97" s="3">
        <f t="shared" ca="1" si="8"/>
        <v>43703</v>
      </c>
      <c r="B97" t="s">
        <v>450</v>
      </c>
      <c r="D97">
        <f ca="1">_xll.BDH(B97,"PX_LAST",Today,Today)</f>
        <v>-49.5</v>
      </c>
    </row>
    <row r="98" spans="1:4" x14ac:dyDescent="0.25">
      <c r="A98" s="3">
        <f t="shared" ca="1" si="8"/>
        <v>43734</v>
      </c>
      <c r="B98" t="s">
        <v>451</v>
      </c>
      <c r="D98">
        <f ca="1">_xll.BDH(B98,"PX_LAST",Today,Today)</f>
        <v>-58.35</v>
      </c>
    </row>
    <row r="99" spans="1:4" x14ac:dyDescent="0.25">
      <c r="A99" s="3">
        <f ca="1">EDATE(A98,3)</f>
        <v>43825</v>
      </c>
      <c r="B99" t="s">
        <v>452</v>
      </c>
      <c r="D99">
        <f ca="1">_xll.BDH(B99,"PX_LAST",Today,Today)</f>
        <v>-84.1</v>
      </c>
    </row>
    <row r="100" spans="1:4" x14ac:dyDescent="0.25">
      <c r="A100" s="3">
        <f ca="1">EDATE(A99,3)</f>
        <v>43916</v>
      </c>
      <c r="B100" t="s">
        <v>453</v>
      </c>
      <c r="D100">
        <f ca="1">_xll.BDH(B100,"PX_LAST",Today,Today)</f>
        <v>-109.29</v>
      </c>
    </row>
    <row r="101" spans="1:4" x14ac:dyDescent="0.25">
      <c r="A101" s="3">
        <f ca="1">EDATE(A100,12)</f>
        <v>44281</v>
      </c>
      <c r="B101" t="s">
        <v>454</v>
      </c>
      <c r="D101">
        <f ca="1">_xll.BDH(B101,"PX_LAST",Today,Today)</f>
        <v>-180.81</v>
      </c>
    </row>
    <row r="102" spans="1:4" x14ac:dyDescent="0.25">
      <c r="A102" s="3">
        <f t="shared" ref="A102:A109" ca="1" si="9">EDATE(A101,12)</f>
        <v>44646</v>
      </c>
      <c r="B102" t="s">
        <v>455</v>
      </c>
      <c r="D102">
        <f ca="1">_xll.BDH(B102,"PX_LAST",Today,Today)</f>
        <v>-238</v>
      </c>
    </row>
    <row r="103" spans="1:4" x14ac:dyDescent="0.25">
      <c r="A103" s="3">
        <f t="shared" ca="1" si="9"/>
        <v>45011</v>
      </c>
      <c r="B103" t="s">
        <v>456</v>
      </c>
      <c r="D103">
        <f ca="1">_xll.BDH(B103,"PX_LAST",Today,Today)</f>
        <v>-278.8</v>
      </c>
    </row>
    <row r="104" spans="1:4" x14ac:dyDescent="0.25">
      <c r="A104" s="3">
        <f t="shared" ca="1" si="9"/>
        <v>45377</v>
      </c>
      <c r="B104" t="s">
        <v>457</v>
      </c>
      <c r="D104">
        <f ca="1">_xll.BDH(B104,"PX_LAST",Today,Today)</f>
        <v>-327.52999999999997</v>
      </c>
    </row>
    <row r="105" spans="1:4" x14ac:dyDescent="0.25">
      <c r="A105" s="3">
        <f t="shared" ca="1" si="9"/>
        <v>45742</v>
      </c>
      <c r="B105" t="s">
        <v>458</v>
      </c>
      <c r="D105">
        <f ca="1">_xll.BDH(B105,"PX_LAST",Today,Today)</f>
        <v>-369.9</v>
      </c>
    </row>
    <row r="106" spans="1:4" x14ac:dyDescent="0.25">
      <c r="A106" s="3">
        <f t="shared" ca="1" si="9"/>
        <v>46107</v>
      </c>
      <c r="B106" t="s">
        <v>459</v>
      </c>
      <c r="D106">
        <f ca="1">_xll.BDH(B106,"PX_LAST",Today,Today)</f>
        <v>-415.64</v>
      </c>
    </row>
    <row r="107" spans="1:4" x14ac:dyDescent="0.25">
      <c r="A107" s="3">
        <f t="shared" ca="1" si="9"/>
        <v>46472</v>
      </c>
      <c r="B107" t="s">
        <v>460</v>
      </c>
      <c r="D107">
        <f ca="1">_xll.BDH(B107,"PX_LAST",Today,Today)</f>
        <v>-466</v>
      </c>
    </row>
    <row r="108" spans="1:4" x14ac:dyDescent="0.25">
      <c r="A108" s="3">
        <f t="shared" ca="1" si="9"/>
        <v>46838</v>
      </c>
      <c r="B108" t="s">
        <v>461</v>
      </c>
      <c r="D108">
        <f ca="1">_xll.BDH(B108,"PX_LAST",Today,Today)</f>
        <v>-506.7</v>
      </c>
    </row>
    <row r="109" spans="1:4" x14ac:dyDescent="0.25">
      <c r="A109" s="3">
        <f t="shared" ca="1" si="9"/>
        <v>47203</v>
      </c>
      <c r="B109" t="s">
        <v>462</v>
      </c>
      <c r="D109">
        <f ca="1">_xll.BDH(B109,"PX_LAST",Today,Today)</f>
        <v>-535.6</v>
      </c>
    </row>
    <row r="112" spans="1:4" x14ac:dyDescent="0.25">
      <c r="A112" s="17" t="s">
        <v>229</v>
      </c>
      <c r="B112" s="17" t="s">
        <v>247</v>
      </c>
    </row>
    <row r="113" spans="1:4" x14ac:dyDescent="0.25">
      <c r="A113" t="s">
        <v>24</v>
      </c>
      <c r="B113" t="s">
        <v>388</v>
      </c>
      <c r="D113" t="s">
        <v>389</v>
      </c>
    </row>
    <row r="114" spans="1:4" x14ac:dyDescent="0.25">
      <c r="A114" s="3">
        <f ca="1">EDATE(Today,0.25)</f>
        <v>43550</v>
      </c>
      <c r="B114" t="s">
        <v>463</v>
      </c>
      <c r="D114">
        <f ca="1">_xll.BDH(B114,"PX_LAST",Today,Today)</f>
        <v>-7.57</v>
      </c>
    </row>
    <row r="115" spans="1:4" x14ac:dyDescent="0.25">
      <c r="A115" s="3">
        <f ca="1">EDATE(Today,1)</f>
        <v>43581</v>
      </c>
      <c r="B115" t="s">
        <v>464</v>
      </c>
      <c r="D115">
        <f ca="1">_xll.BDH(B115,"PX_LAST",Today,Today)</f>
        <v>-30.88</v>
      </c>
    </row>
    <row r="116" spans="1:4" x14ac:dyDescent="0.25">
      <c r="A116" s="3">
        <f ca="1">EDATE(A115,1)</f>
        <v>43611</v>
      </c>
      <c r="B116" t="s">
        <v>465</v>
      </c>
      <c r="D116">
        <f ca="1">_xll.BDH(B116,"PX_LAST",Today,Today)</f>
        <v>-57.74</v>
      </c>
    </row>
    <row r="117" spans="1:4" x14ac:dyDescent="0.25">
      <c r="A117" s="3">
        <f t="shared" ref="A117:A120" ca="1" si="10">EDATE(A116,1)</f>
        <v>43642</v>
      </c>
      <c r="B117" t="s">
        <v>466</v>
      </c>
      <c r="D117">
        <f ca="1">_xll.BDH(B117,"PX_LAST",Today,Today)</f>
        <v>-86.22</v>
      </c>
    </row>
    <row r="118" spans="1:4" x14ac:dyDescent="0.25">
      <c r="A118" s="3">
        <f t="shared" ca="1" si="10"/>
        <v>43672</v>
      </c>
      <c r="B118" t="s">
        <v>467</v>
      </c>
      <c r="D118">
        <f ca="1">_xll.BDH(B118,"PX_LAST",Today,Today)</f>
        <v>-115.01</v>
      </c>
    </row>
    <row r="119" spans="1:4" x14ac:dyDescent="0.25">
      <c r="A119" s="3">
        <f t="shared" ca="1" si="10"/>
        <v>43703</v>
      </c>
      <c r="B119" t="s">
        <v>468</v>
      </c>
      <c r="D119">
        <f ca="1">_xll.BDH(B119,"PX_LAST",Today,Today)</f>
        <v>-141.85</v>
      </c>
    </row>
    <row r="120" spans="1:4" x14ac:dyDescent="0.25">
      <c r="A120" s="3">
        <f t="shared" ca="1" si="10"/>
        <v>43734</v>
      </c>
      <c r="B120" t="s">
        <v>469</v>
      </c>
      <c r="D120">
        <f ca="1">_xll.BDH(B120,"PX_LAST",Today,Today)</f>
        <v>-170.89</v>
      </c>
    </row>
    <row r="121" spans="1:4" x14ac:dyDescent="0.25">
      <c r="A121" s="3">
        <f ca="1">EDATE(A120,3)</f>
        <v>43825</v>
      </c>
      <c r="B121" t="s">
        <v>470</v>
      </c>
      <c r="D121">
        <f ca="1">_xll.BDH(B121,"PX_LAST",Today,Today)</f>
        <v>-249.85</v>
      </c>
    </row>
    <row r="122" spans="1:4" x14ac:dyDescent="0.25">
      <c r="A122" s="3">
        <f ca="1">EDATE(A121,3)</f>
        <v>43916</v>
      </c>
      <c r="B122" t="s">
        <v>471</v>
      </c>
      <c r="D122">
        <f ca="1">_xll.BDH(B122,"PX_LAST",Today,Today)</f>
        <v>-329.41</v>
      </c>
    </row>
    <row r="123" spans="1:4" x14ac:dyDescent="0.25">
      <c r="A123" s="3">
        <f ca="1">EDATE(A122,12)</f>
        <v>44281</v>
      </c>
      <c r="B123" t="s">
        <v>472</v>
      </c>
      <c r="D123">
        <f ca="1">_xll.BDH(B123,"PX_LAST",Today,Today)</f>
        <v>-606</v>
      </c>
    </row>
    <row r="124" spans="1:4" x14ac:dyDescent="0.25">
      <c r="A124" s="3">
        <f t="shared" ref="A124:A131" ca="1" si="11">EDATE(A123,12)</f>
        <v>44646</v>
      </c>
      <c r="B124" t="s">
        <v>473</v>
      </c>
      <c r="D124">
        <f ca="1">_xll.BDH(B124,"PX_LAST",Today,Today)</f>
        <v>-852.83</v>
      </c>
    </row>
    <row r="125" spans="1:4" x14ac:dyDescent="0.25">
      <c r="A125" s="3">
        <f t="shared" ca="1" si="11"/>
        <v>45011</v>
      </c>
      <c r="B125" t="s">
        <v>474</v>
      </c>
      <c r="D125">
        <f ca="1">_xll.BDH(B125,"PX_LAST",Today,Today)</f>
        <v>-1086.92</v>
      </c>
    </row>
    <row r="126" spans="1:4" x14ac:dyDescent="0.25">
      <c r="A126" s="3">
        <f t="shared" ca="1" si="11"/>
        <v>45377</v>
      </c>
      <c r="B126" t="s">
        <v>475</v>
      </c>
      <c r="D126">
        <f ca="1">_xll.BDH(B126,"PX_LAST",Today,Today)</f>
        <v>-1314.51</v>
      </c>
    </row>
    <row r="127" spans="1:4" x14ac:dyDescent="0.25">
      <c r="A127" s="3">
        <f t="shared" ca="1" si="11"/>
        <v>45742</v>
      </c>
      <c r="B127" t="s">
        <v>476</v>
      </c>
      <c r="D127">
        <f ca="1">_xll.BDH(B127,"PX_LAST",Today,Today)</f>
        <v>-1533.5</v>
      </c>
    </row>
    <row r="128" spans="1:4" x14ac:dyDescent="0.25">
      <c r="A128" s="3">
        <f t="shared" ca="1" si="11"/>
        <v>46107</v>
      </c>
      <c r="B128" t="s">
        <v>477</v>
      </c>
      <c r="D128">
        <f ca="1">_xll.BDH(B128,"PX_LAST",Today,Today)</f>
        <v>-1741.18</v>
      </c>
    </row>
    <row r="129" spans="1:4" x14ac:dyDescent="0.25">
      <c r="A129" s="3">
        <f t="shared" ca="1" si="11"/>
        <v>46472</v>
      </c>
      <c r="B129" t="s">
        <v>478</v>
      </c>
      <c r="D129">
        <f ca="1">_xll.BDH(B129,"PX_LAST",Today,Today)</f>
        <v>-1944.93</v>
      </c>
    </row>
    <row r="130" spans="1:4" x14ac:dyDescent="0.25">
      <c r="A130" s="3">
        <f t="shared" ca="1" si="11"/>
        <v>46838</v>
      </c>
      <c r="B130" t="s">
        <v>479</v>
      </c>
      <c r="D130">
        <f ca="1">_xll.BDH(B130,"PX_LAST",Today,Today)</f>
        <v>-2130.5</v>
      </c>
    </row>
    <row r="131" spans="1:4" x14ac:dyDescent="0.25">
      <c r="A131" s="3">
        <f t="shared" ca="1" si="11"/>
        <v>47203</v>
      </c>
      <c r="B131" t="s">
        <v>480</v>
      </c>
      <c r="D131">
        <f ca="1">_xll.BDH(B131,"PX_LAST",Today,Today)</f>
        <v>-2310.25</v>
      </c>
    </row>
  </sheetData>
  <mergeCells count="1">
    <mergeCell ref="A1: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13</vt:i4>
      </vt:variant>
    </vt:vector>
  </HeadingPairs>
  <TitlesOfParts>
    <vt:vector size="23" baseType="lpstr">
      <vt:lpstr>Pricer</vt:lpstr>
      <vt:lpstr>DFs</vt:lpstr>
      <vt:lpstr>Schedule</vt:lpstr>
      <vt:lpstr>Vol_Surface</vt:lpstr>
      <vt:lpstr>Rate_History</vt:lpstr>
      <vt:lpstr>Rate_Live</vt:lpstr>
      <vt:lpstr>FX_Live</vt:lpstr>
      <vt:lpstr>FX_Curve_Live</vt:lpstr>
      <vt:lpstr>FX_Curve_History</vt:lpstr>
      <vt:lpstr>FXFR</vt:lpstr>
      <vt:lpstr>Cash_Date</vt:lpstr>
      <vt:lpstr>Future_Date</vt:lpstr>
      <vt:lpstr>Rate_History!JPY_1Y_Adj</vt:lpstr>
      <vt:lpstr>JPY_1Y_Adj</vt:lpstr>
      <vt:lpstr>Rate_History!JPY_2Y_Adj</vt:lpstr>
      <vt:lpstr>JPY_2Y_Adj</vt:lpstr>
      <vt:lpstr>Pre_Date</vt:lpstr>
      <vt:lpstr>Rate_History!Pre_Date_BRL</vt:lpstr>
      <vt:lpstr>Pre_Date_BRL</vt:lpstr>
      <vt:lpstr>Rate_History!sdate</vt:lpstr>
      <vt:lpstr>sdate</vt:lpstr>
      <vt:lpstr>Swap_Date</vt:lpstr>
      <vt:lpstr>Today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ACM01</dc:creator>
  <cp:lastModifiedBy>ACM05</cp:lastModifiedBy>
  <cp:lastPrinted>2019-03-07T18:06:40Z</cp:lastPrinted>
  <dcterms:created xsi:type="dcterms:W3CDTF">2016-08-08T18:43:15Z</dcterms:created>
  <dcterms:modified xsi:type="dcterms:W3CDTF">2019-03-28T17:58:49Z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f147c6a4-06f9-40ff-a106-4986310b0425</vt:lpwstr>
  </property>
  <property fmtid="{D5CDD505-2E9C-101B-9397-08002B2CF9AE}" pid="3" name="SpreadsheetBuilder_1">
    <vt:lpwstr>eyIwIjoiSGlzdG9yeSIsIjEiOjAsIjIiOjEsIjMiOjEsIjQiOjEsIjUiOjEsIjYiOjEsIjciOjEsIjgiOjEsIjkiOjEsIjEwIjoxLCIxMSI6MH0=</vt:lpwstr>
  </property>
  <property fmtid="{D5CDD505-2E9C-101B-9397-08002B2CF9AE}" pid="4" name="SpreadsheetBuilder_2">
    <vt:lpwstr>eyIwIjoiSGlzdG9yeSIsIjEiOjAsIjIiOjEsIjMiOjEsIjQiOjEsIjUiOjEsIjYiOjEsIjciOjEsIjgiOjAsIjkiOjEsIjEwIjoxLCIxMSI6MH0=</vt:lpwstr>
  </property>
  <property fmtid="{D5CDD505-2E9C-101B-9397-08002B2CF9AE}" pid="5" name="SpreadsheetBuilder_3">
    <vt:lpwstr>eyIwIjoiSGlzdG9yeSIsIjEiOjAsIjIiOjEsIjMiOjEsIjQiOjEsIjUiOjEsIjYiOjEsIjciOjEsIjgiOjAsIjkiOjEsIjEwIjoxLCIxMSI6MH0=</vt:lpwstr>
  </property>
</Properties>
</file>