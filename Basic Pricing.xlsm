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M-BBG\Google Drive\Shared Projects\Basic_Pricing\"/>
    </mc:Choice>
  </mc:AlternateContent>
  <xr:revisionPtr revIDLastSave="0" documentId="13_ncr:1_{ABF52247-3790-454C-85F6-F994F2C5893C}" xr6:coauthVersionLast="43" xr6:coauthVersionMax="43" xr10:uidLastSave="{00000000-0000-0000-0000-000000000000}"/>
  <bookViews>
    <workbookView xWindow="384" yWindow="540" windowWidth="17544" windowHeight="9624" tabRatio="744" activeTab="4" xr2:uid="{00000000-000D-0000-FFFF-FFFF00000000}"/>
  </bookViews>
  <sheets>
    <sheet name="Pricer" sheetId="48" r:id="rId1"/>
    <sheet name="DFs" sheetId="52" r:id="rId2"/>
    <sheet name="Settings" sheetId="54" r:id="rId3"/>
    <sheet name="Rate_History" sheetId="49" r:id="rId4"/>
    <sheet name="FX_Curve_History" sheetId="50" r:id="rId5"/>
    <sheet name="FX_Rate" sheetId="55" r:id="rId6"/>
    <sheet name="Vol_Surface" sheetId="53" r:id="rId7"/>
  </sheets>
  <functionGroups builtInGroupCount="19"/>
  <definedNames>
    <definedName name="Cash_Date">Pricer!$B$6</definedName>
    <definedName name="Future_Date">Pricer!$B$7</definedName>
    <definedName name="JPY_1Y_Adj" localSheetId="3">Rate_History!$N$57</definedName>
    <definedName name="JPY_1Y_Adj">#REF!</definedName>
    <definedName name="JPY_2Y_Adj" localSheetId="3">Rate_History!$N$58</definedName>
    <definedName name="JPY_2Y_Adj">#REF!</definedName>
    <definedName name="Pre_Date">Pricer!$B$4</definedName>
    <definedName name="Pre_Date_BRL" localSheetId="3">Rate_History!$F$3</definedName>
    <definedName name="Pre_Date_BRL">#REF!</definedName>
    <definedName name="sdate" localSheetId="3">Rate_History!$C$1</definedName>
    <definedName name="sdate">#REF!</definedName>
    <definedName name="SpreadsheetBuilder_1" localSheetId="4" hidden="1">#REF!</definedName>
    <definedName name="SpreadsheetBuilder_1" localSheetId="3" hidden="1">#REF!</definedName>
    <definedName name="SpreadsheetBuilder_1" hidden="1">#REF!</definedName>
    <definedName name="SpreadsheetBuilder_2" localSheetId="4" hidden="1">#REF!</definedName>
    <definedName name="SpreadsheetBuilder_2" localSheetId="3" hidden="1">#REF!</definedName>
    <definedName name="SpreadsheetBuilder_2" hidden="1">#REF!</definedName>
    <definedName name="SpreadsheetBuilder_3" localSheetId="4" hidden="1">#REF!</definedName>
    <definedName name="SpreadsheetBuilder_3" localSheetId="3" hidden="1">#REF!</definedName>
    <definedName name="SpreadsheetBuilder_3" hidden="1">#REF!</definedName>
    <definedName name="Swap_Date">Pricer!$B$8</definedName>
    <definedName name="Today">Pricer!$B$4</definedName>
  </definedNames>
  <calcPr calcId="181029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8" l="1"/>
  <c r="A2" i="53" l="1"/>
  <c r="G5" i="48" l="1"/>
  <c r="G6" i="48"/>
  <c r="G7" i="48"/>
  <c r="G8" i="48"/>
  <c r="G4" i="48"/>
  <c r="E5" i="48"/>
  <c r="E6" i="48"/>
  <c r="E7" i="48"/>
  <c r="E8" i="48"/>
  <c r="E4" i="48"/>
  <c r="K16" i="48" l="1"/>
  <c r="K15" i="48"/>
  <c r="K12" i="48"/>
  <c r="K11" i="48"/>
  <c r="K9" i="48"/>
  <c r="K8" i="48"/>
  <c r="K7" i="48"/>
  <c r="K5" i="48"/>
  <c r="K4" i="48"/>
  <c r="J15" i="48"/>
  <c r="J14" i="48"/>
  <c r="J13" i="48"/>
  <c r="J11" i="48"/>
  <c r="J9" i="48"/>
  <c r="J8" i="48"/>
  <c r="J7" i="48"/>
  <c r="J6" i="48"/>
  <c r="O16" i="48"/>
  <c r="M16" i="48"/>
  <c r="J16" i="48"/>
  <c r="O15" i="48"/>
  <c r="M15" i="48"/>
  <c r="O14" i="48"/>
  <c r="M14" i="48"/>
  <c r="K14" i="48"/>
  <c r="M13" i="48"/>
  <c r="K13" i="48"/>
  <c r="O12" i="48"/>
  <c r="M12" i="48"/>
  <c r="J12" i="48"/>
  <c r="O11" i="48"/>
  <c r="M11" i="48"/>
  <c r="O10" i="48"/>
  <c r="M10" i="48"/>
  <c r="K10" i="48"/>
  <c r="J10" i="48"/>
  <c r="O9" i="48"/>
  <c r="M9" i="48"/>
  <c r="O8" i="48"/>
  <c r="M8" i="48"/>
  <c r="O7" i="48"/>
  <c r="M7" i="48"/>
  <c r="O6" i="48"/>
  <c r="M6" i="48"/>
  <c r="K6" i="48"/>
  <c r="O5" i="48"/>
  <c r="M5" i="48"/>
  <c r="J5" i="48"/>
  <c r="M4" i="48"/>
  <c r="J4" i="48"/>
  <c r="B1" i="49" l="1"/>
  <c r="B1" i="50"/>
  <c r="O13" i="48" l="1"/>
  <c r="O4" i="48"/>
  <c r="N16" i="48"/>
  <c r="N15" i="48"/>
  <c r="N14" i="48"/>
  <c r="N13" i="48"/>
  <c r="N12" i="48"/>
  <c r="N11" i="48"/>
  <c r="N10" i="48"/>
  <c r="N9" i="48"/>
  <c r="N8" i="48"/>
  <c r="N7" i="48"/>
  <c r="N6" i="48"/>
  <c r="N5" i="48"/>
  <c r="N4" i="48"/>
  <c r="L16" i="48"/>
  <c r="L15" i="48"/>
  <c r="L14" i="48"/>
  <c r="L13" i="48"/>
  <c r="L12" i="48"/>
  <c r="L11" i="48"/>
  <c r="L10" i="48"/>
  <c r="L9" i="48"/>
  <c r="L8" i="48"/>
  <c r="L7" i="48"/>
  <c r="L6" i="48"/>
  <c r="L5" i="48"/>
  <c r="L4" i="48"/>
</calcChain>
</file>

<file path=xl/sharedStrings.xml><?xml version="1.0" encoding="utf-8"?>
<sst xmlns="http://schemas.openxmlformats.org/spreadsheetml/2006/main" count="368" uniqueCount="146">
  <si>
    <t>USD</t>
  </si>
  <si>
    <t>EUR</t>
  </si>
  <si>
    <t>GBP</t>
  </si>
  <si>
    <t>JPY</t>
  </si>
  <si>
    <t>CAD</t>
  </si>
  <si>
    <t>cash</t>
  </si>
  <si>
    <t>Cash Rates</t>
  </si>
  <si>
    <t>future</t>
  </si>
  <si>
    <t>Future Rates</t>
  </si>
  <si>
    <t>swap</t>
  </si>
  <si>
    <t>Swap Rates</t>
  </si>
  <si>
    <t>Currency</t>
  </si>
  <si>
    <t>BRL</t>
  </si>
  <si>
    <t>CHF</t>
  </si>
  <si>
    <t>COP</t>
  </si>
  <si>
    <t>Discount Factors</t>
  </si>
  <si>
    <t>Date</t>
  </si>
  <si>
    <t>USD LIBOR</t>
  </si>
  <si>
    <t>USD FX</t>
  </si>
  <si>
    <t>EUR LIBOR</t>
  </si>
  <si>
    <t>EUR FX</t>
  </si>
  <si>
    <t>BRL LIBOR</t>
  </si>
  <si>
    <t>BRL FX</t>
  </si>
  <si>
    <t>COP LIBOR</t>
  </si>
  <si>
    <t>COP FX</t>
  </si>
  <si>
    <t>JPY LIBOR</t>
  </si>
  <si>
    <t>JPY FX</t>
  </si>
  <si>
    <t>GBP LIBOR</t>
  </si>
  <si>
    <t>GBP FX</t>
  </si>
  <si>
    <t>CHF LIBOR</t>
  </si>
  <si>
    <t>CHF FX</t>
  </si>
  <si>
    <t>CAD LIBOR</t>
  </si>
  <si>
    <t>CAD FX</t>
  </si>
  <si>
    <t>Curve Frequency (M)</t>
  </si>
  <si>
    <t>Month End Reset (Y/N)</t>
  </si>
  <si>
    <t>Y</t>
  </si>
  <si>
    <t>Margin</t>
  </si>
  <si>
    <t>USD Normal C/F</t>
  </si>
  <si>
    <t>Normal Vol</t>
  </si>
  <si>
    <t>Make sure fillin NAN for no values</t>
  </si>
  <si>
    <t>Tenor</t>
  </si>
  <si>
    <t>Nan</t>
  </si>
  <si>
    <t>EUR Normal C/F</t>
  </si>
  <si>
    <t>USD Normal SWAP</t>
  </si>
  <si>
    <t>ATM Normal VOL</t>
  </si>
  <si>
    <t>Start/Tenor</t>
  </si>
  <si>
    <t>EUR Normal SWAP</t>
  </si>
  <si>
    <t>EOF</t>
  </si>
  <si>
    <t>Notional</t>
  </si>
  <si>
    <t>Start Date</t>
  </si>
  <si>
    <t>Pay Frequency</t>
  </si>
  <si>
    <t>Accrual</t>
  </si>
  <si>
    <t>3M</t>
  </si>
  <si>
    <t>6M</t>
  </si>
  <si>
    <t>Pay</t>
  </si>
  <si>
    <t>12M</t>
  </si>
  <si>
    <t>Rate Index</t>
  </si>
  <si>
    <t>Results</t>
  </si>
  <si>
    <t>NPV</t>
  </si>
  <si>
    <t>PV01</t>
  </si>
  <si>
    <t>Reset Frequency</t>
  </si>
  <si>
    <t>Tenor (Y)</t>
  </si>
  <si>
    <t>Day Count</t>
  </si>
  <si>
    <t>30/360</t>
  </si>
  <si>
    <t>DC</t>
  </si>
  <si>
    <t>ACT/360</t>
  </si>
  <si>
    <t>ACT/365</t>
  </si>
  <si>
    <t>Basic Forward Start Swap</t>
  </si>
  <si>
    <t>KRD1</t>
  </si>
  <si>
    <t>KRD3</t>
  </si>
  <si>
    <t>KRD5</t>
  </si>
  <si>
    <t>KRD7</t>
  </si>
  <si>
    <t>KRD10</t>
  </si>
  <si>
    <t>KRD15</t>
  </si>
  <si>
    <t>KRD2</t>
  </si>
  <si>
    <t>Swap rate with NPV</t>
  </si>
  <si>
    <t>CVA (by cds)</t>
  </si>
  <si>
    <t>USDEUR</t>
  </si>
  <si>
    <t>USDGBP</t>
  </si>
  <si>
    <t>USDJPY</t>
  </si>
  <si>
    <t>USDCAD</t>
  </si>
  <si>
    <t>USDBRL</t>
  </si>
  <si>
    <t>End Date</t>
  </si>
  <si>
    <t xml:space="preserve">BASIC Pricing Engine   </t>
  </si>
  <si>
    <t>Forward Start FX</t>
  </si>
  <si>
    <t>Forward Start Option</t>
  </si>
  <si>
    <t>Settings</t>
  </si>
  <si>
    <t>USDAUD</t>
  </si>
  <si>
    <t>USDCHF</t>
  </si>
  <si>
    <t>USDCOP</t>
  </si>
  <si>
    <t>USDTWD</t>
  </si>
  <si>
    <t>USDSEK</t>
  </si>
  <si>
    <t>Type</t>
  </si>
  <si>
    <t>OPT_TYPE</t>
  </si>
  <si>
    <t>Cap</t>
  </si>
  <si>
    <t>Floor</t>
  </si>
  <si>
    <t>Swaption</t>
  </si>
  <si>
    <t>Delta</t>
  </si>
  <si>
    <t>Gamma</t>
  </si>
  <si>
    <t>Vega</t>
  </si>
  <si>
    <t>Rho</t>
  </si>
  <si>
    <t>Theta</t>
  </si>
  <si>
    <t>Strike</t>
  </si>
  <si>
    <t>Settle Date</t>
  </si>
  <si>
    <t>Maturity</t>
  </si>
  <si>
    <t>Rates Market</t>
  </si>
  <si>
    <t>FX Market</t>
  </si>
  <si>
    <t>Rec</t>
  </si>
  <si>
    <t>Curve Date</t>
  </si>
  <si>
    <r>
      <rPr>
        <sz val="20"/>
        <color theme="1"/>
        <rFont val="Times New Roman"/>
        <family val="1"/>
      </rPr>
      <t xml:space="preserve">ADVOCATE </t>
    </r>
    <r>
      <rPr>
        <sz val="11"/>
        <color theme="1"/>
        <rFont val="Times New Roman"/>
        <family val="1"/>
      </rPr>
      <t>CAPITAL MANAGEMENT, LLC</t>
    </r>
  </si>
  <si>
    <t>Manually Check on Vol Surface</t>
  </si>
  <si>
    <t>NPV(rec ccy)</t>
  </si>
  <si>
    <t>Term(Y)</t>
  </si>
  <si>
    <t>Rates Market Quick Look</t>
  </si>
  <si>
    <t>Rate_Source</t>
  </si>
  <si>
    <t>USDKRW</t>
  </si>
  <si>
    <t>USDNOK</t>
  </si>
  <si>
    <t>USDUSD</t>
  </si>
  <si>
    <t>USDNZD</t>
  </si>
  <si>
    <t>USDSAR</t>
  </si>
  <si>
    <t>Market Date</t>
  </si>
  <si>
    <t>LIBOR</t>
  </si>
  <si>
    <t>Source</t>
  </si>
  <si>
    <t>Live</t>
  </si>
  <si>
    <t>History</t>
  </si>
  <si>
    <r>
      <rPr>
        <sz val="20"/>
        <color theme="1"/>
        <rFont val="Times New Roman"/>
        <family val="1"/>
      </rPr>
      <t>ADVOCATE CAPITAL MANAGEMENT, LLC</t>
    </r>
  </si>
  <si>
    <t>Currency Pair</t>
  </si>
  <si>
    <t>Rate</t>
  </si>
  <si>
    <t>Options Market Quick Look</t>
  </si>
  <si>
    <t>EUR Cap/Floor Normal Vol surface</t>
  </si>
  <si>
    <t>USD Cap/Floor Normal Vol surface</t>
  </si>
  <si>
    <t>AUD</t>
  </si>
  <si>
    <t>KRW</t>
  </si>
  <si>
    <t>NOK</t>
  </si>
  <si>
    <t>NZD</t>
  </si>
  <si>
    <t>SAR</t>
  </si>
  <si>
    <t>SEK</t>
  </si>
  <si>
    <t>TWD</t>
  </si>
  <si>
    <t>Rate/Spread</t>
  </si>
  <si>
    <t>Month End</t>
  </si>
  <si>
    <t>N</t>
  </si>
  <si>
    <t>KRD20-30</t>
  </si>
  <si>
    <t>KRD30-40</t>
  </si>
  <si>
    <t>FIXED</t>
  </si>
  <si>
    <t>Discount Factors Generation</t>
  </si>
  <si>
    <t>DF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</si>
</sst>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_(* #,##0.0000_);_(* \(#,##0.0000\);_(* &quot;-&quot;??_);_(@_)"/>
    <numFmt numFmtId="167" formatCode="m/d/yy;@"/>
    <numFmt numFmtId="168" formatCode="0.0000%"/>
    <numFmt numFmtId="169" formatCode="0.0000"/>
    <numFmt numFmtId="170" formatCode="0.000"/>
    <numFmt numFmtId="171" formatCode="#,##0.000"/>
    <numFmt numFmtId="172" formatCode="#,##0.0"/>
    <numFmt numFmtId="173" formatCode="#,##0.00000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0"/>
      <name val="Times New Roman"/>
      <family val="1"/>
    </font>
    <font>
      <sz val="14"/>
      <color rgb="FF002060"/>
      <name val="Times New Roman"/>
      <family val="1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22"/>
      <color theme="4" tint="-0.249977111117893"/>
      <name val="Times New Roman"/>
      <family val="1"/>
    </font>
    <font>
      <b/>
      <sz val="12"/>
      <color theme="4" tint="-0.249977111117893"/>
      <name val="Times New Roman"/>
      <family val="1"/>
    </font>
    <font>
      <b/>
      <sz val="10"/>
      <color theme="4" tint="-0.249977111117893"/>
      <name val="Times New Roman"/>
      <family val="1"/>
    </font>
    <font>
      <sz val="18"/>
      <name val="Times New Roman"/>
      <family val="1"/>
    </font>
    <font>
      <b/>
      <sz val="12"/>
      <name val="Times New Roman"/>
      <family val="1"/>
    </font>
    <font>
      <b/>
      <sz val="12"/>
      <color theme="1"/>
      <name val="Times New Roman"/>
      <family val="1"/>
    </font>
    <font>
      <b/>
      <sz val="11"/>
      <color theme="4" tint="-0.249977111117893"/>
      <name val="Times New Roman"/>
      <family val="1"/>
    </font>
    <font>
      <b/>
      <sz val="16"/>
      <color rgb="FF000000"/>
      <name val="Times New Roman"/>
      <family val="1"/>
    </font>
    <font>
      <b/>
      <sz val="18"/>
      <name val="Times New Roman"/>
      <family val="1"/>
    </font>
    <font>
      <b/>
      <sz val="14"/>
      <color rgb="FF000000"/>
      <name val="Times New Roman"/>
      <family val="1"/>
    </font>
    <font>
      <sz val="10"/>
      <color theme="1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22"/>
      <color theme="0"/>
      <name val="Times New Roman"/>
      <family val="1"/>
    </font>
    <font>
      <sz val="14"/>
      <name val="Times New Roman"/>
      <family val="1"/>
    </font>
    <font>
      <b/>
      <sz val="20"/>
      <color rgb="FF002060"/>
      <name val="Times New Roman"/>
      <family val="1"/>
    </font>
    <font>
      <b/>
      <sz val="16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b/>
      <sz val="20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2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dotted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hair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ck">
        <color auto="1"/>
      </bottom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5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/>
    </xf>
    <xf numFmtId="165" fontId="2" fillId="0" borderId="0" xfId="2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2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Border="1" applyAlignment="1">
      <alignment horizontal="center" vertical="center"/>
    </xf>
    <xf numFmtId="171" fontId="8" fillId="0" borderId="0" xfId="0" applyNumberFormat="1" applyFont="1" applyBorder="1" applyAlignment="1">
      <alignment horizontal="center"/>
    </xf>
    <xf numFmtId="0" fontId="8" fillId="0" borderId="0" xfId="0" applyFont="1"/>
    <xf numFmtId="0" fontId="10" fillId="4" borderId="0" xfId="0" applyFont="1" applyFill="1" applyBorder="1" applyAlignment="1">
      <alignment horizontal="center" vertical="center"/>
    </xf>
    <xf numFmtId="37" fontId="8" fillId="0" borderId="0" xfId="0" applyNumberFormat="1" applyFont="1"/>
    <xf numFmtId="0" fontId="11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7" fontId="13" fillId="0" borderId="0" xfId="0" applyNumberFormat="1" applyFont="1" applyBorder="1" applyAlignment="1">
      <alignment horizontal="center" vertical="center"/>
    </xf>
    <xf numFmtId="3" fontId="14" fillId="0" borderId="0" xfId="0" applyNumberFormat="1" applyFont="1" applyBorder="1" applyAlignment="1">
      <alignment horizontal="center" vertical="center"/>
    </xf>
    <xf numFmtId="3" fontId="8" fillId="0" borderId="0" xfId="0" applyNumberFormat="1" applyFont="1" applyBorder="1" applyAlignment="1">
      <alignment horizontal="center" vertical="center"/>
    </xf>
    <xf numFmtId="14" fontId="8" fillId="0" borderId="0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10" fontId="14" fillId="0" borderId="0" xfId="0" applyNumberFormat="1" applyFont="1" applyBorder="1" applyAlignment="1">
      <alignment horizontal="center" vertical="center"/>
    </xf>
    <xf numFmtId="10" fontId="8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37" fontId="8" fillId="0" borderId="0" xfId="2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168" fontId="8" fillId="0" borderId="0" xfId="3" applyNumberFormat="1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7" fontId="15" fillId="0" borderId="0" xfId="0" applyNumberFormat="1" applyFont="1" applyBorder="1" applyAlignment="1">
      <alignment horizontal="center" vertical="center"/>
    </xf>
    <xf numFmtId="3" fontId="13" fillId="0" borderId="0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13" xfId="0" applyBorder="1"/>
    <xf numFmtId="37" fontId="0" fillId="0" borderId="13" xfId="2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3" fontId="14" fillId="0" borderId="13" xfId="0" applyNumberFormat="1" applyFont="1" applyBorder="1" applyAlignment="1">
      <alignment horizontal="center" vertical="center"/>
    </xf>
    <xf numFmtId="37" fontId="14" fillId="0" borderId="13" xfId="0" applyNumberFormat="1" applyFont="1" applyBorder="1" applyAlignment="1">
      <alignment horizontal="center" vertical="center"/>
    </xf>
    <xf numFmtId="0" fontId="10" fillId="0" borderId="16" xfId="0" applyFont="1" applyBorder="1" applyAlignment="1">
      <alignment horizont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3" fontId="14" fillId="0" borderId="15" xfId="0" applyNumberFormat="1" applyFont="1" applyBorder="1" applyAlignment="1">
      <alignment horizontal="center" vertical="center"/>
    </xf>
    <xf numFmtId="3" fontId="8" fillId="0" borderId="15" xfId="0" applyNumberFormat="1" applyFont="1" applyBorder="1" applyAlignment="1">
      <alignment horizontal="center" vertical="center"/>
    </xf>
    <xf numFmtId="14" fontId="8" fillId="0" borderId="16" xfId="0" applyNumberFormat="1" applyFont="1" applyBorder="1" applyAlignment="1">
      <alignment horizontal="center" vertical="center"/>
    </xf>
    <xf numFmtId="167" fontId="8" fillId="0" borderId="0" xfId="0" applyNumberFormat="1" applyFont="1"/>
    <xf numFmtId="164" fontId="8" fillId="0" borderId="0" xfId="0" applyNumberFormat="1" applyFont="1"/>
    <xf numFmtId="22" fontId="8" fillId="0" borderId="0" xfId="0" applyNumberFormat="1" applyFont="1"/>
    <xf numFmtId="0" fontId="19" fillId="0" borderId="0" xfId="0" applyFont="1"/>
    <xf numFmtId="2" fontId="8" fillId="0" borderId="0" xfId="0" applyNumberFormat="1" applyFont="1"/>
    <xf numFmtId="0" fontId="20" fillId="0" borderId="0" xfId="0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167" fontId="21" fillId="0" borderId="0" xfId="0" applyNumberFormat="1" applyFont="1" applyAlignment="1">
      <alignment horizontal="center" vertical="center"/>
    </xf>
    <xf numFmtId="0" fontId="24" fillId="3" borderId="14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4" fontId="8" fillId="0" borderId="0" xfId="0" applyNumberFormat="1" applyFont="1"/>
    <xf numFmtId="14" fontId="28" fillId="0" borderId="0" xfId="0" applyNumberFormat="1" applyFont="1" applyAlignment="1">
      <alignment horizontal="center" vertical="center"/>
    </xf>
    <xf numFmtId="169" fontId="28" fillId="0" borderId="0" xfId="0" applyNumberFormat="1" applyFont="1" applyAlignment="1">
      <alignment horizontal="center" vertical="center"/>
    </xf>
    <xf numFmtId="0" fontId="28" fillId="0" borderId="0" xfId="0" applyFont="1"/>
    <xf numFmtId="172" fontId="8" fillId="0" borderId="0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14" fontId="21" fillId="0" borderId="0" xfId="0" applyNumberFormat="1" applyFont="1" applyAlignment="1">
      <alignment horizontal="center" vertical="center"/>
    </xf>
    <xf numFmtId="170" fontId="21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/>
    </xf>
    <xf numFmtId="169" fontId="21" fillId="0" borderId="0" xfId="0" applyNumberFormat="1" applyFont="1" applyAlignment="1">
      <alignment horizontal="center" vertical="center"/>
    </xf>
    <xf numFmtId="0" fontId="10" fillId="0" borderId="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4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4" fontId="8" fillId="0" borderId="5" xfId="0" applyNumberFormat="1" applyFon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8" fillId="0" borderId="0" xfId="0" applyNumberFormat="1" applyFon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0" fillId="0" borderId="19" xfId="0" applyBorder="1"/>
    <xf numFmtId="0" fontId="0" fillId="0" borderId="0" xfId="0" applyBorder="1"/>
    <xf numFmtId="0" fontId="31" fillId="0" borderId="4" xfId="0" applyFont="1" applyBorder="1" applyAlignment="1">
      <alignment horizontal="left" vertical="center"/>
    </xf>
    <xf numFmtId="0" fontId="11" fillId="0" borderId="1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10" fontId="8" fillId="0" borderId="26" xfId="0" applyNumberFormat="1" applyFont="1" applyBorder="1" applyAlignment="1">
      <alignment horizontal="center"/>
    </xf>
    <xf numFmtId="3" fontId="8" fillId="0" borderId="2" xfId="0" applyNumberFormat="1" applyFont="1" applyBorder="1" applyAlignment="1">
      <alignment horizontal="center"/>
    </xf>
    <xf numFmtId="0" fontId="27" fillId="5" borderId="23" xfId="0" applyFont="1" applyFill="1" applyBorder="1" applyAlignment="1">
      <alignment horizontal="center" vertical="center"/>
    </xf>
    <xf numFmtId="167" fontId="8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171" fontId="8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171" fontId="8" fillId="0" borderId="28" xfId="0" applyNumberFormat="1" applyFont="1" applyBorder="1" applyAlignment="1">
      <alignment horizontal="center"/>
    </xf>
    <xf numFmtId="171" fontId="8" fillId="0" borderId="2" xfId="0" applyNumberFormat="1" applyFont="1" applyBorder="1" applyAlignment="1">
      <alignment horizontal="center"/>
    </xf>
    <xf numFmtId="172" fontId="8" fillId="0" borderId="2" xfId="0" applyNumberFormat="1" applyFont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171" fontId="8" fillId="0" borderId="29" xfId="0" applyNumberFormat="1" applyFont="1" applyBorder="1" applyAlignment="1">
      <alignment horizontal="center"/>
    </xf>
    <xf numFmtId="0" fontId="10" fillId="4" borderId="29" xfId="0" applyFont="1" applyFill="1" applyBorder="1" applyAlignment="1">
      <alignment horizontal="center" vertical="center"/>
    </xf>
    <xf numFmtId="171" fontId="8" fillId="0" borderId="26" xfId="0" applyNumberFormat="1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14" fontId="8" fillId="0" borderId="28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0" fillId="0" borderId="31" xfId="0" applyBorder="1"/>
    <xf numFmtId="0" fontId="0" fillId="0" borderId="20" xfId="0" applyBorder="1"/>
    <xf numFmtId="0" fontId="0" fillId="0" borderId="16" xfId="0" applyBorder="1"/>
    <xf numFmtId="0" fontId="0" fillId="0" borderId="15" xfId="0" applyBorder="1"/>
    <xf numFmtId="0" fontId="24" fillId="3" borderId="32" xfId="0" applyFont="1" applyFill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4" fontId="0" fillId="0" borderId="33" xfId="0" applyNumberFormat="1" applyBorder="1" applyAlignment="1">
      <alignment horizontal="center" vertical="center"/>
    </xf>
    <xf numFmtId="0" fontId="0" fillId="0" borderId="33" xfId="0" applyBorder="1"/>
    <xf numFmtId="37" fontId="0" fillId="0" borderId="22" xfId="2" applyNumberFormat="1" applyFont="1" applyBorder="1" applyAlignment="1">
      <alignment horizontal="center" vertical="center"/>
    </xf>
    <xf numFmtId="0" fontId="0" fillId="0" borderId="34" xfId="0" applyBorder="1"/>
    <xf numFmtId="0" fontId="14" fillId="0" borderId="14" xfId="0" applyFont="1" applyBorder="1" applyAlignment="1">
      <alignment horizontal="center" vertical="center"/>
    </xf>
    <xf numFmtId="4" fontId="8" fillId="0" borderId="7" xfId="0" applyNumberFormat="1" applyFon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4" fontId="0" fillId="0" borderId="32" xfId="0" applyNumberFormat="1" applyBorder="1" applyAlignment="1">
      <alignment horizontal="center" vertical="center"/>
    </xf>
    <xf numFmtId="173" fontId="8" fillId="0" borderId="0" xfId="0" applyNumberFormat="1" applyFont="1"/>
    <xf numFmtId="0" fontId="12" fillId="3" borderId="9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3" fillId="8" borderId="4" xfId="0" applyFont="1" applyFill="1" applyBorder="1" applyAlignment="1">
      <alignment horizontal="center" vertical="center" wrapText="1"/>
    </xf>
    <xf numFmtId="0" fontId="23" fillId="8" borderId="5" xfId="0" applyFont="1" applyFill="1" applyBorder="1" applyAlignment="1">
      <alignment horizontal="center" vertical="center" wrapText="1"/>
    </xf>
    <xf numFmtId="0" fontId="23" fillId="8" borderId="10" xfId="0" applyFont="1" applyFill="1" applyBorder="1" applyAlignment="1">
      <alignment horizontal="center" vertical="center" wrapText="1"/>
    </xf>
    <xf numFmtId="0" fontId="23" fillId="8" borderId="12" xfId="0" applyFont="1" applyFill="1" applyBorder="1" applyAlignment="1">
      <alignment horizontal="center" vertical="center" wrapText="1"/>
    </xf>
    <xf numFmtId="0" fontId="23" fillId="8" borderId="11" xfId="0" applyFont="1" applyFill="1" applyBorder="1" applyAlignment="1">
      <alignment horizontal="center" vertical="center" wrapText="1"/>
    </xf>
    <xf numFmtId="0" fontId="23" fillId="8" borderId="24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2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Pricer!$J$3</c:f>
              <c:strCache>
                <c:ptCount val="1"/>
                <c:pt idx="0">
                  <c:v>USD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Pricer!$J$4:$J$16</c:f>
              <c:numCache>
                <c:formatCode>#,##0.00</c:formatCode>
                <c:ptCount val="13"/>
                <c:pt idx="0">
                  <c:v>2.4994000000000001</c:v>
                </c:pt>
                <c:pt idx="1">
                  <c:v>2.4405999999999999</c:v>
                </c:pt>
                <c:pt idx="2">
                  <c:v>2.4253999999999998</c:v>
                </c:pt>
                <c:pt idx="3">
                  <c:v>2.4365000000000001</c:v>
                </c:pt>
                <c:pt idx="4">
                  <c:v>2.4601999999999999</c:v>
                </c:pt>
                <c:pt idx="5">
                  <c:v>2.4876</c:v>
                </c:pt>
                <c:pt idx="6">
                  <c:v>2.5192000000000001</c:v>
                </c:pt>
                <c:pt idx="7">
                  <c:v>2.5512000000000001</c:v>
                </c:pt>
                <c:pt idx="8">
                  <c:v>2.5831</c:v>
                </c:pt>
                <c:pt idx="9">
                  <c:v>2.6941000000000002</c:v>
                </c:pt>
                <c:pt idx="10">
                  <c:v>2.7422</c:v>
                </c:pt>
                <c:pt idx="11">
                  <c:v>2.7576999999999998</c:v>
                </c:pt>
                <c:pt idx="12">
                  <c:v>2.762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52-4F11-B493-E6DBAEC8F3F5}"/>
            </c:ext>
          </c:extLst>
        </c:ser>
        <c:ser>
          <c:idx val="2"/>
          <c:order val="1"/>
          <c:tx>
            <c:strRef>
              <c:f>Pricer!$K$3</c:f>
              <c:strCache>
                <c:ptCount val="1"/>
                <c:pt idx="0">
                  <c:v>EUR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Pricer!$K$4:$K$16</c:f>
              <c:numCache>
                <c:formatCode>#,##0.00</c:formatCode>
                <c:ptCount val="13"/>
                <c:pt idx="0">
                  <c:v>-0.19570000000000001</c:v>
                </c:pt>
                <c:pt idx="1">
                  <c:v>-0.1191</c:v>
                </c:pt>
                <c:pt idx="2">
                  <c:v>-2.5600000000000001E-2</c:v>
                </c:pt>
                <c:pt idx="3">
                  <c:v>7.5600000000000001E-2</c:v>
                </c:pt>
                <c:pt idx="4">
                  <c:v>0.17899999999999999</c:v>
                </c:pt>
                <c:pt idx="5">
                  <c:v>0.28289999999999998</c:v>
                </c:pt>
                <c:pt idx="6">
                  <c:v>0.38700000000000001</c:v>
                </c:pt>
                <c:pt idx="7">
                  <c:v>0.48699999999999999</c:v>
                </c:pt>
                <c:pt idx="8">
                  <c:v>0.58050000000000002</c:v>
                </c:pt>
                <c:pt idx="9">
                  <c:v>0.93220000000000003</c:v>
                </c:pt>
                <c:pt idx="10">
                  <c:v>1.1032</c:v>
                </c:pt>
                <c:pt idx="11">
                  <c:v>1.1659999999999999</c:v>
                </c:pt>
                <c:pt idx="12">
                  <c:v>1.1830000000000001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52-4F11-B493-E6DBAEC8F3F5}"/>
            </c:ext>
          </c:extLst>
        </c:ser>
        <c:ser>
          <c:idx val="3"/>
          <c:order val="2"/>
          <c:tx>
            <c:strRef>
              <c:f>Pricer!$L$3</c:f>
              <c:strCache>
                <c:ptCount val="1"/>
                <c:pt idx="0">
                  <c:v>JPY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Pricer!$L$4:$L$16</c:f>
              <c:numCache>
                <c:formatCode>#,##0.00</c:formatCode>
                <c:ptCount val="13"/>
                <c:pt idx="0">
                  <c:v>-1.2500000000000001E-2</c:v>
                </c:pt>
                <c:pt idx="1">
                  <c:v>-1.125E-2</c:v>
                </c:pt>
                <c:pt idx="2">
                  <c:v>-5.0000000000000001E-3</c:v>
                </c:pt>
                <c:pt idx="3">
                  <c:v>1.375E-2</c:v>
                </c:pt>
                <c:pt idx="4">
                  <c:v>3.7499999999999999E-2</c:v>
                </c:pt>
                <c:pt idx="5">
                  <c:v>6.5000000000000002E-2</c:v>
                </c:pt>
                <c:pt idx="6">
                  <c:v>9.5000000000000001E-2</c:v>
                </c:pt>
                <c:pt idx="7">
                  <c:v>0.12875</c:v>
                </c:pt>
                <c:pt idx="8">
                  <c:v>0.16375000000000001</c:v>
                </c:pt>
                <c:pt idx="9">
                  <c:v>0.33750000000000002</c:v>
                </c:pt>
                <c:pt idx="10">
                  <c:v>0.47625000000000001</c:v>
                </c:pt>
                <c:pt idx="11">
                  <c:v>0.55874999999999997</c:v>
                </c:pt>
                <c:pt idx="12">
                  <c:v>0.60875000000000001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52-4F11-B493-E6DBAEC8F3F5}"/>
            </c:ext>
          </c:extLst>
        </c:ser>
        <c:ser>
          <c:idx val="4"/>
          <c:order val="3"/>
          <c:tx>
            <c:strRef>
              <c:f>Pricer!$M$3</c:f>
              <c:strCache>
                <c:ptCount val="1"/>
                <c:pt idx="0">
                  <c:v>GBP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Pricer!$M$4:$M$16</c:f>
              <c:numCache>
                <c:formatCode>#,##0.00</c:formatCode>
                <c:ptCount val="13"/>
                <c:pt idx="0">
                  <c:v>1.0683</c:v>
                </c:pt>
                <c:pt idx="1">
                  <c:v>1.1372</c:v>
                </c:pt>
                <c:pt idx="2">
                  <c:v>1.1977500000000001</c:v>
                </c:pt>
                <c:pt idx="3">
                  <c:v>1.2468999999999999</c:v>
                </c:pt>
                <c:pt idx="4">
                  <c:v>1.2882499999999999</c:v>
                </c:pt>
                <c:pt idx="5">
                  <c:v>1.3252999999999999</c:v>
                </c:pt>
                <c:pt idx="6">
                  <c:v>1.3592</c:v>
                </c:pt>
                <c:pt idx="7">
                  <c:v>1.3912</c:v>
                </c:pt>
                <c:pt idx="8">
                  <c:v>1.4213</c:v>
                </c:pt>
                <c:pt idx="9">
                  <c:v>1.5193000000000001</c:v>
                </c:pt>
                <c:pt idx="10">
                  <c:v>1.5583</c:v>
                </c:pt>
                <c:pt idx="11">
                  <c:v>1.56355</c:v>
                </c:pt>
                <c:pt idx="12">
                  <c:v>1.5592999999999999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52-4F11-B493-E6DBAEC8F3F5}"/>
            </c:ext>
          </c:extLst>
        </c:ser>
        <c:ser>
          <c:idx val="0"/>
          <c:order val="4"/>
          <c:tx>
            <c:strRef>
              <c:f>Pricer!$N$3</c:f>
              <c:strCache>
                <c:ptCount val="1"/>
                <c:pt idx="0">
                  <c:v>CHF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Pricer!$N$4:$N$16</c:f>
              <c:numCache>
                <c:formatCode>#,##0.00</c:formatCode>
                <c:ptCount val="13"/>
                <c:pt idx="0">
                  <c:v>-0.622</c:v>
                </c:pt>
                <c:pt idx="1">
                  <c:v>-0.54749999999999999</c:v>
                </c:pt>
                <c:pt idx="2">
                  <c:v>-0.45910000000000001</c:v>
                </c:pt>
                <c:pt idx="3">
                  <c:v>-0.36499999999999999</c:v>
                </c:pt>
                <c:pt idx="4">
                  <c:v>-0.27</c:v>
                </c:pt>
                <c:pt idx="5">
                  <c:v>-0.16500000000000001</c:v>
                </c:pt>
                <c:pt idx="6">
                  <c:v>-5.8000000000000003E-2</c:v>
                </c:pt>
                <c:pt idx="7">
                  <c:v>2.75E-2</c:v>
                </c:pt>
                <c:pt idx="8">
                  <c:v>0.1225</c:v>
                </c:pt>
                <c:pt idx="9">
                  <c:v>0.4325</c:v>
                </c:pt>
                <c:pt idx="10">
                  <c:v>0.58499999999999996</c:v>
                </c:pt>
                <c:pt idx="11">
                  <c:v>0.62250000000000005</c:v>
                </c:pt>
                <c:pt idx="12">
                  <c:v>0.64500000000000002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52-4F11-B493-E6DBAEC8F3F5}"/>
            </c:ext>
          </c:extLst>
        </c:ser>
        <c:ser>
          <c:idx val="5"/>
          <c:order val="5"/>
          <c:tx>
            <c:strRef>
              <c:f>Pricer!$O$3</c:f>
              <c:strCache>
                <c:ptCount val="1"/>
                <c:pt idx="0">
                  <c:v>CAD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Pricer!$O$4:$O$16</c:f>
              <c:numCache>
                <c:formatCode>#,##0.00</c:formatCode>
                <c:ptCount val="13"/>
                <c:pt idx="0">
                  <c:v>1.996</c:v>
                </c:pt>
                <c:pt idx="1">
                  <c:v>2.0093000000000001</c:v>
                </c:pt>
                <c:pt idx="2">
                  <c:v>2.0202</c:v>
                </c:pt>
                <c:pt idx="3">
                  <c:v>2.0394999999999999</c:v>
                </c:pt>
                <c:pt idx="4">
                  <c:v>2.0847000000000002</c:v>
                </c:pt>
                <c:pt idx="5">
                  <c:v>2.1177999999999999</c:v>
                </c:pt>
                <c:pt idx="6">
                  <c:v>2.1608000000000001</c:v>
                </c:pt>
                <c:pt idx="7">
                  <c:v>2.2061999999999999</c:v>
                </c:pt>
                <c:pt idx="8">
                  <c:v>2.2490000000000001</c:v>
                </c:pt>
                <c:pt idx="9">
                  <c:v>2.4388000000000001</c:v>
                </c:pt>
                <c:pt idx="10">
                  <c:v>2.5354000000000001</c:v>
                </c:pt>
                <c:pt idx="11">
                  <c:v>2.5581999999999998</c:v>
                </c:pt>
                <c:pt idx="12">
                  <c:v>2.5417999999999998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52-4F11-B493-E6DBAEC8F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346528"/>
        <c:axId val="382346856"/>
      </c:lineChart>
      <c:catAx>
        <c:axId val="38234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6856"/>
        <c:crosses val="autoZero"/>
        <c:auto val="1"/>
        <c:lblAlgn val="ctr"/>
        <c:lblOffset val="100"/>
        <c:noMultiLvlLbl val="0"/>
      </c:catAx>
      <c:valAx>
        <c:axId val="38234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3083013383657622E-2"/>
          <c:y val="3.6036036036036036E-2"/>
          <c:w val="0.87977505910934684"/>
          <c:h val="0.82237993899411221"/>
        </c:manualLayout>
      </c:layout>
      <c:surface3DChart>
        <c:wireframe val="0"/>
        <c:ser>
          <c:idx val="0"/>
          <c:order val="0"/>
          <c:tx>
            <c:strRef>
              <c:f>Vol_Surface!$A$24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Vol_Surface!$B$24:$L$24</c:f>
              <c:numCache>
                <c:formatCode>General</c:formatCode>
                <c:ptCount val="11"/>
                <c:pt idx="0">
                  <c:v>9.0500000000000007</c:v>
                </c:pt>
                <c:pt idx="1">
                  <c:v>14.86</c:v>
                </c:pt>
                <c:pt idx="2">
                  <c:v>19.47</c:v>
                </c:pt>
                <c:pt idx="3">
                  <c:v>33.799999999999997</c:v>
                </c:pt>
                <c:pt idx="4">
                  <c:v>31.6</c:v>
                </c:pt>
                <c:pt idx="5">
                  <c:v>38.78</c:v>
                </c:pt>
                <c:pt idx="6">
                  <c:v>52.2</c:v>
                </c:pt>
                <c:pt idx="7">
                  <c:v>64.72</c:v>
                </c:pt>
                <c:pt idx="8">
                  <c:v>75.52</c:v>
                </c:pt>
                <c:pt idx="9">
                  <c:v>96.97</c:v>
                </c:pt>
                <c:pt idx="10">
                  <c:v>137.9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3-4317-ACA4-7F81E321C57D}"/>
            </c:ext>
          </c:extLst>
        </c:ser>
        <c:ser>
          <c:idx val="1"/>
          <c:order val="1"/>
          <c:tx>
            <c:strRef>
              <c:f>Vol_Surface!$A$25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Vol_Surface!$B$25:$L$25</c:f>
              <c:numCache>
                <c:formatCode>General</c:formatCode>
                <c:ptCount val="11"/>
                <c:pt idx="0">
                  <c:v>15.67</c:v>
                </c:pt>
                <c:pt idx="1">
                  <c:v>18.78</c:v>
                </c:pt>
                <c:pt idx="2">
                  <c:v>22.55</c:v>
                </c:pt>
                <c:pt idx="3">
                  <c:v>29.7</c:v>
                </c:pt>
                <c:pt idx="4">
                  <c:v>32.1</c:v>
                </c:pt>
                <c:pt idx="5">
                  <c:v>37.9</c:v>
                </c:pt>
                <c:pt idx="6">
                  <c:v>48.64</c:v>
                </c:pt>
                <c:pt idx="7">
                  <c:v>58.71</c:v>
                </c:pt>
                <c:pt idx="8">
                  <c:v>68.34</c:v>
                </c:pt>
                <c:pt idx="9">
                  <c:v>86.28</c:v>
                </c:pt>
                <c:pt idx="10">
                  <c:v>117.67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3-4317-ACA4-7F81E321C57D}"/>
            </c:ext>
          </c:extLst>
        </c:ser>
        <c:ser>
          <c:idx val="2"/>
          <c:order val="2"/>
          <c:tx>
            <c:strRef>
              <c:f>Vol_Surface!$A$26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Vol_Surface!$B$26:$L$26</c:f>
              <c:numCache>
                <c:formatCode>General</c:formatCode>
                <c:ptCount val="11"/>
                <c:pt idx="0">
                  <c:v>21.18</c:v>
                </c:pt>
                <c:pt idx="1">
                  <c:v>21.37</c:v>
                </c:pt>
                <c:pt idx="2">
                  <c:v>24.38</c:v>
                </c:pt>
                <c:pt idx="3">
                  <c:v>28.1</c:v>
                </c:pt>
                <c:pt idx="4">
                  <c:v>32.83</c:v>
                </c:pt>
                <c:pt idx="5">
                  <c:v>37.49</c:v>
                </c:pt>
                <c:pt idx="6">
                  <c:v>46.18</c:v>
                </c:pt>
                <c:pt idx="7">
                  <c:v>54.2</c:v>
                </c:pt>
                <c:pt idx="8">
                  <c:v>62.2</c:v>
                </c:pt>
                <c:pt idx="9">
                  <c:v>77.22</c:v>
                </c:pt>
                <c:pt idx="10">
                  <c:v>105.73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3-4317-ACA4-7F81E321C57D}"/>
            </c:ext>
          </c:extLst>
        </c:ser>
        <c:ser>
          <c:idx val="3"/>
          <c:order val="3"/>
          <c:tx>
            <c:strRef>
              <c:f>Vol_Surface!$A$27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Vol_Surface!$B$27:$L$27</c:f>
              <c:numCache>
                <c:formatCode>General</c:formatCode>
                <c:ptCount val="11"/>
                <c:pt idx="0">
                  <c:v>25.44</c:v>
                </c:pt>
                <c:pt idx="1">
                  <c:v>25.46</c:v>
                </c:pt>
                <c:pt idx="2">
                  <c:v>28.08</c:v>
                </c:pt>
                <c:pt idx="3">
                  <c:v>30.88</c:v>
                </c:pt>
                <c:pt idx="4">
                  <c:v>35.619999999999997</c:v>
                </c:pt>
                <c:pt idx="5">
                  <c:v>39.700000000000003</c:v>
                </c:pt>
                <c:pt idx="6">
                  <c:v>47.24</c:v>
                </c:pt>
                <c:pt idx="7">
                  <c:v>54.3</c:v>
                </c:pt>
                <c:pt idx="8">
                  <c:v>60.95</c:v>
                </c:pt>
                <c:pt idx="9">
                  <c:v>73.930000000000007</c:v>
                </c:pt>
                <c:pt idx="10">
                  <c:v>98.36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F3-4317-ACA4-7F81E321C57D}"/>
            </c:ext>
          </c:extLst>
        </c:ser>
        <c:ser>
          <c:idx val="4"/>
          <c:order val="4"/>
          <c:tx>
            <c:strRef>
              <c:f>Vol_Surface!$A$28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Vol_Surface!$B$28:$L$28</c:f>
              <c:numCache>
                <c:formatCode>General</c:formatCode>
                <c:ptCount val="11"/>
                <c:pt idx="0">
                  <c:v>29.15</c:v>
                </c:pt>
                <c:pt idx="1">
                  <c:v>29.06</c:v>
                </c:pt>
                <c:pt idx="2">
                  <c:v>31.5</c:v>
                </c:pt>
                <c:pt idx="3">
                  <c:v>33.93</c:v>
                </c:pt>
                <c:pt idx="4">
                  <c:v>38.57</c:v>
                </c:pt>
                <c:pt idx="5">
                  <c:v>42.44</c:v>
                </c:pt>
                <c:pt idx="6">
                  <c:v>49.36</c:v>
                </c:pt>
                <c:pt idx="7">
                  <c:v>55.78</c:v>
                </c:pt>
                <c:pt idx="8">
                  <c:v>61.8</c:v>
                </c:pt>
                <c:pt idx="9">
                  <c:v>73.28</c:v>
                </c:pt>
                <c:pt idx="10">
                  <c:v>94.32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F3-4317-ACA4-7F81E321C57D}"/>
            </c:ext>
          </c:extLst>
        </c:ser>
        <c:ser>
          <c:idx val="5"/>
          <c:order val="5"/>
          <c:tx>
            <c:strRef>
              <c:f>Vol_Surface!$A$29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Vol_Surface!$B$29:$L$29</c:f>
              <c:numCache>
                <c:formatCode>General</c:formatCode>
                <c:ptCount val="11"/>
                <c:pt idx="0">
                  <c:v>34.4</c:v>
                </c:pt>
                <c:pt idx="1">
                  <c:v>34.35</c:v>
                </c:pt>
                <c:pt idx="2">
                  <c:v>36.9</c:v>
                </c:pt>
                <c:pt idx="3">
                  <c:v>38.4</c:v>
                </c:pt>
                <c:pt idx="4">
                  <c:v>42.12</c:v>
                </c:pt>
                <c:pt idx="5">
                  <c:v>45.62</c:v>
                </c:pt>
                <c:pt idx="6">
                  <c:v>51.41</c:v>
                </c:pt>
                <c:pt idx="7">
                  <c:v>56.76</c:v>
                </c:pt>
                <c:pt idx="8">
                  <c:v>61.84</c:v>
                </c:pt>
                <c:pt idx="9">
                  <c:v>71.599999999999994</c:v>
                </c:pt>
                <c:pt idx="10">
                  <c:v>90.24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F3-4317-ACA4-7F81E321C57D}"/>
            </c:ext>
          </c:extLst>
        </c:ser>
        <c:ser>
          <c:idx val="6"/>
          <c:order val="6"/>
          <c:tx>
            <c:strRef>
              <c:f>Vol_Surface!$A$30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Vol_Surface!$B$30:$L$30</c:f>
              <c:numCache>
                <c:formatCode>General</c:formatCode>
                <c:ptCount val="11"/>
                <c:pt idx="0">
                  <c:v>39.67</c:v>
                </c:pt>
                <c:pt idx="1">
                  <c:v>39.78</c:v>
                </c:pt>
                <c:pt idx="2">
                  <c:v>41.11</c:v>
                </c:pt>
                <c:pt idx="3">
                  <c:v>42.5</c:v>
                </c:pt>
                <c:pt idx="4">
                  <c:v>45.82</c:v>
                </c:pt>
                <c:pt idx="5">
                  <c:v>48.65</c:v>
                </c:pt>
                <c:pt idx="6">
                  <c:v>53.12</c:v>
                </c:pt>
                <c:pt idx="7">
                  <c:v>57.16</c:v>
                </c:pt>
                <c:pt idx="8">
                  <c:v>60.81</c:v>
                </c:pt>
                <c:pt idx="9">
                  <c:v>67.44</c:v>
                </c:pt>
                <c:pt idx="10">
                  <c:v>80.290000000000006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F3-4317-ACA4-7F81E321C57D}"/>
            </c:ext>
          </c:extLst>
        </c:ser>
        <c:ser>
          <c:idx val="7"/>
          <c:order val="7"/>
          <c:tx>
            <c:strRef>
              <c:f>Vol_Surface!$A$31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Vol_Surface!$B$31:$L$31</c:f>
              <c:numCache>
                <c:formatCode>General</c:formatCode>
                <c:ptCount val="11"/>
                <c:pt idx="0">
                  <c:v>42.13</c:v>
                </c:pt>
                <c:pt idx="1">
                  <c:v>41.97</c:v>
                </c:pt>
                <c:pt idx="2">
                  <c:v>43.09</c:v>
                </c:pt>
                <c:pt idx="3">
                  <c:v>44.52</c:v>
                </c:pt>
                <c:pt idx="4">
                  <c:v>47.11</c:v>
                </c:pt>
                <c:pt idx="5">
                  <c:v>49.3</c:v>
                </c:pt>
                <c:pt idx="6">
                  <c:v>53.13</c:v>
                </c:pt>
                <c:pt idx="7">
                  <c:v>56.35</c:v>
                </c:pt>
                <c:pt idx="8">
                  <c:v>59.36</c:v>
                </c:pt>
                <c:pt idx="9">
                  <c:v>65.319999999999993</c:v>
                </c:pt>
                <c:pt idx="10">
                  <c:v>78.22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0F3-4317-ACA4-7F81E321C57D}"/>
            </c:ext>
          </c:extLst>
        </c:ser>
        <c:ser>
          <c:idx val="8"/>
          <c:order val="8"/>
          <c:tx>
            <c:strRef>
              <c:f>Vol_Surface!$A$32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Vol_Surface!$B$32:$L$32</c:f>
              <c:numCache>
                <c:formatCode>General</c:formatCode>
                <c:ptCount val="11"/>
                <c:pt idx="0">
                  <c:v>44.3</c:v>
                </c:pt>
                <c:pt idx="1">
                  <c:v>44.47</c:v>
                </c:pt>
                <c:pt idx="2">
                  <c:v>45.28</c:v>
                </c:pt>
                <c:pt idx="3">
                  <c:v>46.39</c:v>
                </c:pt>
                <c:pt idx="4">
                  <c:v>48.5</c:v>
                </c:pt>
                <c:pt idx="5">
                  <c:v>50.48</c:v>
                </c:pt>
                <c:pt idx="6">
                  <c:v>53.7</c:v>
                </c:pt>
                <c:pt idx="7">
                  <c:v>56.38</c:v>
                </c:pt>
                <c:pt idx="8">
                  <c:v>58.74</c:v>
                </c:pt>
                <c:pt idx="9">
                  <c:v>63.3</c:v>
                </c:pt>
                <c:pt idx="10">
                  <c:v>72.37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F3-4317-ACA4-7F81E321C57D}"/>
            </c:ext>
          </c:extLst>
        </c:ser>
        <c:ser>
          <c:idx val="9"/>
          <c:order val="9"/>
          <c:tx>
            <c:strRef>
              <c:f>Vol_Surface!$A$33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Vol_Surface!$B$23:$L$23</c:f>
              <c:numCache>
                <c:formatCode>0.000</c:formatCode>
                <c:ptCount val="11"/>
                <c:pt idx="0">
                  <c:v>-5.0000000000000001E-3</c:v>
                </c:pt>
                <c:pt idx="1">
                  <c:v>-2.5000000000000001E-3</c:v>
                </c:pt>
                <c:pt idx="2">
                  <c:v>-1.2999999999999999E-3</c:v>
                </c:pt>
                <c:pt idx="3">
                  <c:v>0</c:v>
                </c:pt>
                <c:pt idx="4">
                  <c:v>2.5000000000000001E-3</c:v>
                </c:pt>
                <c:pt idx="5">
                  <c:v>5.0000000000000001E-3</c:v>
                </c:pt>
                <c:pt idx="6">
                  <c:v>0.01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0.03</c:v>
                </c:pt>
                <c:pt idx="10">
                  <c:v>0.05</c:v>
                </c:pt>
              </c:numCache>
            </c:numRef>
          </c:cat>
          <c:val>
            <c:numRef>
              <c:f>Vol_Surface!$B$33:$L$33</c:f>
              <c:numCache>
                <c:formatCode>General</c:formatCode>
                <c:ptCount val="11"/>
                <c:pt idx="0">
                  <c:v>45.7</c:v>
                </c:pt>
                <c:pt idx="1">
                  <c:v>46.13</c:v>
                </c:pt>
                <c:pt idx="2">
                  <c:v>46.86</c:v>
                </c:pt>
                <c:pt idx="3">
                  <c:v>47.65</c:v>
                </c:pt>
                <c:pt idx="4">
                  <c:v>49.41</c:v>
                </c:pt>
                <c:pt idx="5">
                  <c:v>51</c:v>
                </c:pt>
                <c:pt idx="6">
                  <c:v>53.76</c:v>
                </c:pt>
                <c:pt idx="7">
                  <c:v>56.15</c:v>
                </c:pt>
                <c:pt idx="8">
                  <c:v>58.31</c:v>
                </c:pt>
                <c:pt idx="9">
                  <c:v>62.4</c:v>
                </c:pt>
                <c:pt idx="10">
                  <c:v>70.900000000000006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0F3-4317-ACA4-7F81E321C5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88669664"/>
        <c:axId val="488669336"/>
        <c:axId val="491147624"/>
      </c:surface3DChart>
      <c:catAx>
        <c:axId val="488669664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9336"/>
        <c:crosses val="autoZero"/>
        <c:auto val="1"/>
        <c:lblAlgn val="ctr"/>
        <c:lblOffset val="100"/>
        <c:noMultiLvlLbl val="0"/>
      </c:catAx>
      <c:valAx>
        <c:axId val="48866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9664"/>
        <c:crosses val="autoZero"/>
        <c:crossBetween val="midCat"/>
      </c:valAx>
      <c:serAx>
        <c:axId val="4911476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9336"/>
        <c:crosses val="autoZero"/>
      </c:ser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3234323970373272E-2"/>
          <c:y val="3.499451921361113E-2"/>
          <c:w val="0.88228667068790312"/>
          <c:h val="0.88626227810194402"/>
        </c:manualLayout>
      </c:layout>
      <c:surface3DChart>
        <c:wireframe val="0"/>
        <c:ser>
          <c:idx val="0"/>
          <c:order val="0"/>
          <c:tx>
            <c:strRef>
              <c:f>Vol_Surface!$A$4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Vol_Surface!$B$4:$M$4</c:f>
              <c:numCache>
                <c:formatCode>General</c:formatCode>
                <c:ptCount val="12"/>
                <c:pt idx="0">
                  <c:v>132.78</c:v>
                </c:pt>
                <c:pt idx="1">
                  <c:v>125.79</c:v>
                </c:pt>
                <c:pt idx="2">
                  <c:v>117.51</c:v>
                </c:pt>
                <c:pt idx="3">
                  <c:v>106.51</c:v>
                </c:pt>
                <c:pt idx="4">
                  <c:v>82.81</c:v>
                </c:pt>
                <c:pt idx="5">
                  <c:v>56.77</c:v>
                </c:pt>
                <c:pt idx="6">
                  <c:v>30.19</c:v>
                </c:pt>
                <c:pt idx="7">
                  <c:v>55.58</c:v>
                </c:pt>
                <c:pt idx="8">
                  <c:v>119.55</c:v>
                </c:pt>
                <c:pt idx="9">
                  <c:v>185.45</c:v>
                </c:pt>
                <c:pt idx="10">
                  <c:v>77.5</c:v>
                </c:pt>
                <c:pt idx="11">
                  <c:v>93.2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6-40B2-9FE3-B58BF679176D}"/>
            </c:ext>
          </c:extLst>
        </c:ser>
        <c:ser>
          <c:idx val="1"/>
          <c:order val="1"/>
          <c:tx>
            <c:strRef>
              <c:f>Vol_Surface!$A$5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Vol_Surface!$B$5:$M$5</c:f>
              <c:numCache>
                <c:formatCode>General</c:formatCode>
                <c:ptCount val="12"/>
                <c:pt idx="0">
                  <c:v>83.64</c:v>
                </c:pt>
                <c:pt idx="1">
                  <c:v>79.680000000000007</c:v>
                </c:pt>
                <c:pt idx="2">
                  <c:v>75.92</c:v>
                </c:pt>
                <c:pt idx="3">
                  <c:v>72.16</c:v>
                </c:pt>
                <c:pt idx="4">
                  <c:v>64.650000000000006</c:v>
                </c:pt>
                <c:pt idx="5">
                  <c:v>56.48</c:v>
                </c:pt>
                <c:pt idx="6">
                  <c:v>45.28</c:v>
                </c:pt>
                <c:pt idx="7">
                  <c:v>52.3</c:v>
                </c:pt>
                <c:pt idx="8">
                  <c:v>75.23</c:v>
                </c:pt>
                <c:pt idx="9">
                  <c:v>104.89</c:v>
                </c:pt>
                <c:pt idx="10">
                  <c:v>82.6</c:v>
                </c:pt>
                <c:pt idx="11">
                  <c:v>98.7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B6-40B2-9FE3-B58BF679176D}"/>
            </c:ext>
          </c:extLst>
        </c:ser>
        <c:ser>
          <c:idx val="2"/>
          <c:order val="2"/>
          <c:tx>
            <c:strRef>
              <c:f>Vol_Surface!$A$6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Vol_Surface!$B$6:$M$6</c:f>
              <c:numCache>
                <c:formatCode>General</c:formatCode>
                <c:ptCount val="12"/>
                <c:pt idx="0">
                  <c:v>81.569999999999993</c:v>
                </c:pt>
                <c:pt idx="1">
                  <c:v>78.739999999999995</c:v>
                </c:pt>
                <c:pt idx="2">
                  <c:v>75.900000000000006</c:v>
                </c:pt>
                <c:pt idx="3">
                  <c:v>72.86</c:v>
                </c:pt>
                <c:pt idx="4">
                  <c:v>66.63</c:v>
                </c:pt>
                <c:pt idx="5">
                  <c:v>60.08</c:v>
                </c:pt>
                <c:pt idx="6">
                  <c:v>52.15</c:v>
                </c:pt>
                <c:pt idx="7">
                  <c:v>56.78</c:v>
                </c:pt>
                <c:pt idx="8">
                  <c:v>71</c:v>
                </c:pt>
                <c:pt idx="9">
                  <c:v>89.28</c:v>
                </c:pt>
                <c:pt idx="10">
                  <c:v>91.9</c:v>
                </c:pt>
                <c:pt idx="11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6-40B2-9FE3-B58BF679176D}"/>
            </c:ext>
          </c:extLst>
        </c:ser>
        <c:ser>
          <c:idx val="3"/>
          <c:order val="3"/>
          <c:tx>
            <c:strRef>
              <c:f>Vol_Surface!$A$7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Vol_Surface!$B$7:$M$7</c:f>
              <c:numCache>
                <c:formatCode>General</c:formatCode>
                <c:ptCount val="12"/>
                <c:pt idx="0">
                  <c:v>80.510000000000005</c:v>
                </c:pt>
                <c:pt idx="1">
                  <c:v>78.14</c:v>
                </c:pt>
                <c:pt idx="2">
                  <c:v>75.75</c:v>
                </c:pt>
                <c:pt idx="3">
                  <c:v>73.239999999999995</c:v>
                </c:pt>
                <c:pt idx="4">
                  <c:v>67.95</c:v>
                </c:pt>
                <c:pt idx="5">
                  <c:v>62.47</c:v>
                </c:pt>
                <c:pt idx="6">
                  <c:v>56.46</c:v>
                </c:pt>
                <c:pt idx="7">
                  <c:v>59.93</c:v>
                </c:pt>
                <c:pt idx="8">
                  <c:v>70.91</c:v>
                </c:pt>
                <c:pt idx="9">
                  <c:v>84.03</c:v>
                </c:pt>
                <c:pt idx="10">
                  <c:v>95</c:v>
                </c:pt>
                <c:pt idx="11">
                  <c:v>109.8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B6-40B2-9FE3-B58BF679176D}"/>
            </c:ext>
          </c:extLst>
        </c:ser>
        <c:ser>
          <c:idx val="4"/>
          <c:order val="4"/>
          <c:tx>
            <c:strRef>
              <c:f>Vol_Surface!$A$8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Vol_Surface!$B$8:$M$8</c:f>
              <c:numCache>
                <c:formatCode>General</c:formatCode>
                <c:ptCount val="12"/>
                <c:pt idx="0">
                  <c:v>78.36</c:v>
                </c:pt>
                <c:pt idx="1">
                  <c:v>76.53</c:v>
                </c:pt>
                <c:pt idx="2">
                  <c:v>74.489999999999995</c:v>
                </c:pt>
                <c:pt idx="3">
                  <c:v>72.44</c:v>
                </c:pt>
                <c:pt idx="4">
                  <c:v>68.19</c:v>
                </c:pt>
                <c:pt idx="5">
                  <c:v>63.53</c:v>
                </c:pt>
                <c:pt idx="6">
                  <c:v>58.91</c:v>
                </c:pt>
                <c:pt idx="7">
                  <c:v>61.71</c:v>
                </c:pt>
                <c:pt idx="8">
                  <c:v>70.61</c:v>
                </c:pt>
                <c:pt idx="9">
                  <c:v>81.23</c:v>
                </c:pt>
                <c:pt idx="10">
                  <c:v>92.2</c:v>
                </c:pt>
                <c:pt idx="11">
                  <c:v>105.6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B6-40B2-9FE3-B58BF679176D}"/>
            </c:ext>
          </c:extLst>
        </c:ser>
        <c:ser>
          <c:idx val="5"/>
          <c:order val="5"/>
          <c:tx>
            <c:strRef>
              <c:f>Vol_Surface!$A$9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Vol_Surface!$B$9:$M$9</c:f>
              <c:numCache>
                <c:formatCode>General</c:formatCode>
                <c:ptCount val="12"/>
                <c:pt idx="0">
                  <c:v>75.510000000000005</c:v>
                </c:pt>
                <c:pt idx="1">
                  <c:v>74.2</c:v>
                </c:pt>
                <c:pt idx="2">
                  <c:v>72.900000000000006</c:v>
                </c:pt>
                <c:pt idx="3">
                  <c:v>71.42</c:v>
                </c:pt>
                <c:pt idx="4">
                  <c:v>68.37</c:v>
                </c:pt>
                <c:pt idx="5">
                  <c:v>65.27</c:v>
                </c:pt>
                <c:pt idx="6">
                  <c:v>62.28</c:v>
                </c:pt>
                <c:pt idx="7">
                  <c:v>64.56</c:v>
                </c:pt>
                <c:pt idx="8">
                  <c:v>71.489999999999995</c:v>
                </c:pt>
                <c:pt idx="9">
                  <c:v>79.849999999999994</c:v>
                </c:pt>
                <c:pt idx="10">
                  <c:v>88.6</c:v>
                </c:pt>
                <c:pt idx="11">
                  <c:v>100.4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B6-40B2-9FE3-B58BF679176D}"/>
            </c:ext>
          </c:extLst>
        </c:ser>
        <c:ser>
          <c:idx val="6"/>
          <c:order val="6"/>
          <c:tx>
            <c:strRef>
              <c:f>Vol_Surface!$A$10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Vol_Surface!$B$10:$M$10</c:f>
              <c:numCache>
                <c:formatCode>General</c:formatCode>
                <c:ptCount val="12"/>
                <c:pt idx="0">
                  <c:v>73.010000000000005</c:v>
                </c:pt>
                <c:pt idx="1">
                  <c:v>71.97</c:v>
                </c:pt>
                <c:pt idx="2">
                  <c:v>70.86</c:v>
                </c:pt>
                <c:pt idx="3">
                  <c:v>69.7</c:v>
                </c:pt>
                <c:pt idx="4">
                  <c:v>67.38</c:v>
                </c:pt>
                <c:pt idx="5">
                  <c:v>65.040000000000006</c:v>
                </c:pt>
                <c:pt idx="6">
                  <c:v>63</c:v>
                </c:pt>
                <c:pt idx="7">
                  <c:v>64.52</c:v>
                </c:pt>
                <c:pt idx="8">
                  <c:v>70.040000000000006</c:v>
                </c:pt>
                <c:pt idx="9">
                  <c:v>77.150000000000006</c:v>
                </c:pt>
                <c:pt idx="10">
                  <c:v>85.9</c:v>
                </c:pt>
                <c:pt idx="11">
                  <c:v>96.9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B6-40B2-9FE3-B58BF679176D}"/>
            </c:ext>
          </c:extLst>
        </c:ser>
        <c:ser>
          <c:idx val="7"/>
          <c:order val="7"/>
          <c:tx>
            <c:strRef>
              <c:f>Vol_Surface!$A$11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Vol_Surface!$B$11:$M$11</c:f>
              <c:numCache>
                <c:formatCode>General</c:formatCode>
                <c:ptCount val="12"/>
                <c:pt idx="0">
                  <c:v>71.16</c:v>
                </c:pt>
                <c:pt idx="1">
                  <c:v>70.13</c:v>
                </c:pt>
                <c:pt idx="2">
                  <c:v>69.14</c:v>
                </c:pt>
                <c:pt idx="3">
                  <c:v>68.11</c:v>
                </c:pt>
                <c:pt idx="4">
                  <c:v>65.97</c:v>
                </c:pt>
                <c:pt idx="5">
                  <c:v>63.86</c:v>
                </c:pt>
                <c:pt idx="6">
                  <c:v>62.08</c:v>
                </c:pt>
                <c:pt idx="7">
                  <c:v>63.32</c:v>
                </c:pt>
                <c:pt idx="8">
                  <c:v>68.06</c:v>
                </c:pt>
                <c:pt idx="9">
                  <c:v>74.94</c:v>
                </c:pt>
                <c:pt idx="10">
                  <c:v>84.4</c:v>
                </c:pt>
                <c:pt idx="11">
                  <c:v>94.9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B6-40B2-9FE3-B58BF679176D}"/>
            </c:ext>
          </c:extLst>
        </c:ser>
        <c:ser>
          <c:idx val="8"/>
          <c:order val="8"/>
          <c:tx>
            <c:strRef>
              <c:f>Vol_Surface!$A$12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Vol_Surface!$B$12:$M$12</c:f>
              <c:numCache>
                <c:formatCode>General</c:formatCode>
                <c:ptCount val="12"/>
                <c:pt idx="0">
                  <c:v>70.11</c:v>
                </c:pt>
                <c:pt idx="1">
                  <c:v>69.16</c:v>
                </c:pt>
                <c:pt idx="2">
                  <c:v>68.16</c:v>
                </c:pt>
                <c:pt idx="3">
                  <c:v>67.22</c:v>
                </c:pt>
                <c:pt idx="4">
                  <c:v>65.22</c:v>
                </c:pt>
                <c:pt idx="5">
                  <c:v>63.29</c:v>
                </c:pt>
                <c:pt idx="6">
                  <c:v>61.84</c:v>
                </c:pt>
                <c:pt idx="7">
                  <c:v>62.76</c:v>
                </c:pt>
                <c:pt idx="8">
                  <c:v>67.06</c:v>
                </c:pt>
                <c:pt idx="9">
                  <c:v>73.75</c:v>
                </c:pt>
                <c:pt idx="10">
                  <c:v>83</c:v>
                </c:pt>
                <c:pt idx="11">
                  <c:v>93.2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CB6-40B2-9FE3-B58BF679176D}"/>
            </c:ext>
          </c:extLst>
        </c:ser>
        <c:ser>
          <c:idx val="9"/>
          <c:order val="9"/>
          <c:tx>
            <c:strRef>
              <c:f>Vol_Surface!$A$13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Vol_Surface!$B$3:$M$3</c:f>
              <c:numCache>
                <c:formatCode>0.000</c:formatCode>
                <c:ptCount val="12"/>
                <c:pt idx="0">
                  <c:v>2.5000000000000001E-3</c:v>
                </c:pt>
                <c:pt idx="1">
                  <c:v>5.0000000000000001E-3</c:v>
                </c:pt>
                <c:pt idx="2">
                  <c:v>7.4999999999999997E-3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7.0000000000000007E-2</c:v>
                </c:pt>
              </c:numCache>
            </c:numRef>
          </c:cat>
          <c:val>
            <c:numRef>
              <c:f>Vol_Surface!$B$13:$M$13</c:f>
              <c:numCache>
                <c:formatCode>General</c:formatCode>
                <c:ptCount val="12"/>
                <c:pt idx="0">
                  <c:v>66.86</c:v>
                </c:pt>
                <c:pt idx="1">
                  <c:v>66.16</c:v>
                </c:pt>
                <c:pt idx="2">
                  <c:v>65.3</c:v>
                </c:pt>
                <c:pt idx="3">
                  <c:v>64.48</c:v>
                </c:pt>
                <c:pt idx="4">
                  <c:v>62.92</c:v>
                </c:pt>
                <c:pt idx="5">
                  <c:v>61.51</c:v>
                </c:pt>
                <c:pt idx="6">
                  <c:v>60.55</c:v>
                </c:pt>
                <c:pt idx="7">
                  <c:v>61.55</c:v>
                </c:pt>
                <c:pt idx="8">
                  <c:v>66.11</c:v>
                </c:pt>
                <c:pt idx="9">
                  <c:v>73.150000000000006</c:v>
                </c:pt>
                <c:pt idx="10">
                  <c:v>80.900000000000006</c:v>
                </c:pt>
                <c:pt idx="11">
                  <c:v>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CB6-40B2-9FE3-B58BF679176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38044624"/>
        <c:axId val="538044296"/>
        <c:axId val="486284792"/>
      </c:surface3DChart>
      <c:catAx>
        <c:axId val="538044624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44296"/>
        <c:crosses val="autoZero"/>
        <c:auto val="1"/>
        <c:lblAlgn val="ctr"/>
        <c:lblOffset val="100"/>
        <c:noMultiLvlLbl val="0"/>
      </c:catAx>
      <c:valAx>
        <c:axId val="53804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44624"/>
        <c:crosses val="autoZero"/>
        <c:crossBetween val="midCat"/>
      </c:valAx>
      <c:serAx>
        <c:axId val="486284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44296"/>
        <c:crosses val="autoZero"/>
      </c:ser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0</xdr:rowOff>
    </xdr:from>
    <xdr:to>
      <xdr:col>2</xdr:col>
      <xdr:colOff>533400</xdr:colOff>
      <xdr:row>0</xdr:row>
      <xdr:rowOff>363278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0"/>
          <a:ext cx="381000" cy="3632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190500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8</xdr:row>
          <xdr:rowOff>190500</xdr:rowOff>
        </xdr:from>
        <xdr:to>
          <xdr:col>7</xdr:col>
          <xdr:colOff>182880</xdr:colOff>
          <xdr:row>10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23</xdr:row>
          <xdr:rowOff>190500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24</xdr:row>
          <xdr:rowOff>0</xdr:rowOff>
        </xdr:from>
        <xdr:to>
          <xdr:col>7</xdr:col>
          <xdr:colOff>182880</xdr:colOff>
          <xdr:row>25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38</xdr:row>
          <xdr:rowOff>190500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39</xdr:row>
          <xdr:rowOff>0</xdr:rowOff>
        </xdr:from>
        <xdr:to>
          <xdr:col>7</xdr:col>
          <xdr:colOff>182880</xdr:colOff>
          <xdr:row>40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28575</xdr:colOff>
      <xdr:row>16</xdr:row>
      <xdr:rowOff>33337</xdr:rowOff>
    </xdr:from>
    <xdr:to>
      <xdr:col>14</xdr:col>
      <xdr:colOff>647700</xdr:colOff>
      <xdr:row>30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257175</xdr:colOff>
      <xdr:row>0</xdr:row>
      <xdr:rowOff>0</xdr:rowOff>
    </xdr:from>
    <xdr:to>
      <xdr:col>11</xdr:col>
      <xdr:colOff>590550</xdr:colOff>
      <xdr:row>0</xdr:row>
      <xdr:rowOff>363278</xdr:rowOff>
    </xdr:to>
    <xdr:pic>
      <xdr:nvPicPr>
        <xdr:cNvPr id="10" name="Pictur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20600" y="0"/>
          <a:ext cx="333375" cy="3632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1333500</xdr:colOff>
          <xdr:row>1</xdr:row>
          <xdr:rowOff>350520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676275</xdr:colOff>
      <xdr:row>3</xdr:row>
      <xdr:rowOff>9524</xdr:rowOff>
    </xdr:from>
    <xdr:to>
      <xdr:col>22</xdr:col>
      <xdr:colOff>0</xdr:colOff>
      <xdr:row>15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17</xdr:row>
      <xdr:rowOff>76200</xdr:rowOff>
    </xdr:from>
    <xdr:to>
      <xdr:col>22</xdr:col>
      <xdr:colOff>0</xdr:colOff>
      <xdr:row>31</xdr:row>
      <xdr:rowOff>7620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7620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DFs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154641</xdr:colOff>
      <xdr:row>0</xdr:row>
      <xdr:rowOff>0</xdr:rowOff>
    </xdr:from>
    <xdr:to>
      <xdr:col>10</xdr:col>
      <xdr:colOff>571500</xdr:colOff>
      <xdr:row>0</xdr:row>
      <xdr:rowOff>385482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0582" y="0"/>
          <a:ext cx="416859" cy="385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105-1FBD-441A-9673-6DCEDF2F6984}">
  <sheetPr codeName="Sheet2">
    <tabColor rgb="FFFFC000"/>
    <pageSetUpPr fitToPage="1"/>
  </sheetPr>
  <dimension ref="A1:V56"/>
  <sheetViews>
    <sheetView showGridLines="0" topLeftCell="A10" zoomScaleNormal="100" workbookViewId="0">
      <selection activeCell="F17" sqref="F17"/>
    </sheetView>
  </sheetViews>
  <sheetFormatPr defaultRowHeight="14.4" x14ac:dyDescent="0.3"/>
  <cols>
    <col min="1" max="1" width="19.33203125" customWidth="1"/>
    <col min="2" max="2" width="19.5546875" customWidth="1"/>
    <col min="3" max="7" width="18" customWidth="1"/>
    <col min="8" max="8" width="19" customWidth="1"/>
    <col min="9" max="9" width="13.6640625" customWidth="1"/>
    <col min="10" max="10" width="11.109375" customWidth="1"/>
    <col min="11" max="11" width="9.6640625" customWidth="1"/>
    <col min="12" max="12" width="9.44140625" customWidth="1"/>
    <col min="13" max="13" width="8.5546875" customWidth="1"/>
    <col min="14" max="14" width="10.109375" customWidth="1"/>
    <col min="15" max="15" width="10.33203125" customWidth="1"/>
    <col min="16" max="16" width="11" customWidth="1"/>
    <col min="17" max="17" width="12.33203125" customWidth="1"/>
  </cols>
  <sheetData>
    <row r="1" spans="1:22" ht="32.25" customHeight="1" x14ac:dyDescent="0.3">
      <c r="A1" s="134" t="s">
        <v>109</v>
      </c>
      <c r="B1" s="134"/>
      <c r="C1" s="134"/>
      <c r="D1" s="134"/>
      <c r="E1" s="134"/>
      <c r="F1" s="134"/>
      <c r="G1" s="134"/>
      <c r="H1" s="134"/>
      <c r="I1" s="142" t="s">
        <v>109</v>
      </c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</row>
    <row r="2" spans="1:22" ht="28.5" customHeight="1" x14ac:dyDescent="0.3">
      <c r="A2" s="135" t="s">
        <v>83</v>
      </c>
      <c r="B2" s="135"/>
      <c r="C2" s="135"/>
      <c r="D2" s="135"/>
      <c r="E2" s="135"/>
      <c r="F2" s="135"/>
      <c r="G2" s="135"/>
      <c r="H2" s="135"/>
      <c r="I2" s="144" t="s">
        <v>113</v>
      </c>
      <c r="J2" s="145"/>
      <c r="K2" s="145"/>
      <c r="L2" s="145"/>
      <c r="M2" s="145"/>
      <c r="N2" s="145"/>
      <c r="O2" s="145"/>
      <c r="P2" s="146" t="s">
        <v>128</v>
      </c>
      <c r="Q2" s="147"/>
      <c r="R2" s="147"/>
      <c r="S2" s="147"/>
      <c r="T2" s="147"/>
      <c r="U2" s="147"/>
      <c r="V2" s="147"/>
    </row>
    <row r="3" spans="1:22" ht="27" customHeight="1" x14ac:dyDescent="0.45">
      <c r="A3" s="136" t="s">
        <v>105</v>
      </c>
      <c r="B3" s="141"/>
      <c r="C3" s="8"/>
      <c r="D3" s="138" t="s">
        <v>106</v>
      </c>
      <c r="E3" s="139"/>
      <c r="F3" s="139"/>
      <c r="G3" s="140"/>
      <c r="H3" s="8"/>
      <c r="I3" s="62" t="s">
        <v>112</v>
      </c>
      <c r="J3" s="63" t="s">
        <v>0</v>
      </c>
      <c r="K3" s="63" t="s">
        <v>1</v>
      </c>
      <c r="L3" s="63" t="s">
        <v>3</v>
      </c>
      <c r="M3" s="63" t="s">
        <v>2</v>
      </c>
      <c r="N3" s="63" t="s">
        <v>13</v>
      </c>
      <c r="O3" s="119" t="s">
        <v>4</v>
      </c>
      <c r="P3" s="148" t="s">
        <v>129</v>
      </c>
      <c r="Q3" s="149"/>
      <c r="R3" s="149"/>
      <c r="S3" s="149"/>
      <c r="T3" s="149"/>
      <c r="U3" s="149"/>
      <c r="V3" s="150"/>
    </row>
    <row r="4" spans="1:22" ht="15.6" x14ac:dyDescent="0.3">
      <c r="A4" s="110" t="s">
        <v>108</v>
      </c>
      <c r="B4" s="111">
        <f ca="1">WORKDAY(TODAY(),-1)</f>
        <v>43572</v>
      </c>
      <c r="C4" s="10"/>
      <c r="D4" s="102" t="s">
        <v>77</v>
      </c>
      <c r="E4" s="100">
        <f>VLOOKUP(D4,FX_Rate!A:B,2,0)</f>
        <v>0.88529999999999998</v>
      </c>
      <c r="F4" s="101" t="s">
        <v>81</v>
      </c>
      <c r="G4" s="103">
        <f>VLOOKUP(F4,FX_Rate!A:B,2,0)</f>
        <v>3.9407999999999999</v>
      </c>
      <c r="H4" s="13"/>
      <c r="I4" s="85">
        <v>2</v>
      </c>
      <c r="J4" s="86">
        <f>Rate_History!F6</f>
        <v>2.4994000000000001</v>
      </c>
      <c r="K4" s="86">
        <f>Rate_History!F31</f>
        <v>-0.19570000000000001</v>
      </c>
      <c r="L4" s="86">
        <f>Rate_History!F56</f>
        <v>-1.2500000000000001E-2</v>
      </c>
      <c r="M4" s="86">
        <f>Rate_History!F81</f>
        <v>1.0683</v>
      </c>
      <c r="N4" s="87">
        <f>Rate_History!F106</f>
        <v>-0.622</v>
      </c>
      <c r="O4" s="120">
        <f>Rate_History!F131</f>
        <v>1.996</v>
      </c>
      <c r="P4" s="90"/>
      <c r="Q4" s="91"/>
      <c r="R4" s="91"/>
      <c r="S4" s="91"/>
      <c r="T4" s="91"/>
      <c r="U4" s="91"/>
      <c r="V4" s="115"/>
    </row>
    <row r="5" spans="1:22" ht="15.6" x14ac:dyDescent="0.3">
      <c r="A5" s="112" t="s">
        <v>122</v>
      </c>
      <c r="B5" s="113" t="s">
        <v>124</v>
      </c>
      <c r="C5" s="13"/>
      <c r="D5" s="20" t="s">
        <v>78</v>
      </c>
      <c r="E5" s="12">
        <f>VLOOKUP(D5,FX_Rate!A:B,2,0)</f>
        <v>0.76649999999999996</v>
      </c>
      <c r="F5" s="14" t="s">
        <v>88</v>
      </c>
      <c r="G5" s="104">
        <f>VLOOKUP(F5,FX_Rate!A:B,2,0)</f>
        <v>1.0105</v>
      </c>
      <c r="H5" s="13"/>
      <c r="I5" s="41">
        <v>3</v>
      </c>
      <c r="J5" s="88">
        <f>Rate_History!F7</f>
        <v>2.4405999999999999</v>
      </c>
      <c r="K5" s="88">
        <f>Rate_History!F32</f>
        <v>-0.1191</v>
      </c>
      <c r="L5" s="88">
        <f>Rate_History!F57</f>
        <v>-1.125E-2</v>
      </c>
      <c r="M5" s="88">
        <f>Rate_History!F82</f>
        <v>1.1372</v>
      </c>
      <c r="N5" s="89">
        <f>Rate_History!F107</f>
        <v>-0.54749999999999999</v>
      </c>
      <c r="O5" s="121">
        <f>Rate_History!F132</f>
        <v>2.0093000000000001</v>
      </c>
      <c r="P5" s="90"/>
      <c r="Q5" s="91"/>
      <c r="R5" s="91"/>
      <c r="S5" s="91"/>
      <c r="T5" s="91"/>
      <c r="U5" s="91"/>
      <c r="V5" s="115"/>
    </row>
    <row r="6" spans="1:22" ht="15.6" x14ac:dyDescent="0.3">
      <c r="A6" s="114" t="s">
        <v>34</v>
      </c>
      <c r="B6" s="111" t="s">
        <v>35</v>
      </c>
      <c r="C6" s="13"/>
      <c r="D6" s="20" t="s">
        <v>79</v>
      </c>
      <c r="E6" s="69">
        <f>VLOOKUP(D6,FX_Rate!A:B,2,0)</f>
        <v>112.06</v>
      </c>
      <c r="F6" s="14" t="s">
        <v>89</v>
      </c>
      <c r="G6" s="96">
        <f>VLOOKUP(F6,FX_Rate!A:B,2,0)</f>
        <v>3160.87</v>
      </c>
      <c r="H6" s="129"/>
      <c r="I6" s="41">
        <v>4</v>
      </c>
      <c r="J6" s="88">
        <f>Rate_History!F8</f>
        <v>2.4253999999999998</v>
      </c>
      <c r="K6" s="88">
        <f>Rate_History!F33</f>
        <v>-2.5600000000000001E-2</v>
      </c>
      <c r="L6" s="88">
        <f>Rate_History!F58</f>
        <v>-5.0000000000000001E-3</v>
      </c>
      <c r="M6" s="88">
        <f>Rate_History!F83</f>
        <v>1.1977500000000001</v>
      </c>
      <c r="N6" s="89">
        <f>Rate_History!F108</f>
        <v>-0.45910000000000001</v>
      </c>
      <c r="O6" s="121">
        <f>Rate_History!F133</f>
        <v>2.0202</v>
      </c>
      <c r="P6" s="90"/>
      <c r="Q6" s="91"/>
      <c r="R6" s="91"/>
      <c r="S6" s="91"/>
      <c r="T6" s="91"/>
      <c r="U6" s="91"/>
      <c r="V6" s="115"/>
    </row>
    <row r="7" spans="1:22" ht="15.6" x14ac:dyDescent="0.3">
      <c r="A7" s="93" t="s">
        <v>33</v>
      </c>
      <c r="B7" s="96">
        <v>12</v>
      </c>
      <c r="C7" s="13"/>
      <c r="D7" s="20" t="s">
        <v>80</v>
      </c>
      <c r="E7" s="12">
        <f>VLOOKUP(D7,FX_Rate!A:B,2,0)</f>
        <v>1.3341000000000001</v>
      </c>
      <c r="F7" s="14" t="s">
        <v>90</v>
      </c>
      <c r="G7" s="105">
        <f>VLOOKUP(F7,FX_Rate!A:B,2,0)</f>
        <v>30.777999999999999</v>
      </c>
      <c r="H7" s="13"/>
      <c r="I7" s="42">
        <v>5</v>
      </c>
      <c r="J7" s="88">
        <f>Rate_History!F9</f>
        <v>2.4365000000000001</v>
      </c>
      <c r="K7" s="88">
        <f>Rate_History!F34</f>
        <v>7.5600000000000001E-2</v>
      </c>
      <c r="L7" s="88">
        <f>Rate_History!F59</f>
        <v>1.375E-2</v>
      </c>
      <c r="M7" s="88">
        <f>Rate_History!F84</f>
        <v>1.2468999999999999</v>
      </c>
      <c r="N7" s="89">
        <f>Rate_History!F109</f>
        <v>-0.36499999999999999</v>
      </c>
      <c r="O7" s="121">
        <f>Rate_History!F134</f>
        <v>2.0394999999999999</v>
      </c>
      <c r="P7" s="90"/>
      <c r="Q7" s="91"/>
      <c r="R7" s="91"/>
      <c r="S7" s="91"/>
      <c r="T7" s="91"/>
      <c r="U7" s="91"/>
      <c r="V7" s="115"/>
    </row>
    <row r="8" spans="1:22" ht="16.2" thickBot="1" x14ac:dyDescent="0.35">
      <c r="A8" s="94" t="s">
        <v>36</v>
      </c>
      <c r="B8" s="95">
        <v>0</v>
      </c>
      <c r="C8" s="13"/>
      <c r="D8" s="106" t="s">
        <v>87</v>
      </c>
      <c r="E8" s="107">
        <f>VLOOKUP(D8,FX_Rate!A:B,2,0)</f>
        <v>1.3931</v>
      </c>
      <c r="F8" s="108" t="s">
        <v>91</v>
      </c>
      <c r="G8" s="109">
        <f>VLOOKUP(F8,FX_Rate!A:B,2,0)</f>
        <v>9.2486999999999995</v>
      </c>
      <c r="H8" s="15"/>
      <c r="I8" s="43">
        <v>6</v>
      </c>
      <c r="J8" s="88">
        <f>Rate_History!F10</f>
        <v>2.4601999999999999</v>
      </c>
      <c r="K8" s="88">
        <f>Rate_History!F35</f>
        <v>0.17899999999999999</v>
      </c>
      <c r="L8" s="88">
        <f>Rate_History!F60</f>
        <v>3.7499999999999999E-2</v>
      </c>
      <c r="M8" s="88">
        <f>Rate_History!F85</f>
        <v>1.2882499999999999</v>
      </c>
      <c r="N8" s="89">
        <f>Rate_History!F110</f>
        <v>-0.27</v>
      </c>
      <c r="O8" s="121">
        <f>Rate_History!F135</f>
        <v>2.0847000000000002</v>
      </c>
      <c r="P8" s="90"/>
      <c r="Q8" s="91"/>
      <c r="R8" s="91"/>
      <c r="S8" s="91"/>
      <c r="T8" s="91"/>
      <c r="U8" s="91"/>
      <c r="V8" s="115"/>
    </row>
    <row r="9" spans="1:22" ht="15.6" x14ac:dyDescent="0.3">
      <c r="A9" s="16"/>
      <c r="B9" s="17"/>
      <c r="C9" s="13"/>
      <c r="D9" s="13"/>
      <c r="E9" s="13"/>
      <c r="F9" s="13"/>
      <c r="G9" s="13"/>
      <c r="H9" s="13"/>
      <c r="I9" s="41">
        <v>7</v>
      </c>
      <c r="J9" s="88">
        <f>Rate_History!F11</f>
        <v>2.4876</v>
      </c>
      <c r="K9" s="88">
        <f>Rate_History!F36</f>
        <v>0.28289999999999998</v>
      </c>
      <c r="L9" s="88">
        <f>Rate_History!F61</f>
        <v>6.5000000000000002E-2</v>
      </c>
      <c r="M9" s="88">
        <f>Rate_History!F86</f>
        <v>1.3252999999999999</v>
      </c>
      <c r="N9" s="89">
        <f>Rate_History!F111</f>
        <v>-0.16500000000000001</v>
      </c>
      <c r="O9" s="121">
        <f>Rate_History!F136</f>
        <v>2.1177999999999999</v>
      </c>
      <c r="P9" s="90"/>
      <c r="Q9" s="91"/>
      <c r="R9" s="91"/>
      <c r="S9" s="91"/>
      <c r="T9" s="91"/>
      <c r="U9" s="91"/>
      <c r="V9" s="115"/>
    </row>
    <row r="10" spans="1:22" ht="26.25" customHeight="1" x14ac:dyDescent="0.3">
      <c r="A10" s="136" t="s">
        <v>67</v>
      </c>
      <c r="B10" s="137"/>
      <c r="C10" s="137"/>
      <c r="D10" s="137"/>
      <c r="E10" s="137"/>
      <c r="F10" s="137"/>
      <c r="G10" s="137"/>
      <c r="H10" s="137"/>
      <c r="I10" s="41">
        <v>8</v>
      </c>
      <c r="J10" s="88">
        <f>Rate_History!F12</f>
        <v>2.5192000000000001</v>
      </c>
      <c r="K10" s="88">
        <f>Rate_History!F37</f>
        <v>0.38700000000000001</v>
      </c>
      <c r="L10" s="88">
        <f>Rate_History!F62</f>
        <v>9.5000000000000001E-2</v>
      </c>
      <c r="M10" s="88">
        <f>Rate_History!F87</f>
        <v>1.3592</v>
      </c>
      <c r="N10" s="89">
        <f>Rate_History!F112</f>
        <v>-5.8000000000000003E-2</v>
      </c>
      <c r="O10" s="121">
        <f>Rate_History!F137</f>
        <v>2.1608000000000001</v>
      </c>
      <c r="P10" s="90"/>
      <c r="Q10" s="91"/>
      <c r="R10" s="91"/>
      <c r="S10" s="91"/>
      <c r="T10" s="91"/>
      <c r="U10" s="91"/>
      <c r="V10" s="115"/>
    </row>
    <row r="11" spans="1:22" ht="22.8" x14ac:dyDescent="0.3">
      <c r="A11" s="132" t="s">
        <v>107</v>
      </c>
      <c r="B11" s="131"/>
      <c r="C11" s="131" t="s">
        <v>54</v>
      </c>
      <c r="D11" s="133"/>
      <c r="E11" s="130" t="s">
        <v>57</v>
      </c>
      <c r="F11" s="131"/>
      <c r="G11" s="131"/>
      <c r="H11" s="131"/>
      <c r="I11" s="41">
        <v>9</v>
      </c>
      <c r="J11" s="88">
        <f>Rate_History!F13</f>
        <v>2.5512000000000001</v>
      </c>
      <c r="K11" s="88">
        <f>Rate_History!F38</f>
        <v>0.48699999999999999</v>
      </c>
      <c r="L11" s="88">
        <f>Rate_History!F63</f>
        <v>0.12875</v>
      </c>
      <c r="M11" s="88">
        <f>Rate_History!F88</f>
        <v>1.3912</v>
      </c>
      <c r="N11" s="89">
        <f>Rate_History!F113</f>
        <v>2.75E-2</v>
      </c>
      <c r="O11" s="121">
        <f>Rate_History!F138</f>
        <v>2.2061999999999999</v>
      </c>
      <c r="P11" s="90"/>
      <c r="Q11" s="91"/>
      <c r="R11" s="91"/>
      <c r="S11" s="91"/>
      <c r="T11" s="91"/>
      <c r="U11" s="91"/>
      <c r="V11" s="115"/>
    </row>
    <row r="12" spans="1:22" ht="15.6" x14ac:dyDescent="0.3">
      <c r="A12" s="11" t="s">
        <v>11</v>
      </c>
      <c r="B12" s="18" t="s">
        <v>0</v>
      </c>
      <c r="C12" s="82" t="s">
        <v>11</v>
      </c>
      <c r="D12" s="19" t="s">
        <v>1</v>
      </c>
      <c r="E12" s="20" t="s">
        <v>16</v>
      </c>
      <c r="F12" s="21">
        <v>43572</v>
      </c>
      <c r="G12" s="11" t="s">
        <v>68</v>
      </c>
      <c r="H12" s="22">
        <v>-1.172383710356371</v>
      </c>
      <c r="I12" s="41">
        <v>10</v>
      </c>
      <c r="J12" s="88">
        <f>Rate_History!F14</f>
        <v>2.5831</v>
      </c>
      <c r="K12" s="88">
        <f>Rate_History!F39</f>
        <v>0.58050000000000002</v>
      </c>
      <c r="L12" s="88">
        <f>Rate_History!F64</f>
        <v>0.16375000000000001</v>
      </c>
      <c r="M12" s="88">
        <f>Rate_History!F89</f>
        <v>1.4213</v>
      </c>
      <c r="N12" s="89">
        <f>Rate_History!F114</f>
        <v>0.1225</v>
      </c>
      <c r="O12" s="121">
        <f>Rate_History!F139</f>
        <v>2.2490000000000001</v>
      </c>
      <c r="P12" s="90"/>
      <c r="Q12" s="91"/>
      <c r="R12" s="91"/>
      <c r="S12" s="91"/>
      <c r="T12" s="91"/>
      <c r="U12" s="91"/>
      <c r="V12" s="115"/>
    </row>
    <row r="13" spans="1:22" ht="15.6" x14ac:dyDescent="0.3">
      <c r="A13" s="11" t="s">
        <v>48</v>
      </c>
      <c r="B13" s="23">
        <v>10000000</v>
      </c>
      <c r="C13" s="83" t="s">
        <v>48</v>
      </c>
      <c r="D13" s="23">
        <v>10000000</v>
      </c>
      <c r="E13" s="20" t="s">
        <v>58</v>
      </c>
      <c r="F13" s="22">
        <v>-58428.726094816375</v>
      </c>
      <c r="G13" s="11" t="s">
        <v>74</v>
      </c>
      <c r="H13" s="22">
        <v>-6.8290036572434474</v>
      </c>
      <c r="I13" s="41">
        <v>15</v>
      </c>
      <c r="J13" s="88">
        <f>Rate_History!$F$19</f>
        <v>2.6941000000000002</v>
      </c>
      <c r="K13" s="88">
        <f>Rate_History!$F$44</f>
        <v>0.93220000000000003</v>
      </c>
      <c r="L13" s="88">
        <f>Rate_History!$F$69</f>
        <v>0.33750000000000002</v>
      </c>
      <c r="M13" s="88">
        <f>Rate_History!$F$94</f>
        <v>1.5193000000000001</v>
      </c>
      <c r="N13" s="89">
        <f>Rate_History!$F$119</f>
        <v>0.4325</v>
      </c>
      <c r="O13" s="121">
        <f>Rate_History!$F$141</f>
        <v>2.4388000000000001</v>
      </c>
      <c r="P13" s="90"/>
      <c r="Q13" s="91"/>
      <c r="R13" s="91"/>
      <c r="S13" s="91"/>
      <c r="T13" s="91"/>
      <c r="U13" s="91"/>
      <c r="V13" s="115"/>
    </row>
    <row r="14" spans="1:22" ht="15.6" x14ac:dyDescent="0.3">
      <c r="A14" s="11" t="s">
        <v>49</v>
      </c>
      <c r="B14" s="24">
        <v>43646</v>
      </c>
      <c r="C14" s="83" t="s">
        <v>49</v>
      </c>
      <c r="D14" s="24">
        <v>43646</v>
      </c>
      <c r="E14" s="25" t="s">
        <v>75</v>
      </c>
      <c r="F14" s="26">
        <v>2.58476600434367E-2</v>
      </c>
      <c r="G14" s="11" t="s">
        <v>69</v>
      </c>
      <c r="H14" s="22">
        <v>432.3392252550766</v>
      </c>
      <c r="I14" s="41">
        <v>20</v>
      </c>
      <c r="J14" s="88">
        <f>Rate_History!$F$22</f>
        <v>2.7422</v>
      </c>
      <c r="K14" s="88">
        <f>Rate_History!$F$47</f>
        <v>1.1032</v>
      </c>
      <c r="L14" s="88">
        <f>Rate_History!$F$72</f>
        <v>0.47625000000000001</v>
      </c>
      <c r="M14" s="88">
        <f>Rate_History!$F$97</f>
        <v>1.5583</v>
      </c>
      <c r="N14" s="89">
        <f>Rate_History!$F$120</f>
        <v>0.58499999999999996</v>
      </c>
      <c r="O14" s="121">
        <f>Rate_History!$F$142</f>
        <v>2.5354000000000001</v>
      </c>
      <c r="P14" s="90"/>
      <c r="Q14" s="91"/>
      <c r="R14" s="91"/>
      <c r="S14" s="91"/>
      <c r="T14" s="91"/>
      <c r="U14" s="91"/>
      <c r="V14" s="115"/>
    </row>
    <row r="15" spans="1:22" ht="15.6" x14ac:dyDescent="0.3">
      <c r="A15" s="11" t="s">
        <v>61</v>
      </c>
      <c r="B15" s="18">
        <v>5</v>
      </c>
      <c r="C15" s="83" t="s">
        <v>61</v>
      </c>
      <c r="D15" s="19">
        <v>5</v>
      </c>
      <c r="E15" s="20" t="s">
        <v>59</v>
      </c>
      <c r="F15" s="22">
        <v>4638.5836219509001</v>
      </c>
      <c r="G15" s="11" t="s">
        <v>70</v>
      </c>
      <c r="H15" s="22">
        <v>3964.8664163793146</v>
      </c>
      <c r="I15" s="41">
        <v>25</v>
      </c>
      <c r="J15" s="88">
        <f>Rate_History!$F$23</f>
        <v>2.7576999999999998</v>
      </c>
      <c r="K15" s="88">
        <f>Rate_History!$F$48</f>
        <v>1.1659999999999999</v>
      </c>
      <c r="L15" s="88">
        <f>Rate_History!$F$73</f>
        <v>0.55874999999999997</v>
      </c>
      <c r="M15" s="88">
        <f>Rate_History!$F$98</f>
        <v>1.56355</v>
      </c>
      <c r="N15" s="89">
        <f>Rate_History!$F$121</f>
        <v>0.62250000000000005</v>
      </c>
      <c r="O15" s="121">
        <f>Rate_History!$F$143</f>
        <v>2.5581999999999998</v>
      </c>
      <c r="P15" s="90"/>
      <c r="Q15" s="91"/>
      <c r="R15" s="91"/>
      <c r="S15" s="91"/>
      <c r="T15" s="91"/>
      <c r="U15" s="91"/>
      <c r="V15" s="115"/>
    </row>
    <row r="16" spans="1:22" ht="15.6" x14ac:dyDescent="0.3">
      <c r="A16" s="11" t="s">
        <v>138</v>
      </c>
      <c r="B16" s="27">
        <v>2.5000000000000001E-2</v>
      </c>
      <c r="C16" s="83" t="s">
        <v>138</v>
      </c>
      <c r="D16" s="27">
        <v>0</v>
      </c>
      <c r="E16" s="20" t="s">
        <v>76</v>
      </c>
      <c r="F16" s="28"/>
      <c r="G16" s="11" t="s">
        <v>71</v>
      </c>
      <c r="H16" s="22">
        <v>391.08764319657348</v>
      </c>
      <c r="I16" s="125">
        <v>30</v>
      </c>
      <c r="J16" s="126">
        <f>Rate_History!$F$24</f>
        <v>2.762</v>
      </c>
      <c r="K16" s="126">
        <f>Rate_History!$F$49</f>
        <v>1.1830000000000001</v>
      </c>
      <c r="L16" s="126">
        <f>Rate_History!$F$74</f>
        <v>0.60875000000000001</v>
      </c>
      <c r="M16" s="126">
        <f>Rate_History!$F$99</f>
        <v>1.5592999999999999</v>
      </c>
      <c r="N16" s="127">
        <f>Rate_History!$F$122</f>
        <v>0.64500000000000002</v>
      </c>
      <c r="O16" s="128">
        <f>Rate_History!$F$144</f>
        <v>2.5417999999999998</v>
      </c>
      <c r="P16" s="90"/>
      <c r="Q16" s="91"/>
      <c r="R16" s="91"/>
      <c r="S16" s="91"/>
      <c r="T16" s="91"/>
      <c r="U16" s="91"/>
      <c r="V16" s="115"/>
    </row>
    <row r="17" spans="1:22" ht="22.5" customHeight="1" x14ac:dyDescent="0.3">
      <c r="A17" s="11" t="s">
        <v>56</v>
      </c>
      <c r="B17" s="18" t="s">
        <v>143</v>
      </c>
      <c r="C17" s="83" t="s">
        <v>56</v>
      </c>
      <c r="D17" s="19" t="s">
        <v>121</v>
      </c>
      <c r="E17" s="20"/>
      <c r="F17" s="18"/>
      <c r="G17" s="11" t="s">
        <v>72</v>
      </c>
      <c r="H17" s="22">
        <v>0</v>
      </c>
      <c r="I17" s="40"/>
      <c r="J17" s="91"/>
      <c r="K17" s="91"/>
      <c r="L17" s="91"/>
      <c r="M17" s="91"/>
      <c r="N17" s="91"/>
      <c r="O17" s="122"/>
      <c r="P17" s="148" t="s">
        <v>130</v>
      </c>
      <c r="Q17" s="149"/>
      <c r="R17" s="149"/>
      <c r="S17" s="149"/>
      <c r="T17" s="149"/>
      <c r="U17" s="149"/>
      <c r="V17" s="150"/>
    </row>
    <row r="18" spans="1:22" ht="15.6" x14ac:dyDescent="0.3">
      <c r="A18" s="11" t="s">
        <v>60</v>
      </c>
      <c r="B18" s="18" t="s">
        <v>53</v>
      </c>
      <c r="C18" s="83" t="s">
        <v>60</v>
      </c>
      <c r="D18" s="19" t="s">
        <v>52</v>
      </c>
      <c r="E18" s="20"/>
      <c r="F18" s="18"/>
      <c r="G18" s="11" t="s">
        <v>73</v>
      </c>
      <c r="H18" s="22">
        <v>0</v>
      </c>
      <c r="I18" s="40"/>
      <c r="J18" s="91"/>
      <c r="K18" s="91"/>
      <c r="L18" s="91"/>
      <c r="M18" s="91"/>
      <c r="N18" s="91"/>
      <c r="O18" s="122"/>
      <c r="P18" s="90"/>
      <c r="Q18" s="91"/>
      <c r="R18" s="91"/>
      <c r="S18" s="91"/>
      <c r="T18" s="91"/>
      <c r="U18" s="91"/>
      <c r="V18" s="115"/>
    </row>
    <row r="19" spans="1:22" ht="15.6" x14ac:dyDescent="0.3">
      <c r="A19" s="11" t="s">
        <v>50</v>
      </c>
      <c r="B19" s="18" t="s">
        <v>53</v>
      </c>
      <c r="C19" s="83" t="s">
        <v>50</v>
      </c>
      <c r="D19" s="19" t="s">
        <v>52</v>
      </c>
      <c r="E19" s="20"/>
      <c r="F19" s="18"/>
      <c r="G19" s="11" t="s">
        <v>141</v>
      </c>
      <c r="H19" s="22">
        <v>0</v>
      </c>
      <c r="I19" s="40"/>
      <c r="J19" s="91"/>
      <c r="K19" s="91"/>
      <c r="L19" s="91"/>
      <c r="M19" s="91"/>
      <c r="N19" s="91"/>
      <c r="O19" s="122"/>
      <c r="P19" s="90"/>
      <c r="Q19" s="91"/>
      <c r="R19" s="91"/>
      <c r="S19" s="91"/>
      <c r="T19" s="91"/>
      <c r="U19" s="91"/>
      <c r="V19" s="115"/>
    </row>
    <row r="20" spans="1:22" ht="16.2" thickBot="1" x14ac:dyDescent="0.35">
      <c r="A20" s="48" t="s">
        <v>62</v>
      </c>
      <c r="B20" s="45" t="s">
        <v>63</v>
      </c>
      <c r="C20" s="84" t="s">
        <v>62</v>
      </c>
      <c r="D20" s="46" t="s">
        <v>65</v>
      </c>
      <c r="E20" s="47"/>
      <c r="F20" s="45"/>
      <c r="G20" s="48" t="s">
        <v>142</v>
      </c>
      <c r="H20" s="49">
        <v>0</v>
      </c>
      <c r="I20" s="40"/>
      <c r="J20" s="91"/>
      <c r="K20" s="91"/>
      <c r="L20" s="91"/>
      <c r="M20" s="91"/>
      <c r="N20" s="91"/>
      <c r="O20" s="122"/>
      <c r="P20" s="90"/>
      <c r="Q20" s="91"/>
      <c r="R20" s="91"/>
      <c r="S20" s="91"/>
      <c r="T20" s="91"/>
      <c r="U20" s="91"/>
      <c r="V20" s="115"/>
    </row>
    <row r="21" spans="1:22" ht="15" thickTop="1" x14ac:dyDescent="0.3">
      <c r="A21" s="29"/>
      <c r="B21" s="29"/>
      <c r="C21" s="30"/>
      <c r="D21" s="29"/>
      <c r="E21" s="31"/>
      <c r="F21" s="29"/>
      <c r="G21" s="32"/>
      <c r="H21" s="33"/>
      <c r="I21" s="40"/>
      <c r="J21" s="91"/>
      <c r="K21" s="91"/>
      <c r="L21" s="91"/>
      <c r="M21" s="91"/>
      <c r="N21" s="91"/>
      <c r="O21" s="122"/>
      <c r="P21" s="90"/>
      <c r="Q21" s="91"/>
      <c r="R21" s="91"/>
      <c r="S21" s="91"/>
      <c r="T21" s="91"/>
      <c r="U21" s="91"/>
      <c r="V21" s="115"/>
    </row>
    <row r="22" spans="1:22" x14ac:dyDescent="0.3">
      <c r="A22" s="29"/>
      <c r="B22" s="29"/>
      <c r="C22" s="30"/>
      <c r="D22" s="29"/>
      <c r="E22" s="31"/>
      <c r="F22" s="29"/>
      <c r="G22" s="32"/>
      <c r="H22" s="33"/>
      <c r="I22" s="40"/>
      <c r="J22" s="91"/>
      <c r="K22" s="91"/>
      <c r="L22" s="91"/>
      <c r="M22" s="91"/>
      <c r="N22" s="91"/>
      <c r="O22" s="122"/>
      <c r="P22" s="90"/>
      <c r="Q22" s="91"/>
      <c r="R22" s="91"/>
      <c r="S22" s="91"/>
      <c r="T22" s="91"/>
      <c r="U22" s="91"/>
      <c r="V22" s="115"/>
    </row>
    <row r="23" spans="1:22" x14ac:dyDescent="0.3">
      <c r="A23" s="29"/>
      <c r="B23" s="29"/>
      <c r="C23" s="30"/>
      <c r="D23" s="29"/>
      <c r="E23" s="31"/>
      <c r="F23" s="29"/>
      <c r="G23" s="32"/>
      <c r="H23" s="33"/>
      <c r="I23" s="40"/>
      <c r="J23" s="91"/>
      <c r="K23" s="91"/>
      <c r="L23" s="91"/>
      <c r="M23" s="91"/>
      <c r="N23" s="91"/>
      <c r="O23" s="122"/>
      <c r="P23" s="90"/>
      <c r="Q23" s="91"/>
      <c r="R23" s="91"/>
      <c r="S23" s="91"/>
      <c r="T23" s="91"/>
      <c r="U23" s="91"/>
      <c r="V23" s="115"/>
    </row>
    <row r="24" spans="1:22" x14ac:dyDescent="0.3">
      <c r="A24" s="29"/>
      <c r="B24" s="29"/>
      <c r="C24" s="30"/>
      <c r="D24" s="29"/>
      <c r="E24" s="31"/>
      <c r="F24" s="29"/>
      <c r="G24" s="32"/>
      <c r="H24" s="33"/>
      <c r="I24" s="40"/>
      <c r="J24" s="91"/>
      <c r="K24" s="91"/>
      <c r="L24" s="91"/>
      <c r="M24" s="91"/>
      <c r="N24" s="91"/>
      <c r="O24" s="122"/>
      <c r="P24" s="90"/>
      <c r="Q24" s="91"/>
      <c r="R24" s="91"/>
      <c r="S24" s="91"/>
      <c r="T24" s="91"/>
      <c r="U24" s="91"/>
      <c r="V24" s="115"/>
    </row>
    <row r="25" spans="1:22" ht="28.2" x14ac:dyDescent="0.3">
      <c r="A25" s="136" t="s">
        <v>84</v>
      </c>
      <c r="B25" s="137"/>
      <c r="C25" s="137"/>
      <c r="D25" s="137"/>
      <c r="E25" s="137"/>
      <c r="F25" s="137"/>
      <c r="G25" s="137"/>
      <c r="H25" s="137"/>
      <c r="I25" s="40"/>
      <c r="J25" s="91"/>
      <c r="K25" s="91"/>
      <c r="L25" s="91"/>
      <c r="M25" s="91"/>
      <c r="N25" s="91"/>
      <c r="O25" s="122"/>
      <c r="P25" s="90"/>
      <c r="Q25" s="91"/>
      <c r="R25" s="91"/>
      <c r="S25" s="91"/>
      <c r="T25" s="91"/>
      <c r="U25" s="91"/>
      <c r="V25" s="115"/>
    </row>
    <row r="26" spans="1:22" ht="22.8" x14ac:dyDescent="0.3">
      <c r="A26" s="132" t="s">
        <v>107</v>
      </c>
      <c r="B26" s="131"/>
      <c r="C26" s="131" t="s">
        <v>54</v>
      </c>
      <c r="D26" s="133"/>
      <c r="E26" s="130" t="s">
        <v>57</v>
      </c>
      <c r="F26" s="131"/>
      <c r="G26" s="131"/>
      <c r="H26" s="131"/>
      <c r="I26" s="40"/>
      <c r="J26" s="91"/>
      <c r="K26" s="91"/>
      <c r="L26" s="91"/>
      <c r="M26" s="91"/>
      <c r="N26" s="91"/>
      <c r="O26" s="122"/>
      <c r="P26" s="90"/>
      <c r="Q26" s="91"/>
      <c r="R26" s="91"/>
      <c r="S26" s="91"/>
      <c r="T26" s="91"/>
      <c r="U26" s="91"/>
      <c r="V26" s="115"/>
    </row>
    <row r="27" spans="1:22" ht="15.6" x14ac:dyDescent="0.3">
      <c r="A27" s="9" t="s">
        <v>11</v>
      </c>
      <c r="B27" s="18" t="s">
        <v>0</v>
      </c>
      <c r="C27" s="79" t="s">
        <v>11</v>
      </c>
      <c r="D27" s="19" t="s">
        <v>1</v>
      </c>
      <c r="E27" s="34" t="s">
        <v>16</v>
      </c>
      <c r="F27" s="21">
        <v>43570</v>
      </c>
      <c r="G27" s="38" t="s">
        <v>111</v>
      </c>
      <c r="H27" s="22">
        <v>-190902.07798466925</v>
      </c>
      <c r="I27" s="40"/>
      <c r="J27" s="91"/>
      <c r="K27" s="91"/>
      <c r="L27" s="91"/>
      <c r="M27" s="91"/>
      <c r="N27" s="91"/>
      <c r="O27" s="122"/>
      <c r="P27" s="90"/>
      <c r="Q27" s="91"/>
      <c r="R27" s="91"/>
      <c r="S27" s="91"/>
      <c r="T27" s="91"/>
      <c r="U27" s="91"/>
      <c r="V27" s="115"/>
    </row>
    <row r="28" spans="1:22" ht="15.6" x14ac:dyDescent="0.3">
      <c r="A28" s="9" t="s">
        <v>48</v>
      </c>
      <c r="B28" s="23">
        <v>1000000</v>
      </c>
      <c r="C28" s="80" t="s">
        <v>48</v>
      </c>
      <c r="D28" s="23">
        <v>1000000</v>
      </c>
      <c r="E28" s="20"/>
      <c r="F28" s="35"/>
      <c r="G28" s="36"/>
      <c r="H28" s="23"/>
      <c r="I28" s="40"/>
      <c r="J28" s="91"/>
      <c r="K28" s="91"/>
      <c r="L28" s="91"/>
      <c r="M28" s="91"/>
      <c r="N28" s="91"/>
      <c r="O28" s="122"/>
      <c r="P28" s="90"/>
      <c r="Q28" s="91"/>
      <c r="R28" s="91"/>
      <c r="S28" s="91"/>
      <c r="T28" s="91"/>
      <c r="U28" s="91"/>
      <c r="V28" s="115"/>
    </row>
    <row r="29" spans="1:22" ht="15.6" x14ac:dyDescent="0.3">
      <c r="A29" s="9" t="s">
        <v>82</v>
      </c>
      <c r="B29" s="24">
        <v>44377</v>
      </c>
      <c r="C29" s="80" t="s">
        <v>82</v>
      </c>
      <c r="D29" s="24">
        <v>44377</v>
      </c>
      <c r="E29" s="25"/>
      <c r="F29" s="27"/>
      <c r="G29" s="11"/>
      <c r="H29" s="23"/>
      <c r="I29" s="40"/>
      <c r="J29" s="91"/>
      <c r="K29" s="91"/>
      <c r="L29" s="91"/>
      <c r="M29" s="91"/>
      <c r="N29" s="91"/>
      <c r="O29" s="122"/>
      <c r="P29" s="90"/>
      <c r="Q29" s="91"/>
      <c r="R29" s="91"/>
      <c r="S29" s="91"/>
      <c r="T29" s="91"/>
      <c r="U29" s="91"/>
      <c r="V29" s="115"/>
    </row>
    <row r="30" spans="1:22" ht="15.6" x14ac:dyDescent="0.3">
      <c r="A30" s="9"/>
      <c r="B30" s="24"/>
      <c r="C30" s="80"/>
      <c r="D30" s="24"/>
      <c r="E30" s="20"/>
      <c r="F30" s="23"/>
      <c r="G30" s="11"/>
      <c r="H30" s="23"/>
      <c r="I30" s="40"/>
      <c r="J30" s="91"/>
      <c r="K30" s="91"/>
      <c r="L30" s="91"/>
      <c r="M30" s="91"/>
      <c r="N30" s="91"/>
      <c r="O30" s="122"/>
      <c r="P30" s="90"/>
      <c r="Q30" s="91"/>
      <c r="R30" s="91"/>
      <c r="S30" s="91"/>
      <c r="T30" s="91"/>
      <c r="U30" s="91"/>
      <c r="V30" s="115"/>
    </row>
    <row r="31" spans="1:22" ht="16.2" thickBot="1" x14ac:dyDescent="0.35">
      <c r="A31" s="9"/>
      <c r="B31" s="27"/>
      <c r="C31" s="80"/>
      <c r="D31" s="19"/>
      <c r="E31" s="20"/>
      <c r="F31" s="18"/>
      <c r="G31" s="11"/>
      <c r="H31" s="23"/>
      <c r="I31" s="123"/>
      <c r="J31" s="117"/>
      <c r="K31" s="117"/>
      <c r="L31" s="117"/>
      <c r="M31" s="117"/>
      <c r="N31" s="117"/>
      <c r="O31" s="124"/>
      <c r="P31" s="116"/>
      <c r="Q31" s="117"/>
      <c r="R31" s="117"/>
      <c r="S31" s="117"/>
      <c r="T31" s="117"/>
      <c r="U31" s="117"/>
      <c r="V31" s="118"/>
    </row>
    <row r="32" spans="1:22" ht="16.2" thickTop="1" x14ac:dyDescent="0.3">
      <c r="A32" s="9"/>
      <c r="B32" s="18"/>
      <c r="C32" s="80"/>
      <c r="D32" s="19"/>
      <c r="E32" s="20"/>
      <c r="F32" s="18"/>
      <c r="G32" s="11"/>
      <c r="H32" s="23"/>
      <c r="I32" s="40"/>
    </row>
    <row r="33" spans="1:9" ht="15.6" x14ac:dyDescent="0.3">
      <c r="A33" s="9"/>
      <c r="B33" s="18"/>
      <c r="C33" s="80"/>
      <c r="D33" s="19"/>
      <c r="E33" s="20"/>
      <c r="F33" s="18"/>
      <c r="G33" s="11"/>
      <c r="H33" s="23"/>
      <c r="I33" s="40"/>
    </row>
    <row r="34" spans="1:9" ht="16.2" thickBot="1" x14ac:dyDescent="0.35">
      <c r="A34" s="44"/>
      <c r="B34" s="45"/>
      <c r="C34" s="81"/>
      <c r="D34" s="46"/>
      <c r="E34" s="47"/>
      <c r="F34" s="45"/>
      <c r="G34" s="48"/>
      <c r="H34" s="50"/>
      <c r="I34" s="40"/>
    </row>
    <row r="35" spans="1:9" ht="15" thickTop="1" x14ac:dyDescent="0.3">
      <c r="A35" s="29"/>
      <c r="B35" s="29"/>
      <c r="C35" s="30"/>
      <c r="D35" s="29"/>
      <c r="E35" s="31"/>
      <c r="F35" s="29"/>
      <c r="G35" s="32"/>
      <c r="H35" s="33"/>
      <c r="I35" s="40"/>
    </row>
    <row r="36" spans="1:9" x14ac:dyDescent="0.3">
      <c r="A36" s="29"/>
      <c r="B36" s="29"/>
      <c r="C36" s="30"/>
      <c r="D36" s="29"/>
      <c r="E36" s="31"/>
      <c r="F36" s="29"/>
      <c r="G36" s="32"/>
      <c r="H36" s="33"/>
      <c r="I36" s="40"/>
    </row>
    <row r="37" spans="1:9" x14ac:dyDescent="0.3">
      <c r="A37" s="29"/>
      <c r="B37" s="29"/>
      <c r="C37" s="30"/>
      <c r="D37" s="29"/>
      <c r="E37" s="31"/>
      <c r="F37" s="29"/>
      <c r="G37" s="32"/>
      <c r="H37" s="33"/>
      <c r="I37" s="40"/>
    </row>
    <row r="38" spans="1:9" x14ac:dyDescent="0.3">
      <c r="A38" s="29"/>
      <c r="B38" s="29"/>
      <c r="C38" s="30"/>
      <c r="D38" s="29"/>
      <c r="E38" s="31"/>
      <c r="F38" s="29"/>
      <c r="G38" s="32"/>
      <c r="H38" s="33"/>
      <c r="I38" s="40"/>
    </row>
    <row r="39" spans="1:9" x14ac:dyDescent="0.3">
      <c r="A39" s="29"/>
      <c r="B39" s="29"/>
      <c r="C39" s="30"/>
      <c r="D39" s="29"/>
      <c r="E39" s="31"/>
      <c r="F39" s="29"/>
      <c r="G39" s="32"/>
      <c r="H39" s="33"/>
      <c r="I39" s="40"/>
    </row>
    <row r="40" spans="1:9" ht="28.2" x14ac:dyDescent="0.3">
      <c r="A40" s="136" t="s">
        <v>85</v>
      </c>
      <c r="B40" s="137"/>
      <c r="C40" s="137"/>
      <c r="D40" s="137"/>
      <c r="E40" s="137"/>
      <c r="F40" s="137"/>
      <c r="G40" s="137"/>
      <c r="H40" s="137"/>
      <c r="I40" s="40"/>
    </row>
    <row r="41" spans="1:9" ht="22.8" x14ac:dyDescent="0.3">
      <c r="A41" s="132" t="s">
        <v>86</v>
      </c>
      <c r="B41" s="131"/>
      <c r="C41" s="131"/>
      <c r="D41" s="133"/>
      <c r="E41" s="130" t="s">
        <v>57</v>
      </c>
      <c r="F41" s="131"/>
      <c r="G41" s="131"/>
      <c r="H41" s="131"/>
      <c r="I41" s="40"/>
    </row>
    <row r="42" spans="1:9" ht="15.6" x14ac:dyDescent="0.3">
      <c r="A42" s="9" t="s">
        <v>92</v>
      </c>
      <c r="B42" s="18" t="s">
        <v>94</v>
      </c>
      <c r="C42" s="92" t="s">
        <v>110</v>
      </c>
      <c r="D42" s="19"/>
      <c r="E42" s="20" t="s">
        <v>16</v>
      </c>
      <c r="F42" s="21">
        <v>43572</v>
      </c>
      <c r="G42" s="11" t="s">
        <v>97</v>
      </c>
      <c r="H42" s="23">
        <v>126.36454151089299</v>
      </c>
      <c r="I42" s="40"/>
    </row>
    <row r="43" spans="1:9" ht="15.6" x14ac:dyDescent="0.3">
      <c r="A43" s="9" t="s">
        <v>11</v>
      </c>
      <c r="B43" s="18" t="s">
        <v>0</v>
      </c>
      <c r="C43" s="80"/>
      <c r="D43" s="23"/>
      <c r="E43" s="20" t="s">
        <v>58</v>
      </c>
      <c r="F43" s="23">
        <v>4895.9066474722486</v>
      </c>
      <c r="G43" s="11" t="s">
        <v>98</v>
      </c>
      <c r="H43" s="23">
        <v>2.2747875860459406</v>
      </c>
      <c r="I43" s="40"/>
    </row>
    <row r="44" spans="1:9" ht="15.6" x14ac:dyDescent="0.3">
      <c r="A44" s="9" t="s">
        <v>48</v>
      </c>
      <c r="B44" s="23">
        <v>1000000</v>
      </c>
      <c r="C44" s="80"/>
      <c r="D44" s="24"/>
      <c r="E44" s="37"/>
      <c r="F44" s="24"/>
      <c r="G44" s="11" t="s">
        <v>99</v>
      </c>
      <c r="H44" s="23">
        <v>116.87940608875051</v>
      </c>
      <c r="I44" s="40"/>
    </row>
    <row r="45" spans="1:9" ht="15.6" x14ac:dyDescent="0.3">
      <c r="A45" s="9" t="s">
        <v>102</v>
      </c>
      <c r="B45" s="27">
        <v>2.5000000000000001E-2</v>
      </c>
      <c r="C45" s="80"/>
      <c r="D45" s="24"/>
      <c r="E45" s="20"/>
      <c r="F45" s="23"/>
      <c r="G45" s="11" t="s">
        <v>101</v>
      </c>
      <c r="H45" s="23">
        <v>-0.91929751724285469</v>
      </c>
      <c r="I45" s="39"/>
    </row>
    <row r="46" spans="1:9" ht="15.6" x14ac:dyDescent="0.3">
      <c r="A46" s="9" t="s">
        <v>103</v>
      </c>
      <c r="B46" s="24">
        <v>43646</v>
      </c>
      <c r="C46" s="80"/>
      <c r="D46" s="19"/>
      <c r="E46" s="20"/>
      <c r="F46" s="24"/>
      <c r="G46" s="11" t="s">
        <v>100</v>
      </c>
      <c r="H46" s="23">
        <v>-0.82120942832022026</v>
      </c>
      <c r="I46" s="39"/>
    </row>
    <row r="47" spans="1:9" ht="15.6" x14ac:dyDescent="0.3">
      <c r="A47" s="9" t="s">
        <v>49</v>
      </c>
      <c r="B47" s="24">
        <v>43646</v>
      </c>
      <c r="C47" s="80"/>
      <c r="D47" s="19"/>
      <c r="E47" s="20"/>
      <c r="F47" s="24"/>
      <c r="G47" s="11"/>
      <c r="H47" s="23"/>
      <c r="I47" s="39"/>
    </row>
    <row r="48" spans="1:9" ht="15.6" x14ac:dyDescent="0.3">
      <c r="A48" s="9" t="s">
        <v>104</v>
      </c>
      <c r="B48" s="24">
        <v>44742</v>
      </c>
      <c r="C48" s="80"/>
      <c r="D48" s="19"/>
      <c r="E48" s="20"/>
      <c r="F48" s="24"/>
      <c r="G48" s="11"/>
      <c r="H48" s="23"/>
      <c r="I48" s="39"/>
    </row>
    <row r="49" spans="1:9" ht="16.2" thickBot="1" x14ac:dyDescent="0.35">
      <c r="A49" s="44" t="s">
        <v>60</v>
      </c>
      <c r="B49" s="45" t="s">
        <v>52</v>
      </c>
      <c r="C49" s="81"/>
      <c r="D49" s="46"/>
      <c r="E49" s="47"/>
      <c r="F49" s="51"/>
      <c r="G49" s="48"/>
      <c r="H49" s="50"/>
      <c r="I49" s="39"/>
    </row>
    <row r="50" spans="1:9" ht="15" thickTop="1" x14ac:dyDescent="0.3">
      <c r="F50" s="1"/>
      <c r="H50" s="1"/>
    </row>
    <row r="51" spans="1:9" x14ac:dyDescent="0.3">
      <c r="F51" s="1"/>
      <c r="H51" s="1"/>
    </row>
    <row r="52" spans="1:9" x14ac:dyDescent="0.3">
      <c r="F52" s="1"/>
      <c r="H52" s="1"/>
    </row>
    <row r="53" spans="1:9" x14ac:dyDescent="0.3">
      <c r="F53" s="1"/>
      <c r="H53" s="1"/>
    </row>
    <row r="54" spans="1:9" x14ac:dyDescent="0.3">
      <c r="H54" s="1"/>
    </row>
    <row r="55" spans="1:9" x14ac:dyDescent="0.3">
      <c r="H55" s="1"/>
    </row>
    <row r="56" spans="1:9" x14ac:dyDescent="0.3">
      <c r="H56" s="1"/>
    </row>
  </sheetData>
  <mergeCells count="20">
    <mergeCell ref="I1:V1"/>
    <mergeCell ref="I2:O2"/>
    <mergeCell ref="A40:H40"/>
    <mergeCell ref="P2:V2"/>
    <mergeCell ref="P3:V3"/>
    <mergeCell ref="P17:V17"/>
    <mergeCell ref="E41:H41"/>
    <mergeCell ref="A41:D41"/>
    <mergeCell ref="A1:H1"/>
    <mergeCell ref="A2:H2"/>
    <mergeCell ref="A25:H25"/>
    <mergeCell ref="A26:B26"/>
    <mergeCell ref="C26:D26"/>
    <mergeCell ref="E26:H26"/>
    <mergeCell ref="D3:G3"/>
    <mergeCell ref="A3:B3"/>
    <mergeCell ref="A11:B11"/>
    <mergeCell ref="C11:D11"/>
    <mergeCell ref="A10:H10"/>
    <mergeCell ref="E11:H11"/>
  </mergeCells>
  <pageMargins left="0.7" right="0.7" top="0.75" bottom="0.75" header="0.3" footer="0.3"/>
  <pageSetup scale="46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ricing_Swap">
                <anchor moveWithCells="1" sizeWithCells="1">
                  <from>
                    <xdr:col>7</xdr:col>
                    <xdr:colOff>190500</xdr:colOff>
                    <xdr:row>8</xdr:row>
                    <xdr:rowOff>190500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lear_Swap">
                <anchor moveWithCells="1" sizeWithCells="1">
                  <from>
                    <xdr:col>6</xdr:col>
                    <xdr:colOff>213360</xdr:colOff>
                    <xdr:row>8</xdr:row>
                    <xdr:rowOff>190500</xdr:rowOff>
                  </from>
                  <to>
                    <xdr:col>7</xdr:col>
                    <xdr:colOff>182880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Pricing_FX">
                <anchor moveWithCells="1" sizeWithCells="1">
                  <from>
                    <xdr:col>7</xdr:col>
                    <xdr:colOff>190500</xdr:colOff>
                    <xdr:row>23</xdr:row>
                    <xdr:rowOff>190500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lear_FX">
                <anchor moveWithCells="1" sizeWithCells="1">
                  <from>
                    <xdr:col>6</xdr:col>
                    <xdr:colOff>213360</xdr:colOff>
                    <xdr:row>24</xdr:row>
                    <xdr:rowOff>0</xdr:rowOff>
                  </from>
                  <to>
                    <xdr:col>7</xdr:col>
                    <xdr:colOff>182880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8" name="Button 10">
              <controlPr defaultSize="0" print="0" autoFill="0" autoPict="0" macro="[0]!Pricing_OPT">
                <anchor moveWithCells="1" sizeWithCells="1">
                  <from>
                    <xdr:col>7</xdr:col>
                    <xdr:colOff>190500</xdr:colOff>
                    <xdr:row>38</xdr:row>
                    <xdr:rowOff>190500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9" name="Button 11">
              <controlPr defaultSize="0" print="0" autoFill="0" autoPict="0" macro="[0]!Clear_OPT">
                <anchor moveWithCells="1" sizeWithCells="1">
                  <from>
                    <xdr:col>6</xdr:col>
                    <xdr:colOff>213360</xdr:colOff>
                    <xdr:row>39</xdr:row>
                    <xdr:rowOff>0</xdr:rowOff>
                  </from>
                  <to>
                    <xdr:col>7</xdr:col>
                    <xdr:colOff>182880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0" name="Button 13">
              <controlPr defaultSize="0" print="0" autoFill="0" autoPict="0" macro="[0]!Get_Data">
                <anchor moveWithCells="1" sizeWithCells="1">
                  <from>
                    <xdr:col>1</xdr:col>
                    <xdr:colOff>1333500</xdr:colOff>
                    <xdr:row>1</xdr:row>
                    <xdr:rowOff>350520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1" name="Button 26">
              <controlPr defaultSize="0" print="0" autoFill="0" autoPict="0" macro="[0]!Get_Dfs">
                <anchor moveWithCells="1" sizeWithCells="1">
                  <from>
                    <xdr:col>2</xdr:col>
                    <xdr:colOff>0</xdr:colOff>
                    <xdr:row>3</xdr:row>
                    <xdr:rowOff>7620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018EA3A-559A-4825-AECD-E9AF1814E9CD}">
          <x14:formula1>
            <xm:f>Settings!$A$2:$A$7</xm:f>
          </x14:formula1>
          <xm:sqref>B12 D12 B27 D27 B43</xm:sqref>
        </x14:dataValidation>
        <x14:dataValidation type="list" allowBlank="1" showInputMessage="1" showErrorMessage="1" xr:uid="{1CCFFA9C-9967-4B97-8362-1570AC91ED3D}">
          <x14:formula1>
            <xm:f>Settings!$C$2:$C$4</xm:f>
          </x14:formula1>
          <xm:sqref>B19 D19</xm:sqref>
        </x14:dataValidation>
        <x14:dataValidation type="list" allowBlank="1" showInputMessage="1" showErrorMessage="1" xr:uid="{A5A95644-04A2-47F3-846C-878A3A5739A0}">
          <x14:formula1>
            <xm:f>Settings!$B$2:$B$4</xm:f>
          </x14:formula1>
          <xm:sqref>B49 D18 B18</xm:sqref>
        </x14:dataValidation>
        <x14:dataValidation type="list" allowBlank="1" showInputMessage="1" showErrorMessage="1" xr:uid="{53BA47F5-A0C0-4AC1-812B-9681EDC3ABC2}">
          <x14:formula1>
            <xm:f>Settings!$D$2:$D$4</xm:f>
          </x14:formula1>
          <xm:sqref>B34 B20 D20</xm:sqref>
        </x14:dataValidation>
        <x14:dataValidation type="list" allowBlank="1" showInputMessage="1" showErrorMessage="1" xr:uid="{3760FB21-927E-4233-893F-3086B899B2C0}">
          <x14:formula1>
            <xm:f>Settings!$E$2:$E$4</xm:f>
          </x14:formula1>
          <xm:sqref>B42</xm:sqref>
        </x14:dataValidation>
        <x14:dataValidation type="list" allowBlank="1" showInputMessage="1" showErrorMessage="1" xr:uid="{5E4C461F-F15B-47ED-80AB-248C20D8F531}">
          <x14:formula1>
            <xm:f>Settings!$F$2:$F$3</xm:f>
          </x14:formula1>
          <xm:sqref>B5</xm:sqref>
        </x14:dataValidation>
        <x14:dataValidation type="list" allowBlank="1" showInputMessage="1" showErrorMessage="1" xr:uid="{1F23DFEA-E621-437D-A8BF-F1A9D8D6D171}">
          <x14:formula1>
            <xm:f>Settings!$H$2:$H$3</xm:f>
          </x14:formula1>
          <xm:sqref>B6</xm:sqref>
        </x14:dataValidation>
        <x14:dataValidation type="list" allowBlank="1" showInputMessage="1" showErrorMessage="1" xr:uid="{26849BB2-E6D8-4437-B8F7-EE87DA4A3E4C}">
          <x14:formula1>
            <xm:f>Settings!$G$2:$G$3</xm:f>
          </x14:formula1>
          <xm:sqref>B17 D17</xm:sqref>
        </x14:dataValidation>
        <x14:dataValidation type="list" allowBlank="1" showInputMessage="1" showErrorMessage="1" xr:uid="{C4695352-3ED0-44C7-ADDD-4438123239DB}">
          <x14:formula1>
            <xm:f>Settings!$I$2:$I$4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8E357-B140-4D73-BEA7-D3D70C82A6D2}">
  <sheetPr codeName="Sheet3">
    <tabColor rgb="FF92D050"/>
  </sheetPr>
  <dimension ref="A1:AF497"/>
  <sheetViews>
    <sheetView showGridLines="0" zoomScale="85" zoomScaleNormal="85" workbookViewId="0">
      <selection activeCell="U9" sqref="U9"/>
    </sheetView>
  </sheetViews>
  <sheetFormatPr defaultColWidth="9.109375" defaultRowHeight="13.8" x14ac:dyDescent="0.25"/>
  <cols>
    <col min="1" max="1" width="8.88671875" style="13" customWidth="1"/>
    <col min="2" max="2" width="13.5546875" style="13" customWidth="1"/>
    <col min="3" max="3" width="10.109375" style="13" customWidth="1"/>
    <col min="4" max="4" width="9" style="13" customWidth="1"/>
    <col min="5" max="5" width="9.44140625" style="13" customWidth="1"/>
    <col min="6" max="6" width="11" style="13" customWidth="1"/>
    <col min="7" max="8" width="9.109375" style="13" customWidth="1"/>
    <col min="9" max="9" width="11.33203125" style="13" customWidth="1"/>
    <col min="10" max="10" width="11.44140625" style="13" customWidth="1"/>
    <col min="11" max="11" width="10.33203125" style="13" customWidth="1"/>
    <col min="12" max="12" width="9.33203125" style="13" customWidth="1"/>
    <col min="13" max="13" width="8.6640625" style="13" customWidth="1"/>
    <col min="14" max="14" width="11.5546875" style="13" customWidth="1"/>
    <col min="15" max="15" width="9" style="13" customWidth="1"/>
    <col min="16" max="16" width="8" style="13" customWidth="1"/>
    <col min="17" max="17" width="9" style="13" customWidth="1"/>
    <col min="18" max="18" width="11" style="13" customWidth="1"/>
    <col min="19" max="19" width="9.5546875" style="13" customWidth="1"/>
    <col min="20" max="20" width="8.5546875" style="13" customWidth="1"/>
    <col min="21" max="21" width="10.109375" style="13" customWidth="1"/>
    <col min="22" max="22" width="10.88671875" style="13" customWidth="1"/>
    <col min="23" max="23" width="11.109375" style="13" customWidth="1"/>
    <col min="24" max="24" width="8" style="13" customWidth="1"/>
    <col min="25" max="25" width="9.33203125" style="13" customWidth="1"/>
    <col min="26" max="26" width="11.44140625" style="13" customWidth="1"/>
    <col min="27" max="27" width="9.33203125" style="13" customWidth="1"/>
    <col min="28" max="28" width="8" style="13" customWidth="1"/>
    <col min="29" max="29" width="9.33203125" style="13" customWidth="1"/>
    <col min="30" max="30" width="11.88671875" style="13" customWidth="1"/>
    <col min="31" max="31" width="9.33203125" style="13" customWidth="1"/>
    <col min="32" max="32" width="8.88671875" style="13" customWidth="1"/>
    <col min="33" max="34" width="8" style="13" customWidth="1"/>
    <col min="35" max="16384" width="9.109375" style="13"/>
  </cols>
  <sheetData>
    <row r="1" spans="1:32" ht="32.4" customHeight="1" x14ac:dyDescent="0.25">
      <c r="A1" s="152" t="s">
        <v>125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</row>
    <row r="2" spans="1:32" ht="24.6" x14ac:dyDescent="0.25">
      <c r="A2" s="153" t="s">
        <v>144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</row>
    <row r="3" spans="1:32" ht="20.399999999999999" x14ac:dyDescent="0.35">
      <c r="A3" s="151" t="s">
        <v>15</v>
      </c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</row>
    <row r="4" spans="1:32" x14ac:dyDescent="0.25">
      <c r="A4" s="97" t="s">
        <v>16</v>
      </c>
      <c r="B4" s="97" t="s">
        <v>17</v>
      </c>
      <c r="C4" s="97" t="s">
        <v>16</v>
      </c>
      <c r="D4" s="97" t="s">
        <v>18</v>
      </c>
      <c r="E4" s="97" t="s">
        <v>16</v>
      </c>
      <c r="F4" s="97" t="s">
        <v>19</v>
      </c>
      <c r="G4" s="97" t="s">
        <v>16</v>
      </c>
      <c r="H4" s="97" t="s">
        <v>20</v>
      </c>
      <c r="I4" s="97" t="s">
        <v>16</v>
      </c>
      <c r="J4" s="97" t="s">
        <v>23</v>
      </c>
      <c r="K4" s="97" t="s">
        <v>16</v>
      </c>
      <c r="L4" s="97" t="s">
        <v>24</v>
      </c>
      <c r="M4" s="97" t="s">
        <v>16</v>
      </c>
      <c r="N4" s="97" t="s">
        <v>21</v>
      </c>
      <c r="O4" s="97" t="s">
        <v>16</v>
      </c>
      <c r="P4" s="97" t="s">
        <v>22</v>
      </c>
      <c r="Q4" s="97" t="s">
        <v>16</v>
      </c>
      <c r="R4" s="97" t="s">
        <v>25</v>
      </c>
      <c r="S4" s="97" t="s">
        <v>16</v>
      </c>
      <c r="T4" s="97" t="s">
        <v>26</v>
      </c>
      <c r="U4" s="97" t="s">
        <v>16</v>
      </c>
      <c r="V4" s="97" t="s">
        <v>27</v>
      </c>
      <c r="W4" s="97" t="s">
        <v>16</v>
      </c>
      <c r="X4" s="97" t="s">
        <v>28</v>
      </c>
      <c r="Y4" s="97" t="s">
        <v>16</v>
      </c>
      <c r="Z4" s="97" t="s">
        <v>29</v>
      </c>
      <c r="AA4" s="97" t="s">
        <v>16</v>
      </c>
      <c r="AB4" s="97" t="s">
        <v>30</v>
      </c>
      <c r="AC4" s="97" t="s">
        <v>16</v>
      </c>
      <c r="AD4" s="97" t="s">
        <v>31</v>
      </c>
      <c r="AE4" s="97" t="s">
        <v>16</v>
      </c>
      <c r="AF4" s="97" t="s">
        <v>32</v>
      </c>
    </row>
    <row r="5" spans="1:32" x14ac:dyDescent="0.25">
      <c r="A5" s="60">
        <v>43572</v>
      </c>
      <c r="B5" s="64">
        <v>1</v>
      </c>
      <c r="C5" s="60">
        <v>43572</v>
      </c>
      <c r="D5" s="64">
        <v>1</v>
      </c>
      <c r="E5" s="60">
        <v>43572</v>
      </c>
      <c r="F5" s="64">
        <v>1</v>
      </c>
      <c r="G5" s="60">
        <v>43572</v>
      </c>
      <c r="H5" s="64">
        <v>1</v>
      </c>
      <c r="I5" s="60">
        <v>43572</v>
      </c>
      <c r="J5" s="64">
        <v>1</v>
      </c>
      <c r="K5" s="60">
        <v>43572</v>
      </c>
      <c r="L5" s="64">
        <v>1</v>
      </c>
      <c r="M5" s="60">
        <v>43572</v>
      </c>
      <c r="N5" s="64">
        <v>1</v>
      </c>
      <c r="O5" s="60">
        <v>43572</v>
      </c>
      <c r="P5" s="64">
        <v>1</v>
      </c>
      <c r="Q5" s="60">
        <v>43572</v>
      </c>
      <c r="R5" s="64">
        <v>1</v>
      </c>
      <c r="S5" s="60">
        <v>43572</v>
      </c>
      <c r="T5" s="64">
        <v>1</v>
      </c>
      <c r="U5" s="60">
        <v>43572</v>
      </c>
      <c r="V5" s="64">
        <v>1</v>
      </c>
      <c r="W5" s="60">
        <v>43572</v>
      </c>
      <c r="X5" s="64">
        <v>1</v>
      </c>
      <c r="Y5" s="60">
        <v>43572</v>
      </c>
      <c r="Z5" s="64">
        <v>1</v>
      </c>
      <c r="AA5" s="60">
        <v>43572</v>
      </c>
      <c r="AB5" s="64">
        <v>1</v>
      </c>
      <c r="AC5" s="60">
        <v>43572</v>
      </c>
      <c r="AD5" s="64">
        <v>1</v>
      </c>
      <c r="AE5" s="60">
        <v>43572</v>
      </c>
      <c r="AF5" s="64">
        <v>1</v>
      </c>
    </row>
    <row r="6" spans="1:32" x14ac:dyDescent="0.25">
      <c r="A6" s="60">
        <v>43951</v>
      </c>
      <c r="B6" s="64">
        <v>0.9736133791932905</v>
      </c>
      <c r="C6" s="60">
        <v>43951</v>
      </c>
      <c r="D6" s="64">
        <v>0.9736133791932905</v>
      </c>
      <c r="E6" s="60">
        <v>43951</v>
      </c>
      <c r="F6" s="64">
        <v>1.0031816954773878</v>
      </c>
      <c r="G6" s="60">
        <v>43951</v>
      </c>
      <c r="H6" s="64">
        <v>1.0046502321391724</v>
      </c>
      <c r="I6" s="60">
        <v>43951</v>
      </c>
      <c r="J6" s="64">
        <v>0.9841411079459359</v>
      </c>
      <c r="K6" s="60">
        <v>43951</v>
      </c>
      <c r="L6" s="64">
        <v>0.98277798297749519</v>
      </c>
      <c r="M6" s="60">
        <v>43951</v>
      </c>
      <c r="N6" s="64">
        <v>0.93346989131186942</v>
      </c>
      <c r="O6" s="60">
        <v>43951</v>
      </c>
      <c r="P6" s="64">
        <v>0.94704452993955712</v>
      </c>
      <c r="Q6" s="60">
        <v>43951</v>
      </c>
      <c r="R6" s="64">
        <v>1.0003071028178838</v>
      </c>
      <c r="S6" s="60">
        <v>43951</v>
      </c>
      <c r="T6" s="64">
        <v>1.0010646245260773</v>
      </c>
      <c r="U6" s="60">
        <v>43951</v>
      </c>
      <c r="V6" s="64">
        <v>0.9904347965292849</v>
      </c>
      <c r="W6" s="60">
        <v>43951</v>
      </c>
      <c r="X6" s="64">
        <v>0.99044782279663457</v>
      </c>
      <c r="Y6" s="60">
        <v>43951</v>
      </c>
      <c r="Z6" s="64">
        <v>1.0075087968797367</v>
      </c>
      <c r="AA6" s="60">
        <v>43951</v>
      </c>
      <c r="AB6" s="64">
        <v>1.0085882302675813</v>
      </c>
      <c r="AC6" s="60">
        <v>43951</v>
      </c>
      <c r="AD6" s="64">
        <v>0.97936619615138587</v>
      </c>
      <c r="AE6" s="60">
        <v>43951</v>
      </c>
      <c r="AF6" s="64">
        <v>0.98158273037654109</v>
      </c>
    </row>
    <row r="7" spans="1:32" x14ac:dyDescent="0.25">
      <c r="A7" s="60">
        <v>44316</v>
      </c>
      <c r="B7" s="64">
        <v>0.95077623299591052</v>
      </c>
      <c r="C7" s="60">
        <v>44316</v>
      </c>
      <c r="D7" s="64">
        <v>0.95073706649072198</v>
      </c>
      <c r="E7" s="60">
        <v>44316</v>
      </c>
      <c r="F7" s="64">
        <v>1.0039156731543732</v>
      </c>
      <c r="G7" s="60">
        <v>44316</v>
      </c>
      <c r="H7" s="64">
        <v>1.0065862688822398</v>
      </c>
      <c r="I7" s="60">
        <v>44316</v>
      </c>
      <c r="J7" s="64">
        <v>0.97573756047325666</v>
      </c>
      <c r="K7" s="60">
        <v>44316</v>
      </c>
      <c r="L7" s="64">
        <v>0.95862865772808592</v>
      </c>
      <c r="M7" s="60">
        <v>44316</v>
      </c>
      <c r="N7" s="64">
        <v>0.86046813519230825</v>
      </c>
      <c r="O7" s="60">
        <v>44316</v>
      </c>
      <c r="P7" s="64">
        <v>0.89321916857757977</v>
      </c>
      <c r="Q7" s="60">
        <v>44316</v>
      </c>
      <c r="R7" s="64">
        <v>1.0002539178736285</v>
      </c>
      <c r="S7" s="60">
        <v>44316</v>
      </c>
      <c r="T7" s="64">
        <v>1.0063911273787616</v>
      </c>
      <c r="U7" s="60">
        <v>44316</v>
      </c>
      <c r="V7" s="64">
        <v>0.97846520141069748</v>
      </c>
      <c r="W7" s="60">
        <v>44316</v>
      </c>
      <c r="X7" s="64">
        <v>0.97804227757885354</v>
      </c>
      <c r="Y7" s="60">
        <v>44316</v>
      </c>
      <c r="Z7" s="64">
        <v>1.0129033867378487</v>
      </c>
      <c r="AA7" s="60">
        <v>44316</v>
      </c>
      <c r="AB7" s="64">
        <v>1.0149297048440171</v>
      </c>
      <c r="AC7" s="60">
        <v>44316</v>
      </c>
      <c r="AD7" s="64">
        <v>0.96029972593774893</v>
      </c>
      <c r="AE7" s="60">
        <v>44316</v>
      </c>
      <c r="AF7" s="64">
        <v>0.9635595752999826</v>
      </c>
    </row>
    <row r="8" spans="1:32" x14ac:dyDescent="0.25">
      <c r="A8" s="60">
        <v>44681</v>
      </c>
      <c r="B8" s="64">
        <v>0.92909736641543417</v>
      </c>
      <c r="C8" s="60">
        <v>44681</v>
      </c>
      <c r="D8" s="64">
        <v>0.9289697605773517</v>
      </c>
      <c r="E8" s="60">
        <v>44681</v>
      </c>
      <c r="F8" s="64">
        <v>1.0034945730476994</v>
      </c>
      <c r="G8" s="60">
        <v>44681</v>
      </c>
      <c r="H8" s="64">
        <v>1.0076418053392735</v>
      </c>
      <c r="I8" s="60">
        <v>44681</v>
      </c>
      <c r="J8" s="64">
        <v>0.92860821451001052</v>
      </c>
      <c r="K8" s="60">
        <v>44681</v>
      </c>
      <c r="L8" s="64">
        <v>0.91061293213639172</v>
      </c>
      <c r="M8" s="60">
        <v>44681</v>
      </c>
      <c r="N8" s="64">
        <v>0.78541613235549934</v>
      </c>
      <c r="O8" s="60">
        <v>44681</v>
      </c>
      <c r="P8" s="64">
        <v>0.83797116524857218</v>
      </c>
      <c r="Q8" s="60">
        <v>44681</v>
      </c>
      <c r="R8" s="64">
        <v>1.00033419019276</v>
      </c>
      <c r="S8" s="60">
        <v>44681</v>
      </c>
      <c r="T8" s="64">
        <v>1.010801250034904</v>
      </c>
      <c r="U8" s="60">
        <v>44681</v>
      </c>
      <c r="V8" s="64">
        <v>0.96604477811792688</v>
      </c>
      <c r="W8" s="60">
        <v>44681</v>
      </c>
      <c r="X8" s="64">
        <v>0.96496011139103088</v>
      </c>
      <c r="Y8" s="60">
        <v>44681</v>
      </c>
      <c r="Z8" s="64">
        <v>1.016945878253886</v>
      </c>
      <c r="AA8" s="60">
        <v>44681</v>
      </c>
      <c r="AB8" s="64">
        <v>1.0202553122171205</v>
      </c>
      <c r="AC8" s="60">
        <v>44681</v>
      </c>
      <c r="AD8" s="64">
        <v>0.94104181632947081</v>
      </c>
      <c r="AE8" s="60">
        <v>44681</v>
      </c>
      <c r="AF8" s="64">
        <v>0.94531955767430387</v>
      </c>
    </row>
    <row r="9" spans="1:32" x14ac:dyDescent="0.25">
      <c r="A9" s="60">
        <v>45046</v>
      </c>
      <c r="B9" s="64">
        <v>0.90736625919584479</v>
      </c>
      <c r="C9" s="60">
        <v>45046</v>
      </c>
      <c r="D9" s="64">
        <v>0.90720512979991363</v>
      </c>
      <c r="E9" s="60">
        <v>45046</v>
      </c>
      <c r="F9" s="64">
        <v>1.0008560412554215</v>
      </c>
      <c r="G9" s="60">
        <v>45046</v>
      </c>
      <c r="H9" s="64">
        <v>1.0067517690895813</v>
      </c>
      <c r="I9" s="60">
        <v>45046</v>
      </c>
      <c r="J9" s="64">
        <v>0.87936217084372448</v>
      </c>
      <c r="K9" s="60">
        <v>45046</v>
      </c>
      <c r="L9" s="64">
        <v>0.86145007912082683</v>
      </c>
      <c r="M9" s="60">
        <v>45046</v>
      </c>
      <c r="N9" s="64">
        <v>0.71442994452033759</v>
      </c>
      <c r="O9" s="60">
        <v>45046</v>
      </c>
      <c r="P9" s="64">
        <v>0.7811370568071262</v>
      </c>
      <c r="Q9" s="60">
        <v>45046</v>
      </c>
      <c r="R9" s="64">
        <v>1.0001719789572114</v>
      </c>
      <c r="S9" s="60">
        <v>45046</v>
      </c>
      <c r="T9" s="64">
        <v>1.0155526565182311</v>
      </c>
      <c r="U9" s="60">
        <v>45046</v>
      </c>
      <c r="V9" s="64">
        <v>0.95278588479895099</v>
      </c>
      <c r="W9" s="60">
        <v>45046</v>
      </c>
      <c r="X9" s="64">
        <v>0.95108524733173383</v>
      </c>
      <c r="Y9" s="60">
        <v>45046</v>
      </c>
      <c r="Z9" s="64">
        <v>1.018901149721283</v>
      </c>
      <c r="AA9" s="60">
        <v>45046</v>
      </c>
      <c r="AB9" s="64">
        <v>1.0235508727068692</v>
      </c>
      <c r="AC9" s="60">
        <v>45046</v>
      </c>
      <c r="AD9" s="64">
        <v>0.92199281976884961</v>
      </c>
      <c r="AE9" s="60">
        <v>45046</v>
      </c>
      <c r="AF9" s="64">
        <v>0.92610121323355243</v>
      </c>
    </row>
    <row r="10" spans="1:32" x14ac:dyDescent="0.25">
      <c r="A10" s="60">
        <v>45412</v>
      </c>
      <c r="B10" s="64">
        <v>0.88521312613319592</v>
      </c>
      <c r="C10" s="60">
        <v>45412</v>
      </c>
      <c r="D10" s="64">
        <v>0.88502170542631464</v>
      </c>
      <c r="E10" s="60">
        <v>45412</v>
      </c>
      <c r="F10" s="64">
        <v>0.99596652373011652</v>
      </c>
      <c r="G10" s="60">
        <v>45412</v>
      </c>
      <c r="H10" s="64">
        <v>1.0036983674826923</v>
      </c>
      <c r="I10" s="60">
        <v>45412</v>
      </c>
      <c r="J10" s="64">
        <v>0.83065767512158517</v>
      </c>
      <c r="K10" s="60">
        <v>45412</v>
      </c>
      <c r="L10" s="64">
        <v>0.81283656725596154</v>
      </c>
      <c r="M10" s="60">
        <v>45412</v>
      </c>
      <c r="N10" s="64">
        <v>0.64788874329504376</v>
      </c>
      <c r="O10" s="60">
        <v>45412</v>
      </c>
      <c r="P10" s="64">
        <v>0.72036750141852313</v>
      </c>
      <c r="Q10" s="60">
        <v>45412</v>
      </c>
      <c r="R10" s="64">
        <v>0.9992603113441354</v>
      </c>
      <c r="S10" s="60">
        <v>45412</v>
      </c>
      <c r="T10" s="64">
        <v>1.0207528931115182</v>
      </c>
      <c r="U10" s="60">
        <v>45412</v>
      </c>
      <c r="V10" s="64">
        <v>0.93909691743803703</v>
      </c>
      <c r="W10" s="60">
        <v>45412</v>
      </c>
      <c r="X10" s="64">
        <v>0.93663668817714929</v>
      </c>
      <c r="Y10" s="60">
        <v>45412</v>
      </c>
      <c r="Z10" s="64">
        <v>1.0187251223559073</v>
      </c>
      <c r="AA10" s="60">
        <v>45412</v>
      </c>
      <c r="AB10" s="64">
        <v>1.0251200997176788</v>
      </c>
      <c r="AC10" s="60">
        <v>45412</v>
      </c>
      <c r="AD10" s="64">
        <v>0.90265098118070142</v>
      </c>
      <c r="AE10" s="60">
        <v>45412</v>
      </c>
      <c r="AF10" s="64">
        <v>0.90590787592194288</v>
      </c>
    </row>
    <row r="11" spans="1:32" x14ac:dyDescent="0.25">
      <c r="A11" s="60">
        <v>45777</v>
      </c>
      <c r="B11" s="64">
        <v>0.86271911026807713</v>
      </c>
      <c r="C11" s="60">
        <v>45777</v>
      </c>
      <c r="D11" s="64">
        <v>0.86248963536310175</v>
      </c>
      <c r="E11" s="60">
        <v>45777</v>
      </c>
      <c r="F11" s="64">
        <v>0.98894436064087177</v>
      </c>
      <c r="G11" s="60">
        <v>45777</v>
      </c>
      <c r="H11" s="64">
        <v>0.99865205213131747</v>
      </c>
      <c r="I11" s="60">
        <v>45777</v>
      </c>
      <c r="J11" s="64">
        <v>0.78244857150839797</v>
      </c>
      <c r="K11" s="60">
        <v>45777</v>
      </c>
      <c r="L11" s="64">
        <v>0.76453776537433282</v>
      </c>
      <c r="M11" s="60">
        <v>45777</v>
      </c>
      <c r="N11" s="64">
        <v>0.58812822405190746</v>
      </c>
      <c r="O11" s="60">
        <v>45777</v>
      </c>
      <c r="P11" s="64">
        <v>0.6651992456384096</v>
      </c>
      <c r="Q11" s="60">
        <v>45777</v>
      </c>
      <c r="R11" s="64">
        <v>0.99767193244918562</v>
      </c>
      <c r="S11" s="60">
        <v>45777</v>
      </c>
      <c r="T11" s="64">
        <v>1.0253608029118788</v>
      </c>
      <c r="U11" s="60">
        <v>45777</v>
      </c>
      <c r="V11" s="64">
        <v>0.92511256744981885</v>
      </c>
      <c r="W11" s="60">
        <v>45777</v>
      </c>
      <c r="X11" s="64">
        <v>0.9216264700869039</v>
      </c>
      <c r="Y11" s="60">
        <v>45777</v>
      </c>
      <c r="Z11" s="64">
        <v>1.0165193597867799</v>
      </c>
      <c r="AA11" s="60">
        <v>45777</v>
      </c>
      <c r="AB11" s="64">
        <v>1.0251463182895848</v>
      </c>
      <c r="AC11" s="60">
        <v>45777</v>
      </c>
      <c r="AD11" s="64">
        <v>0.88202464731537666</v>
      </c>
      <c r="AE11" s="60">
        <v>45777</v>
      </c>
      <c r="AF11" s="64">
        <v>0.88538107836130087</v>
      </c>
    </row>
    <row r="12" spans="1:32" x14ac:dyDescent="0.25">
      <c r="A12" s="60">
        <v>46142</v>
      </c>
      <c r="B12" s="64">
        <v>0.84013298106390411</v>
      </c>
      <c r="C12" s="60">
        <v>46142</v>
      </c>
      <c r="D12" s="64">
        <v>0.83985006864781409</v>
      </c>
      <c r="E12" s="60">
        <v>46142</v>
      </c>
      <c r="F12" s="64">
        <v>0.97986854047288374</v>
      </c>
      <c r="G12" s="60">
        <v>46142</v>
      </c>
      <c r="H12" s="64">
        <v>0.99137583479653302</v>
      </c>
      <c r="I12" s="60">
        <v>46142</v>
      </c>
      <c r="J12" s="64">
        <v>0.73426787127443005</v>
      </c>
      <c r="K12" s="60">
        <v>46142</v>
      </c>
      <c r="L12" s="64">
        <v>0.7169136609073824</v>
      </c>
      <c r="M12" s="60">
        <v>46142</v>
      </c>
      <c r="N12" s="64">
        <v>0.53323728496638956</v>
      </c>
      <c r="O12" s="60">
        <v>46142</v>
      </c>
      <c r="P12" s="64">
        <v>0.55446837520351411</v>
      </c>
      <c r="Q12" s="60">
        <v>46142</v>
      </c>
      <c r="R12" s="64">
        <v>0.99534802701670366</v>
      </c>
      <c r="S12" s="60">
        <v>46142</v>
      </c>
      <c r="T12" s="64">
        <v>1.0293971679244198</v>
      </c>
      <c r="U12" s="60">
        <v>46142</v>
      </c>
      <c r="V12" s="64">
        <v>0.91083821347793836</v>
      </c>
      <c r="W12" s="60">
        <v>46142</v>
      </c>
      <c r="X12" s="64">
        <v>0.90610499092412733</v>
      </c>
      <c r="Y12" s="60">
        <v>46142</v>
      </c>
      <c r="Z12" s="64">
        <v>1.0116388303437713</v>
      </c>
      <c r="AA12" s="60">
        <v>46142</v>
      </c>
      <c r="AB12" s="64">
        <v>1.0238246523983199</v>
      </c>
      <c r="AC12" s="60">
        <v>46142</v>
      </c>
      <c r="AD12" s="64">
        <v>0.86177258005249135</v>
      </c>
      <c r="AE12" s="60">
        <v>46142</v>
      </c>
      <c r="AF12" s="64">
        <v>0.86446900918114844</v>
      </c>
    </row>
    <row r="13" spans="1:32" x14ac:dyDescent="0.25">
      <c r="A13" s="60">
        <v>46507</v>
      </c>
      <c r="B13" s="64">
        <v>0.81735893744497023</v>
      </c>
      <c r="C13" s="60">
        <v>46507</v>
      </c>
      <c r="D13" s="64">
        <v>0.81709080367705211</v>
      </c>
      <c r="E13" s="60">
        <v>46507</v>
      </c>
      <c r="F13" s="64">
        <v>0.96879860757695613</v>
      </c>
      <c r="G13" s="60">
        <v>46507</v>
      </c>
      <c r="H13" s="64">
        <v>0.982236528591794</v>
      </c>
      <c r="I13" s="60">
        <v>46507</v>
      </c>
      <c r="J13" s="64">
        <v>0.68708995472665213</v>
      </c>
      <c r="K13" s="60">
        <v>46507</v>
      </c>
      <c r="L13" s="64">
        <v>0.67134659147675946</v>
      </c>
      <c r="M13" s="60">
        <v>46507</v>
      </c>
      <c r="N13" s="64">
        <v>0.48234945012611313</v>
      </c>
      <c r="O13" s="60">
        <v>46507</v>
      </c>
      <c r="P13" s="64">
        <v>0.50977374276647047</v>
      </c>
      <c r="Q13" s="60">
        <v>46507</v>
      </c>
      <c r="R13" s="64">
        <v>0.99227328345044996</v>
      </c>
      <c r="S13" s="60">
        <v>46507</v>
      </c>
      <c r="T13" s="64">
        <v>1.03244723317987</v>
      </c>
      <c r="U13" s="60">
        <v>46507</v>
      </c>
      <c r="V13" s="64">
        <v>0.89632219257800283</v>
      </c>
      <c r="W13" s="60">
        <v>46507</v>
      </c>
      <c r="X13" s="64">
        <v>0.8903454375804265</v>
      </c>
      <c r="Y13" s="60">
        <v>46507</v>
      </c>
      <c r="Z13" s="64">
        <v>1.0045130565250873</v>
      </c>
      <c r="AA13" s="60">
        <v>46507</v>
      </c>
      <c r="AB13" s="64">
        <v>1.0203270981601531</v>
      </c>
      <c r="AC13" s="60">
        <v>46507</v>
      </c>
      <c r="AD13" s="64">
        <v>0.8406783782521845</v>
      </c>
      <c r="AE13" s="60">
        <v>46507</v>
      </c>
      <c r="AF13" s="64">
        <v>0.8429857758862932</v>
      </c>
    </row>
    <row r="14" spans="1:32" x14ac:dyDescent="0.25">
      <c r="A14" s="60">
        <v>46873</v>
      </c>
      <c r="B14" s="64">
        <v>0.79461395502117915</v>
      </c>
      <c r="C14" s="60">
        <v>46873</v>
      </c>
      <c r="D14" s="64">
        <v>0.7942699997463335</v>
      </c>
      <c r="E14" s="60">
        <v>46873</v>
      </c>
      <c r="F14" s="64">
        <v>0.95614939408871258</v>
      </c>
      <c r="G14" s="60">
        <v>46873</v>
      </c>
      <c r="H14" s="64">
        <v>0.9710008561367649</v>
      </c>
      <c r="I14" s="60">
        <v>46873</v>
      </c>
      <c r="J14" s="64">
        <v>0.64340485136730319</v>
      </c>
      <c r="K14" s="60">
        <v>46873</v>
      </c>
      <c r="L14" s="64">
        <v>0.62770877041726802</v>
      </c>
      <c r="M14" s="60">
        <v>46873</v>
      </c>
      <c r="N14" s="64">
        <v>0.43774458705050073</v>
      </c>
      <c r="O14" s="60">
        <v>46873</v>
      </c>
      <c r="P14" s="64">
        <v>0.46890621048854808</v>
      </c>
      <c r="Q14" s="60">
        <v>46873</v>
      </c>
      <c r="R14" s="64">
        <v>0.98827194368674798</v>
      </c>
      <c r="S14" s="60">
        <v>46873</v>
      </c>
      <c r="T14" s="64">
        <v>1.0342649340607581</v>
      </c>
      <c r="U14" s="60">
        <v>46873</v>
      </c>
      <c r="V14" s="64">
        <v>0.88156326423872189</v>
      </c>
      <c r="W14" s="60">
        <v>46873</v>
      </c>
      <c r="X14" s="64">
        <v>0.8742578621098096</v>
      </c>
      <c r="Y14" s="60">
        <v>46873</v>
      </c>
      <c r="Z14" s="64">
        <v>0.99710256998505165</v>
      </c>
      <c r="AA14" s="60">
        <v>46873</v>
      </c>
      <c r="AB14" s="64">
        <v>1.0153934737710342</v>
      </c>
      <c r="AC14" s="60">
        <v>46873</v>
      </c>
      <c r="AD14" s="64">
        <v>0.81910370949609557</v>
      </c>
      <c r="AE14" s="60">
        <v>46873</v>
      </c>
      <c r="AF14" s="64">
        <v>0.82087335650889914</v>
      </c>
    </row>
    <row r="15" spans="1:32" x14ac:dyDescent="0.25">
      <c r="A15" s="60">
        <v>47238</v>
      </c>
      <c r="B15" s="64">
        <v>0.77196314201378113</v>
      </c>
      <c r="C15" s="60">
        <v>47238</v>
      </c>
      <c r="D15" s="64">
        <v>0.77166187642484385</v>
      </c>
      <c r="E15" s="60">
        <v>47238</v>
      </c>
      <c r="F15" s="64">
        <v>0.94231727519658448</v>
      </c>
      <c r="G15" s="60">
        <v>47238</v>
      </c>
      <c r="H15" s="64">
        <v>0.95851682899390345</v>
      </c>
      <c r="I15" s="60">
        <v>47238</v>
      </c>
      <c r="J15" s="64">
        <v>0.60146991184593845</v>
      </c>
      <c r="K15" s="60">
        <v>47238</v>
      </c>
      <c r="L15" s="64">
        <v>0.58697976697331389</v>
      </c>
      <c r="M15" s="60">
        <v>47238</v>
      </c>
      <c r="N15" s="64">
        <v>0.39781402779119307</v>
      </c>
      <c r="O15" s="60">
        <v>47238</v>
      </c>
      <c r="P15" s="64">
        <v>0.4312024336147155</v>
      </c>
      <c r="Q15" s="60">
        <v>47238</v>
      </c>
      <c r="R15" s="64">
        <v>0.98349221662826192</v>
      </c>
      <c r="S15" s="60">
        <v>47238</v>
      </c>
      <c r="T15" s="64">
        <v>1.0344392553145163</v>
      </c>
      <c r="U15" s="60">
        <v>47238</v>
      </c>
      <c r="V15" s="64">
        <v>0.86663364188356806</v>
      </c>
      <c r="W15" s="60">
        <v>47238</v>
      </c>
      <c r="X15" s="64">
        <v>0.85812613291484952</v>
      </c>
      <c r="Y15" s="60">
        <v>47238</v>
      </c>
      <c r="Z15" s="64">
        <v>0.98712081086142978</v>
      </c>
      <c r="AA15" s="60">
        <v>47238</v>
      </c>
      <c r="AB15" s="64">
        <v>1.0095511405208035</v>
      </c>
      <c r="AC15" s="60">
        <v>47238</v>
      </c>
      <c r="AD15" s="64">
        <v>0.79753775043774211</v>
      </c>
      <c r="AE15" s="60">
        <v>47238</v>
      </c>
      <c r="AF15" s="64">
        <v>0.79933649037398824</v>
      </c>
    </row>
    <row r="16" spans="1:32" x14ac:dyDescent="0.25">
      <c r="A16" s="60">
        <v>47603</v>
      </c>
      <c r="B16" s="64">
        <v>0.74973490132740783</v>
      </c>
      <c r="C16" s="60">
        <v>47603</v>
      </c>
      <c r="D16" s="64">
        <v>0.74926853827950746</v>
      </c>
      <c r="E16" s="60">
        <v>47603</v>
      </c>
      <c r="F16" s="64">
        <v>0.9275381335886882</v>
      </c>
      <c r="G16" s="60">
        <v>47603</v>
      </c>
      <c r="H16" s="64">
        <v>0.94490370272115054</v>
      </c>
      <c r="I16" s="60">
        <v>47603</v>
      </c>
      <c r="J16" s="64">
        <v>0.56278104759668923</v>
      </c>
      <c r="K16" s="60">
        <v>47603</v>
      </c>
      <c r="L16" s="64">
        <v>0.54886490462585313</v>
      </c>
      <c r="M16" s="60">
        <v>47603</v>
      </c>
      <c r="N16" s="64">
        <v>0.35983376722502125</v>
      </c>
      <c r="O16" s="60">
        <v>47603</v>
      </c>
      <c r="P16" s="64">
        <v>0.39692464769211605</v>
      </c>
      <c r="Q16" s="60">
        <v>47603</v>
      </c>
      <c r="R16" s="64">
        <v>0.97803422829651931</v>
      </c>
      <c r="S16" s="60">
        <v>47603</v>
      </c>
      <c r="T16" s="64">
        <v>1.0342253380248227</v>
      </c>
      <c r="U16" s="60">
        <v>47603</v>
      </c>
      <c r="V16" s="64">
        <v>0.85171834697807225</v>
      </c>
      <c r="W16" s="60">
        <v>47603</v>
      </c>
      <c r="X16" s="64">
        <v>0.84191635995962477</v>
      </c>
      <c r="Y16" s="60">
        <v>47603</v>
      </c>
      <c r="Z16" s="64">
        <v>0.97773320302604072</v>
      </c>
      <c r="AA16" s="60">
        <v>47603</v>
      </c>
      <c r="AB16" s="64">
        <v>1.0019893758823908</v>
      </c>
      <c r="AC16" s="60">
        <v>47603</v>
      </c>
      <c r="AD16" s="64">
        <v>0.77574525414371487</v>
      </c>
      <c r="AE16" s="60">
        <v>47603</v>
      </c>
      <c r="AF16" s="64">
        <v>0.77711047905739838</v>
      </c>
    </row>
    <row r="17" spans="1:32" x14ac:dyDescent="0.25">
      <c r="A17" s="60">
        <v>47968</v>
      </c>
      <c r="B17" s="64">
        <v>0.72794455310130257</v>
      </c>
      <c r="C17" s="60">
        <v>47968</v>
      </c>
      <c r="D17" s="64">
        <v>0.72749060219482997</v>
      </c>
      <c r="E17" s="60">
        <v>47968</v>
      </c>
      <c r="F17" s="64">
        <v>0.91225322952825993</v>
      </c>
      <c r="G17" s="60">
        <v>47968</v>
      </c>
      <c r="H17" s="64">
        <v>0.93047884728704822</v>
      </c>
      <c r="I17" s="60">
        <v>47968</v>
      </c>
      <c r="J17" s="64">
        <v>0.52565992675760231</v>
      </c>
      <c r="K17" s="60">
        <v>47968</v>
      </c>
      <c r="L17" s="64">
        <v>0.51252608516182407</v>
      </c>
      <c r="M17" s="60">
        <v>47968</v>
      </c>
      <c r="N17" s="64">
        <v>0.32202793718860495</v>
      </c>
      <c r="O17" s="60">
        <v>47968</v>
      </c>
      <c r="P17" s="64">
        <v>0.36285089920002334</v>
      </c>
      <c r="Q17" s="60">
        <v>47968</v>
      </c>
      <c r="R17" s="64">
        <v>0.97190505794409932</v>
      </c>
      <c r="S17" s="60">
        <v>47968</v>
      </c>
      <c r="T17" s="64">
        <v>1.0326031391007193</v>
      </c>
      <c r="U17" s="60">
        <v>47968</v>
      </c>
      <c r="V17" s="64">
        <v>0.83697974078802673</v>
      </c>
      <c r="W17" s="60">
        <v>47968</v>
      </c>
      <c r="X17" s="64">
        <v>0.82623139821027591</v>
      </c>
      <c r="Y17" s="60">
        <v>47968</v>
      </c>
      <c r="Z17" s="64">
        <v>0.96753478141188431</v>
      </c>
      <c r="AA17" s="60">
        <v>47968</v>
      </c>
      <c r="AB17" s="64">
        <v>0.99413112115382296</v>
      </c>
      <c r="AC17" s="60">
        <v>47968</v>
      </c>
      <c r="AD17" s="64">
        <v>0.7538203019077957</v>
      </c>
      <c r="AE17" s="60">
        <v>47968</v>
      </c>
      <c r="AF17" s="64">
        <v>0.7546852727445168</v>
      </c>
    </row>
    <row r="18" spans="1:32" x14ac:dyDescent="0.25">
      <c r="A18" s="60">
        <v>48334</v>
      </c>
      <c r="B18" s="64">
        <v>0.70686907074005623</v>
      </c>
      <c r="C18" s="60">
        <v>48334</v>
      </c>
      <c r="D18" s="64">
        <v>0.70691966588848965</v>
      </c>
      <c r="E18" s="60">
        <v>48334</v>
      </c>
      <c r="F18" s="64">
        <v>0.89646622519321828</v>
      </c>
      <c r="G18" s="60">
        <v>48334</v>
      </c>
      <c r="H18" s="64">
        <v>0.91524495303016828</v>
      </c>
      <c r="I18" s="60">
        <v>48334</v>
      </c>
      <c r="J18" s="64">
        <v>0.49070146966254713</v>
      </c>
      <c r="K18" s="60">
        <v>48334</v>
      </c>
      <c r="L18" s="64">
        <v>0.47799635480503705</v>
      </c>
      <c r="M18" s="60">
        <v>48334</v>
      </c>
      <c r="N18" s="64">
        <v>0.28885451141330443</v>
      </c>
      <c r="O18" s="60">
        <v>48334</v>
      </c>
      <c r="P18" s="64">
        <v>0.33422363996328225</v>
      </c>
      <c r="Q18" s="60">
        <v>48334</v>
      </c>
      <c r="R18" s="64">
        <v>0.96511170141692193</v>
      </c>
      <c r="S18" s="60">
        <v>48334</v>
      </c>
      <c r="T18" s="64">
        <v>1.0304854693340781</v>
      </c>
      <c r="U18" s="60">
        <v>48334</v>
      </c>
      <c r="V18" s="64">
        <v>0.82258705267376464</v>
      </c>
      <c r="W18" s="60">
        <v>48334</v>
      </c>
      <c r="X18" s="64">
        <v>0.81126879742167679</v>
      </c>
      <c r="Y18" s="60">
        <v>48334</v>
      </c>
      <c r="Z18" s="64">
        <v>0.95619967453581034</v>
      </c>
      <c r="AA18" s="60">
        <v>48334</v>
      </c>
      <c r="AB18" s="64">
        <v>0.98716235318161416</v>
      </c>
      <c r="AC18" s="60">
        <v>48334</v>
      </c>
      <c r="AD18" s="64">
        <v>0.732652178837783</v>
      </c>
      <c r="AE18" s="60">
        <v>48334</v>
      </c>
      <c r="AF18" s="64">
        <v>0.73354563780763715</v>
      </c>
    </row>
    <row r="19" spans="1:32" x14ac:dyDescent="0.25">
      <c r="A19" s="60">
        <v>48699</v>
      </c>
      <c r="B19" s="64">
        <v>0.68616242780788061</v>
      </c>
      <c r="C19" s="60">
        <v>48699</v>
      </c>
      <c r="D19" s="64">
        <v>0.68554966654404226</v>
      </c>
      <c r="E19" s="60">
        <v>48699</v>
      </c>
      <c r="F19" s="64">
        <v>0.88114508197845143</v>
      </c>
      <c r="G19" s="60">
        <v>48699</v>
      </c>
      <c r="H19" s="64">
        <v>0.89995760925959201</v>
      </c>
      <c r="I19" s="60">
        <v>48699</v>
      </c>
      <c r="J19" s="64">
        <v>0.45736276892908184</v>
      </c>
      <c r="K19" s="60">
        <v>48699</v>
      </c>
      <c r="L19" s="64">
        <v>0.44507964668544009</v>
      </c>
      <c r="M19" s="60">
        <v>48699</v>
      </c>
      <c r="N19" s="64">
        <v>0.2557717234133462</v>
      </c>
      <c r="O19" s="60">
        <v>48699</v>
      </c>
      <c r="P19" s="64">
        <v>0.30567459728183277</v>
      </c>
      <c r="Q19" s="60">
        <v>48699</v>
      </c>
      <c r="R19" s="64">
        <v>0.95783163049446496</v>
      </c>
      <c r="S19" s="60">
        <v>48699</v>
      </c>
      <c r="T19" s="64">
        <v>1.027053567816965</v>
      </c>
      <c r="U19" s="60">
        <v>48699</v>
      </c>
      <c r="V19" s="64">
        <v>0.80849624063842684</v>
      </c>
      <c r="W19" s="60">
        <v>48699</v>
      </c>
      <c r="X19" s="64">
        <v>0.79681404428866009</v>
      </c>
      <c r="Y19" s="60">
        <v>48699</v>
      </c>
      <c r="Z19" s="64">
        <v>0.9394619491532199</v>
      </c>
      <c r="AA19" s="60">
        <v>48699</v>
      </c>
      <c r="AB19" s="64">
        <v>0.97694170925156876</v>
      </c>
      <c r="AC19" s="60">
        <v>48699</v>
      </c>
      <c r="AD19" s="64">
        <v>0.71153804361738027</v>
      </c>
      <c r="AE19" s="60">
        <v>48699</v>
      </c>
      <c r="AF19" s="64">
        <v>0.71244908225757908</v>
      </c>
    </row>
    <row r="20" spans="1:32" x14ac:dyDescent="0.25">
      <c r="A20" s="60">
        <v>49064</v>
      </c>
      <c r="B20" s="64">
        <v>0.66620252710050121</v>
      </c>
      <c r="C20" s="60">
        <v>49064</v>
      </c>
      <c r="D20" s="64">
        <v>0.66563242493027319</v>
      </c>
      <c r="E20" s="60">
        <v>49064</v>
      </c>
      <c r="F20" s="64">
        <v>0.86586415236953207</v>
      </c>
      <c r="G20" s="60">
        <v>49064</v>
      </c>
      <c r="H20" s="64">
        <v>0.88463564085883339</v>
      </c>
      <c r="I20" s="60">
        <v>49064</v>
      </c>
      <c r="J20" s="64">
        <v>0.42555245334108943</v>
      </c>
      <c r="K20" s="60">
        <v>49064</v>
      </c>
      <c r="L20" s="64">
        <v>0.41408634245739884</v>
      </c>
      <c r="M20" s="60">
        <v>49064</v>
      </c>
      <c r="N20" s="64">
        <v>0.22304580958643755</v>
      </c>
      <c r="O20" s="60">
        <v>49064</v>
      </c>
      <c r="P20" s="64">
        <v>0.27740898216870785</v>
      </c>
      <c r="Q20" s="60">
        <v>49064</v>
      </c>
      <c r="R20" s="64">
        <v>0.9497920684336334</v>
      </c>
      <c r="S20" s="60">
        <v>49064</v>
      </c>
      <c r="T20" s="64">
        <v>1.0219549808366619</v>
      </c>
      <c r="U20" s="60">
        <v>49064</v>
      </c>
      <c r="V20" s="64">
        <v>0.79469783442410746</v>
      </c>
      <c r="W20" s="60">
        <v>49064</v>
      </c>
      <c r="X20" s="64">
        <v>0.78280984022579203</v>
      </c>
      <c r="Y20" s="60">
        <v>49064</v>
      </c>
      <c r="Z20" s="64">
        <v>0.93442636072285545</v>
      </c>
      <c r="AA20" s="60">
        <v>49064</v>
      </c>
      <c r="AB20" s="64">
        <v>0.96637659054282787</v>
      </c>
      <c r="AC20" s="60">
        <v>49064</v>
      </c>
      <c r="AD20" s="64">
        <v>0.69051426330204324</v>
      </c>
      <c r="AE20" s="60">
        <v>49064</v>
      </c>
      <c r="AF20" s="64">
        <v>0.69145841775827066</v>
      </c>
    </row>
    <row r="21" spans="1:32" x14ac:dyDescent="0.25">
      <c r="A21" s="60">
        <v>49429</v>
      </c>
      <c r="B21" s="64">
        <v>0.64689913063537452</v>
      </c>
      <c r="C21" s="60">
        <v>49429</v>
      </c>
      <c r="D21" s="64">
        <v>0.6461801786457837</v>
      </c>
      <c r="E21" s="60">
        <v>49429</v>
      </c>
      <c r="F21" s="64">
        <v>0.85094518375461237</v>
      </c>
      <c r="G21" s="60">
        <v>49429</v>
      </c>
      <c r="H21" s="64">
        <v>0.86933703090022107</v>
      </c>
      <c r="I21" s="60">
        <v>49429</v>
      </c>
      <c r="J21" s="64">
        <v>0.39605059789949976</v>
      </c>
      <c r="K21" s="60">
        <v>49429</v>
      </c>
      <c r="L21" s="64">
        <v>0.3852223373023918</v>
      </c>
      <c r="M21" s="60">
        <v>49429</v>
      </c>
      <c r="N21" s="64">
        <v>0.19998295029133117</v>
      </c>
      <c r="O21" s="60">
        <v>49429</v>
      </c>
      <c r="P21" s="64">
        <v>0.25681771352098604</v>
      </c>
      <c r="Q21" s="60">
        <v>49429</v>
      </c>
      <c r="R21" s="64">
        <v>0.94225991749455473</v>
      </c>
      <c r="S21" s="60">
        <v>49429</v>
      </c>
      <c r="T21" s="64">
        <v>1.0184977221756517</v>
      </c>
      <c r="U21" s="60">
        <v>49429</v>
      </c>
      <c r="V21" s="64">
        <v>0.78116890041948006</v>
      </c>
      <c r="W21" s="60">
        <v>49429</v>
      </c>
      <c r="X21" s="64">
        <v>0.76896258300697995</v>
      </c>
      <c r="Y21" s="60">
        <v>49429</v>
      </c>
      <c r="Z21" s="64">
        <v>0.92545154929417395</v>
      </c>
      <c r="AA21" s="60">
        <v>49429</v>
      </c>
      <c r="AB21" s="64">
        <v>0.95885431728447201</v>
      </c>
      <c r="AC21" s="60">
        <v>49429</v>
      </c>
      <c r="AD21" s="64">
        <v>0.67144650154460039</v>
      </c>
      <c r="AE21" s="60">
        <v>49429</v>
      </c>
      <c r="AF21" s="64">
        <v>0.67313024234956453</v>
      </c>
    </row>
    <row r="22" spans="1:32" x14ac:dyDescent="0.25">
      <c r="A22" s="60">
        <v>49795</v>
      </c>
      <c r="B22" s="64">
        <v>0.62808062876712367</v>
      </c>
      <c r="C22" s="60">
        <v>49795</v>
      </c>
      <c r="D22" s="64">
        <v>0.62749462553960667</v>
      </c>
      <c r="E22" s="60">
        <v>49795</v>
      </c>
      <c r="F22" s="64">
        <v>0.83612814306563954</v>
      </c>
      <c r="G22" s="60">
        <v>49795</v>
      </c>
      <c r="H22" s="64">
        <v>0.85417806770390736</v>
      </c>
      <c r="I22" s="60">
        <v>49795</v>
      </c>
      <c r="J22" s="64">
        <v>0.36791700174583436</v>
      </c>
      <c r="K22" s="60">
        <v>49795</v>
      </c>
      <c r="L22" s="64">
        <v>0.35770271601069037</v>
      </c>
      <c r="M22" s="60">
        <v>49795</v>
      </c>
      <c r="N22" s="64">
        <v>0.17685690508034779</v>
      </c>
      <c r="O22" s="60">
        <v>49795</v>
      </c>
      <c r="P22" s="64">
        <v>0.2361700304386129</v>
      </c>
      <c r="Q22" s="60">
        <v>49795</v>
      </c>
      <c r="R22" s="64">
        <v>0.93422778164321318</v>
      </c>
      <c r="S22" s="60">
        <v>49795</v>
      </c>
      <c r="T22" s="64">
        <v>1.0135962939078169</v>
      </c>
      <c r="U22" s="60">
        <v>49795</v>
      </c>
      <c r="V22" s="64">
        <v>0.76793496382463589</v>
      </c>
      <c r="W22" s="60">
        <v>49795</v>
      </c>
      <c r="X22" s="64">
        <v>0.75562081648029322</v>
      </c>
      <c r="Y22" s="60">
        <v>49795</v>
      </c>
      <c r="Z22" s="64">
        <v>0.91594803817432435</v>
      </c>
      <c r="AA22" s="60">
        <v>49795</v>
      </c>
      <c r="AB22" s="64">
        <v>0.95070376612982821</v>
      </c>
      <c r="AC22" s="60">
        <v>49795</v>
      </c>
      <c r="AD22" s="64">
        <v>0.65254119235401431</v>
      </c>
      <c r="AE22" s="60">
        <v>49795</v>
      </c>
      <c r="AF22" s="64">
        <v>0.65501214306146094</v>
      </c>
    </row>
    <row r="23" spans="1:32" x14ac:dyDescent="0.25">
      <c r="A23" s="60">
        <v>50160</v>
      </c>
      <c r="B23" s="64">
        <v>0.61030138536401957</v>
      </c>
      <c r="C23" s="60">
        <v>50160</v>
      </c>
      <c r="D23" s="64">
        <v>0.60965280369362296</v>
      </c>
      <c r="E23" s="60">
        <v>50160</v>
      </c>
      <c r="F23" s="64">
        <v>0.8230457391428091</v>
      </c>
      <c r="G23" s="60">
        <v>50160</v>
      </c>
      <c r="H23" s="64">
        <v>0.83999700279823897</v>
      </c>
      <c r="I23" s="60">
        <v>50160</v>
      </c>
      <c r="J23" s="64">
        <v>0.34123163162775155</v>
      </c>
      <c r="K23" s="60">
        <v>50160</v>
      </c>
      <c r="L23" s="64">
        <v>0.33162662811533006</v>
      </c>
      <c r="M23" s="60">
        <v>50160</v>
      </c>
      <c r="N23" s="64">
        <v>0.15379404578524142</v>
      </c>
      <c r="O23" s="60">
        <v>50160</v>
      </c>
      <c r="P23" s="64">
        <v>0.21557876179089103</v>
      </c>
      <c r="Q23" s="60">
        <v>50160</v>
      </c>
      <c r="R23" s="64">
        <v>0.92565461116411252</v>
      </c>
      <c r="S23" s="60">
        <v>50160</v>
      </c>
      <c r="T23" s="64">
        <v>1.0082082814414601</v>
      </c>
      <c r="U23" s="60">
        <v>50160</v>
      </c>
      <c r="V23" s="64">
        <v>0.75529702262867127</v>
      </c>
      <c r="W23" s="60">
        <v>50160</v>
      </c>
      <c r="X23" s="64">
        <v>0.74297903666322684</v>
      </c>
      <c r="Y23" s="60">
        <v>50160</v>
      </c>
      <c r="Z23" s="64">
        <v>0.90594544221210405</v>
      </c>
      <c r="AA23" s="60">
        <v>50160</v>
      </c>
      <c r="AB23" s="64">
        <v>0.94196056011086515</v>
      </c>
      <c r="AC23" s="60">
        <v>50160</v>
      </c>
      <c r="AD23" s="64">
        <v>0.63389746116554557</v>
      </c>
      <c r="AE23" s="60">
        <v>50160</v>
      </c>
      <c r="AF23" s="64">
        <v>0.63719474875808368</v>
      </c>
    </row>
    <row r="24" spans="1:32" x14ac:dyDescent="0.25">
      <c r="A24" s="60">
        <v>50525</v>
      </c>
      <c r="B24" s="64">
        <v>0.59290948027289059</v>
      </c>
      <c r="C24" s="60">
        <v>50525</v>
      </c>
      <c r="D24" s="64">
        <v>0.59219710606639331</v>
      </c>
      <c r="E24" s="60">
        <v>50525</v>
      </c>
      <c r="F24" s="64">
        <v>0.80965101017915753</v>
      </c>
      <c r="G24" s="60">
        <v>50525</v>
      </c>
      <c r="H24" s="64">
        <v>0.82530582840111433</v>
      </c>
      <c r="I24" s="60">
        <v>50525</v>
      </c>
      <c r="J24" s="64">
        <v>0.31587819406700762</v>
      </c>
      <c r="K24" s="60">
        <v>50525</v>
      </c>
      <c r="L24" s="64">
        <v>0.3068646830254228</v>
      </c>
      <c r="M24" s="60">
        <v>50525</v>
      </c>
      <c r="N24" s="64">
        <v>0.13073118649013504</v>
      </c>
      <c r="O24" s="60">
        <v>50525</v>
      </c>
      <c r="P24" s="64">
        <v>0.19498749314316921</v>
      </c>
      <c r="Q24" s="60">
        <v>50525</v>
      </c>
      <c r="R24" s="64">
        <v>0.9166038708417128</v>
      </c>
      <c r="S24" s="60">
        <v>50525</v>
      </c>
      <c r="T24" s="64">
        <v>1.0021436584748</v>
      </c>
      <c r="U24" s="60">
        <v>50525</v>
      </c>
      <c r="V24" s="64">
        <v>0.74276255966275351</v>
      </c>
      <c r="W24" s="60">
        <v>50525</v>
      </c>
      <c r="X24" s="64">
        <v>0.73050005520869377</v>
      </c>
      <c r="Y24" s="60">
        <v>50525</v>
      </c>
      <c r="Z24" s="64">
        <v>0.8954415148563829</v>
      </c>
      <c r="AA24" s="60">
        <v>50525</v>
      </c>
      <c r="AB24" s="64">
        <v>0.93262023898292501</v>
      </c>
      <c r="AC24" s="60">
        <v>50525</v>
      </c>
      <c r="AD24" s="64">
        <v>0.61547209366233446</v>
      </c>
      <c r="AE24" s="60">
        <v>50525</v>
      </c>
      <c r="AF24" s="64">
        <v>0.61963282948677811</v>
      </c>
    </row>
    <row r="25" spans="1:32" x14ac:dyDescent="0.25">
      <c r="A25" s="60">
        <v>50890</v>
      </c>
      <c r="B25" s="64">
        <v>0.57592208972448977</v>
      </c>
      <c r="C25" s="60">
        <v>50890</v>
      </c>
      <c r="D25" s="64">
        <v>0.57514728422238437</v>
      </c>
      <c r="E25" s="60">
        <v>50890</v>
      </c>
      <c r="F25" s="64">
        <v>0.79606211981232777</v>
      </c>
      <c r="G25" s="60">
        <v>50890</v>
      </c>
      <c r="H25" s="64">
        <v>0.81024602233477128</v>
      </c>
      <c r="I25" s="60">
        <v>50890</v>
      </c>
      <c r="J25" s="64">
        <v>0.29198161459230287</v>
      </c>
      <c r="K25" s="60">
        <v>50890</v>
      </c>
      <c r="L25" s="64">
        <v>0.28528310685711561</v>
      </c>
      <c r="M25" s="60">
        <v>50890</v>
      </c>
      <c r="N25" s="64">
        <v>0.10800975633884417</v>
      </c>
      <c r="O25" s="60">
        <v>50890</v>
      </c>
      <c r="P25" s="64">
        <v>0.17466112874760226</v>
      </c>
      <c r="Q25" s="60">
        <v>50890</v>
      </c>
      <c r="R25" s="64">
        <v>0.90716522288070767</v>
      </c>
      <c r="S25" s="60">
        <v>50890</v>
      </c>
      <c r="T25" s="64">
        <v>0.99548674336295917</v>
      </c>
      <c r="U25" s="60">
        <v>50890</v>
      </c>
      <c r="V25" s="64">
        <v>0.73036330088279067</v>
      </c>
      <c r="W25" s="60">
        <v>50890</v>
      </c>
      <c r="X25" s="64">
        <v>0.71819779313858645</v>
      </c>
      <c r="Y25" s="60">
        <v>50890</v>
      </c>
      <c r="Z25" s="64">
        <v>0.88460405300673661</v>
      </c>
      <c r="AA25" s="60">
        <v>50890</v>
      </c>
      <c r="AB25" s="64">
        <v>0.92284219037365234</v>
      </c>
      <c r="AC25" s="60">
        <v>50890</v>
      </c>
      <c r="AD25" s="64">
        <v>0.59735110238646671</v>
      </c>
      <c r="AE25" s="60">
        <v>50890</v>
      </c>
      <c r="AF25" s="64">
        <v>0.6025372597901294</v>
      </c>
    </row>
    <row r="26" spans="1:32" x14ac:dyDescent="0.25">
      <c r="A26" s="60">
        <v>51256</v>
      </c>
      <c r="B26" s="64">
        <v>0.55995982494035867</v>
      </c>
      <c r="C26" s="60">
        <v>51256</v>
      </c>
      <c r="D26" s="64">
        <v>0.55918706489104097</v>
      </c>
      <c r="E26" s="60">
        <v>51256</v>
      </c>
      <c r="F26" s="64">
        <v>0.78497453597199618</v>
      </c>
      <c r="G26" s="60">
        <v>51256</v>
      </c>
      <c r="H26" s="64">
        <v>0.7979274308868548</v>
      </c>
      <c r="I26" s="60">
        <v>51256</v>
      </c>
      <c r="J26" s="64">
        <v>0.27395068783920634</v>
      </c>
      <c r="K26" s="60">
        <v>51256</v>
      </c>
      <c r="L26" s="64">
        <v>0.26766583732177529</v>
      </c>
      <c r="M26" s="60">
        <v>51256</v>
      </c>
      <c r="N26" s="64">
        <v>9.4496254715281919E-2</v>
      </c>
      <c r="O26" s="60">
        <v>51256</v>
      </c>
      <c r="P26" s="64">
        <v>0.16147151922589797</v>
      </c>
      <c r="Q26" s="60">
        <v>51256</v>
      </c>
      <c r="R26" s="64">
        <v>0.89949211755733216</v>
      </c>
      <c r="S26" s="60">
        <v>51256</v>
      </c>
      <c r="T26" s="64">
        <v>0.99033107846524582</v>
      </c>
      <c r="U26" s="60">
        <v>51256</v>
      </c>
      <c r="V26" s="64">
        <v>0.71892604106631075</v>
      </c>
      <c r="W26" s="60">
        <v>51256</v>
      </c>
      <c r="X26" s="64">
        <v>0.70648285221278051</v>
      </c>
      <c r="Y26" s="60">
        <v>51256</v>
      </c>
      <c r="Z26" s="64">
        <v>0.87784643395740325</v>
      </c>
      <c r="AA26" s="60">
        <v>51256</v>
      </c>
      <c r="AB26" s="64">
        <v>0.91673333611054864</v>
      </c>
      <c r="AC26" s="60">
        <v>51256</v>
      </c>
      <c r="AD26" s="64">
        <v>0.58172289155542967</v>
      </c>
      <c r="AE26" s="60">
        <v>51256</v>
      </c>
      <c r="AF26" s="64">
        <v>0.59151486908288187</v>
      </c>
    </row>
    <row r="27" spans="1:32" x14ac:dyDescent="0.25">
      <c r="A27" s="60">
        <v>51621</v>
      </c>
      <c r="B27" s="64">
        <v>0.54439448163799276</v>
      </c>
      <c r="C27" s="60">
        <v>51621</v>
      </c>
      <c r="D27" s="64">
        <v>0.54362575417223435</v>
      </c>
      <c r="E27" s="60">
        <v>51621</v>
      </c>
      <c r="F27" s="64">
        <v>0.77382305243071581</v>
      </c>
      <c r="G27" s="60">
        <v>51621</v>
      </c>
      <c r="H27" s="64">
        <v>0.78540763677891001</v>
      </c>
      <c r="I27" s="60">
        <v>51621</v>
      </c>
      <c r="J27" s="64">
        <v>0.25707765814766748</v>
      </c>
      <c r="K27" s="60">
        <v>51621</v>
      </c>
      <c r="L27" s="64">
        <v>0.25117990090685449</v>
      </c>
      <c r="M27" s="60">
        <v>51621</v>
      </c>
      <c r="N27" s="64">
        <v>8.1019675227303148E-2</v>
      </c>
      <c r="O27" s="60">
        <v>51621</v>
      </c>
      <c r="P27" s="64">
        <v>0.14831794688867919</v>
      </c>
      <c r="Q27" s="60">
        <v>51621</v>
      </c>
      <c r="R27" s="64">
        <v>0.89158180955101396</v>
      </c>
      <c r="S27" s="60">
        <v>51621</v>
      </c>
      <c r="T27" s="64">
        <v>0.98473720359999395</v>
      </c>
      <c r="U27" s="60">
        <v>51621</v>
      </c>
      <c r="V27" s="64">
        <v>0.70765071363180276</v>
      </c>
      <c r="W27" s="60">
        <v>51621</v>
      </c>
      <c r="X27" s="64">
        <v>0.6949534964499382</v>
      </c>
      <c r="Y27" s="60">
        <v>51621</v>
      </c>
      <c r="Z27" s="64">
        <v>0.87100166700201509</v>
      </c>
      <c r="AA27" s="60">
        <v>51621</v>
      </c>
      <c r="AB27" s="64">
        <v>0.91043326961398485</v>
      </c>
      <c r="AC27" s="60">
        <v>51621</v>
      </c>
      <c r="AD27" s="64">
        <v>0.56647139098207711</v>
      </c>
      <c r="AE27" s="60">
        <v>51621</v>
      </c>
      <c r="AF27" s="64">
        <v>0.58105404493833501</v>
      </c>
    </row>
    <row r="28" spans="1:32" x14ac:dyDescent="0.25">
      <c r="A28" s="60">
        <v>51986</v>
      </c>
      <c r="B28" s="64">
        <v>0.52921549184059602</v>
      </c>
      <c r="C28" s="60">
        <v>51986</v>
      </c>
      <c r="D28" s="64">
        <v>0.52845270353896923</v>
      </c>
      <c r="E28" s="60">
        <v>51986</v>
      </c>
      <c r="F28" s="64">
        <v>0.76260542659865227</v>
      </c>
      <c r="G28" s="60">
        <v>51986</v>
      </c>
      <c r="H28" s="64">
        <v>0.77268505598716319</v>
      </c>
      <c r="I28" s="60">
        <v>51986</v>
      </c>
      <c r="J28" s="64">
        <v>0.24124386341194159</v>
      </c>
      <c r="K28" s="60">
        <v>51986</v>
      </c>
      <c r="L28" s="64">
        <v>0.23570935779799129</v>
      </c>
      <c r="M28" s="60">
        <v>51986</v>
      </c>
      <c r="N28" s="64">
        <v>6.7543095739324391E-2</v>
      </c>
      <c r="O28" s="60">
        <v>51986</v>
      </c>
      <c r="P28" s="64">
        <v>0.13516437455146044</v>
      </c>
      <c r="Q28" s="60">
        <v>51986</v>
      </c>
      <c r="R28" s="64">
        <v>0.88341974953684221</v>
      </c>
      <c r="S28" s="60">
        <v>51986</v>
      </c>
      <c r="T28" s="64">
        <v>0.9786959004611212</v>
      </c>
      <c r="U28" s="60">
        <v>51986</v>
      </c>
      <c r="V28" s="64">
        <v>0.69653467810303316</v>
      </c>
      <c r="W28" s="60">
        <v>51986</v>
      </c>
      <c r="X28" s="64">
        <v>0.68360667060348679</v>
      </c>
      <c r="Y28" s="60">
        <v>51986</v>
      </c>
      <c r="Z28" s="64">
        <v>0.86406679185172497</v>
      </c>
      <c r="AA28" s="60">
        <v>51986</v>
      </c>
      <c r="AB28" s="64">
        <v>0.90393774611476685</v>
      </c>
      <c r="AC28" s="60">
        <v>51986</v>
      </c>
      <c r="AD28" s="64">
        <v>0.55155018590703997</v>
      </c>
      <c r="AE28" s="60">
        <v>51986</v>
      </c>
      <c r="AF28" s="64">
        <v>0.57110715954491087</v>
      </c>
    </row>
    <row r="29" spans="1:32" x14ac:dyDescent="0.25">
      <c r="A29" s="60">
        <v>52351</v>
      </c>
      <c r="B29" s="64">
        <v>0.51441381871475789</v>
      </c>
      <c r="C29" s="60">
        <v>52351</v>
      </c>
      <c r="D29" s="64">
        <v>0.51365875734555122</v>
      </c>
      <c r="E29" s="60">
        <v>52351</v>
      </c>
      <c r="F29" s="64">
        <v>0.75132742112633988</v>
      </c>
      <c r="G29" s="60">
        <v>52351</v>
      </c>
      <c r="H29" s="64">
        <v>0.75977086509668312</v>
      </c>
      <c r="I29" s="60">
        <v>52351</v>
      </c>
      <c r="J29" s="64">
        <v>0.22638529560779566</v>
      </c>
      <c r="K29" s="60">
        <v>52351</v>
      </c>
      <c r="L29" s="64">
        <v>0.22119166841356658</v>
      </c>
      <c r="M29" s="60">
        <v>52351</v>
      </c>
      <c r="N29" s="64">
        <v>5.406651625134562E-2</v>
      </c>
      <c r="O29" s="60">
        <v>52351</v>
      </c>
      <c r="P29" s="64">
        <v>0.12201080221424167</v>
      </c>
      <c r="Q29" s="60">
        <v>52351</v>
      </c>
      <c r="R29" s="64">
        <v>0.87501035356884727</v>
      </c>
      <c r="S29" s="60">
        <v>52351</v>
      </c>
      <c r="T29" s="64">
        <v>0.97221152446588666</v>
      </c>
      <c r="U29" s="60">
        <v>52351</v>
      </c>
      <c r="V29" s="64">
        <v>0.68557582129740402</v>
      </c>
      <c r="W29" s="60">
        <v>52351</v>
      </c>
      <c r="X29" s="64">
        <v>0.67243952483000147</v>
      </c>
      <c r="Y29" s="60">
        <v>52351</v>
      </c>
      <c r="Z29" s="64">
        <v>0.85703144909673079</v>
      </c>
      <c r="AA29" s="60">
        <v>52351</v>
      </c>
      <c r="AB29" s="64">
        <v>0.89724080803449635</v>
      </c>
      <c r="AC29" s="60">
        <v>52351</v>
      </c>
      <c r="AD29" s="64">
        <v>0.53695041302934143</v>
      </c>
      <c r="AE29" s="60">
        <v>52351</v>
      </c>
      <c r="AF29" s="64">
        <v>0.56165267068484637</v>
      </c>
    </row>
    <row r="30" spans="1:32" x14ac:dyDescent="0.25">
      <c r="A30" s="60">
        <v>52717</v>
      </c>
      <c r="B30" s="64">
        <v>0.49999353754728637</v>
      </c>
      <c r="C30" s="60">
        <v>52717</v>
      </c>
      <c r="D30" s="64">
        <v>0.49924637165566271</v>
      </c>
      <c r="E30" s="60">
        <v>52717</v>
      </c>
      <c r="F30" s="64">
        <v>0.74005791886021854</v>
      </c>
      <c r="G30" s="60">
        <v>52717</v>
      </c>
      <c r="H30" s="64">
        <v>0.74675786980365011</v>
      </c>
      <c r="I30" s="60">
        <v>52717</v>
      </c>
      <c r="J30" s="64">
        <v>0.21240518015161566</v>
      </c>
      <c r="K30" s="60">
        <v>52717</v>
      </c>
      <c r="L30" s="64">
        <v>0.20753227832789584</v>
      </c>
      <c r="M30" s="60">
        <v>52717</v>
      </c>
      <c r="N30" s="64">
        <v>4.0821012652413259E-2</v>
      </c>
      <c r="O30" s="60">
        <v>52717</v>
      </c>
      <c r="P30" s="64">
        <v>0.1090006564812582</v>
      </c>
      <c r="Q30" s="60">
        <v>52717</v>
      </c>
      <c r="R30" s="64">
        <v>0.86639385008530412</v>
      </c>
      <c r="S30" s="60">
        <v>52717</v>
      </c>
      <c r="T30" s="64">
        <v>0.96533199112951729</v>
      </c>
      <c r="U30" s="60">
        <v>52717</v>
      </c>
      <c r="V30" s="64">
        <v>0.67478562681660403</v>
      </c>
      <c r="W30" s="60">
        <v>52717</v>
      </c>
      <c r="X30" s="64">
        <v>0.66142734679227411</v>
      </c>
      <c r="Y30" s="60">
        <v>52717</v>
      </c>
      <c r="Z30" s="64">
        <v>0.84994519817413317</v>
      </c>
      <c r="AA30" s="60">
        <v>52717</v>
      </c>
      <c r="AB30" s="64">
        <v>0.89040541095611814</v>
      </c>
      <c r="AC30" s="60">
        <v>52717</v>
      </c>
      <c r="AD30" s="64">
        <v>0.52268730464967283</v>
      </c>
      <c r="AE30" s="60">
        <v>52717</v>
      </c>
      <c r="AF30" s="64">
        <v>0.5525046261609261</v>
      </c>
    </row>
    <row r="31" spans="1:32" x14ac:dyDescent="0.25">
      <c r="A31" s="60">
        <v>53082</v>
      </c>
      <c r="B31" s="64">
        <v>0.48632828486103019</v>
      </c>
      <c r="C31" s="60">
        <v>53082</v>
      </c>
      <c r="D31" s="64">
        <v>0.48554808815762457</v>
      </c>
      <c r="E31" s="60">
        <v>53082</v>
      </c>
      <c r="F31" s="64">
        <v>0.7307541375387353</v>
      </c>
      <c r="G31" s="60">
        <v>53082</v>
      </c>
      <c r="H31" s="64">
        <v>0.73624666345332679</v>
      </c>
      <c r="I31" s="60">
        <v>53082</v>
      </c>
      <c r="J31" s="64">
        <v>0.1993228296760497</v>
      </c>
      <c r="K31" s="60">
        <v>53082</v>
      </c>
      <c r="L31" s="64">
        <v>0.19475005711210303</v>
      </c>
      <c r="M31" s="60">
        <v>53082</v>
      </c>
      <c r="N31" s="64">
        <v>3.4868993086735592E-2</v>
      </c>
      <c r="O31" s="60">
        <v>53082</v>
      </c>
      <c r="P31" s="64">
        <v>0.10088587513504742</v>
      </c>
      <c r="Q31" s="60">
        <v>53082</v>
      </c>
      <c r="R31" s="64">
        <v>0.85910932115672556</v>
      </c>
      <c r="S31" s="60">
        <v>53082</v>
      </c>
      <c r="T31" s="64">
        <v>0.95974709809464742</v>
      </c>
      <c r="U31" s="60">
        <v>53082</v>
      </c>
      <c r="V31" s="64">
        <v>0.66453792445527493</v>
      </c>
      <c r="W31" s="60">
        <v>53082</v>
      </c>
      <c r="X31" s="64">
        <v>0.64999347055084711</v>
      </c>
      <c r="Y31" s="60">
        <v>53082</v>
      </c>
      <c r="Z31" s="64">
        <v>0.84349782251337657</v>
      </c>
      <c r="AA31" s="60">
        <v>53082</v>
      </c>
      <c r="AB31" s="64">
        <v>0.88472083764230003</v>
      </c>
      <c r="AC31" s="60">
        <v>53082</v>
      </c>
      <c r="AD31" s="64">
        <v>0.51019423455648905</v>
      </c>
      <c r="AE31" s="60">
        <v>53082</v>
      </c>
      <c r="AF31" s="64">
        <v>0.53968521971403893</v>
      </c>
    </row>
    <row r="32" spans="1:32" x14ac:dyDescent="0.25">
      <c r="A32" s="60">
        <v>53447</v>
      </c>
      <c r="B32" s="64">
        <v>0.47302420803848394</v>
      </c>
      <c r="C32" s="60">
        <v>53447</v>
      </c>
      <c r="D32" s="64">
        <v>0.47221134640944096</v>
      </c>
      <c r="E32" s="60">
        <v>53447</v>
      </c>
      <c r="F32" s="64">
        <v>0.72150912839238968</v>
      </c>
      <c r="G32" s="60">
        <v>53447</v>
      </c>
      <c r="H32" s="64">
        <v>0.72571276206230495</v>
      </c>
      <c r="I32" s="60">
        <v>53447</v>
      </c>
      <c r="J32" s="64">
        <v>0.18704624059407748</v>
      </c>
      <c r="K32" s="60">
        <v>53447</v>
      </c>
      <c r="L32" s="64">
        <v>0.18275511188309107</v>
      </c>
      <c r="M32" s="60">
        <v>53447</v>
      </c>
      <c r="N32" s="64">
        <v>2.8916973521057925E-2</v>
      </c>
      <c r="O32" s="60">
        <v>53447</v>
      </c>
      <c r="P32" s="64">
        <v>9.2771093788836634E-2</v>
      </c>
      <c r="Q32" s="60">
        <v>53447</v>
      </c>
      <c r="R32" s="64">
        <v>0.85169553549744437</v>
      </c>
      <c r="S32" s="60">
        <v>53447</v>
      </c>
      <c r="T32" s="64">
        <v>0.95386004791653511</v>
      </c>
      <c r="U32" s="60">
        <v>53447</v>
      </c>
      <c r="V32" s="64">
        <v>0.65445962001375746</v>
      </c>
      <c r="W32" s="60">
        <v>53447</v>
      </c>
      <c r="X32" s="64">
        <v>0.63870374679185027</v>
      </c>
      <c r="Y32" s="60">
        <v>53447</v>
      </c>
      <c r="Z32" s="64">
        <v>0.83701451811688499</v>
      </c>
      <c r="AA32" s="60">
        <v>53447</v>
      </c>
      <c r="AB32" s="64">
        <v>0.87894291948696235</v>
      </c>
      <c r="AC32" s="60">
        <v>53447</v>
      </c>
      <c r="AD32" s="64">
        <v>0.49804671676319334</v>
      </c>
      <c r="AE32" s="60">
        <v>53447</v>
      </c>
      <c r="AF32" s="64">
        <v>0.52717036391563321</v>
      </c>
    </row>
    <row r="33" spans="1:32" x14ac:dyDescent="0.25">
      <c r="A33" s="60">
        <v>53812</v>
      </c>
      <c r="B33" s="64">
        <v>0.46007187849710046</v>
      </c>
      <c r="C33" s="60">
        <v>53812</v>
      </c>
      <c r="D33" s="64">
        <v>0.45922674235761968</v>
      </c>
      <c r="E33" s="60">
        <v>53812</v>
      </c>
      <c r="F33" s="64">
        <v>0.71232394583715797</v>
      </c>
      <c r="G33" s="60">
        <v>53812</v>
      </c>
      <c r="H33" s="64">
        <v>0.71516024343943674</v>
      </c>
      <c r="I33" s="60">
        <v>53812</v>
      </c>
      <c r="J33" s="64">
        <v>0.17552578486488066</v>
      </c>
      <c r="K33" s="60">
        <v>53812</v>
      </c>
      <c r="L33" s="64">
        <v>0.17149895314369831</v>
      </c>
      <c r="M33" s="60">
        <v>53812</v>
      </c>
      <c r="N33" s="64">
        <v>2.2964953955380261E-2</v>
      </c>
      <c r="O33" s="60">
        <v>53812</v>
      </c>
      <c r="P33" s="64">
        <v>8.4656312442625836E-2</v>
      </c>
      <c r="Q33" s="60">
        <v>53812</v>
      </c>
      <c r="R33" s="64">
        <v>0.84415448490654033</v>
      </c>
      <c r="S33" s="60">
        <v>53812</v>
      </c>
      <c r="T33" s="64">
        <v>0.94767387150065641</v>
      </c>
      <c r="U33" s="60">
        <v>53812</v>
      </c>
      <c r="V33" s="64">
        <v>0.64454784494115802</v>
      </c>
      <c r="W33" s="60">
        <v>53812</v>
      </c>
      <c r="X33" s="64">
        <v>0.62755692132321383</v>
      </c>
      <c r="Y33" s="60">
        <v>53812</v>
      </c>
      <c r="Z33" s="64">
        <v>0.83048388696642494</v>
      </c>
      <c r="AA33" s="60">
        <v>53812</v>
      </c>
      <c r="AB33" s="64">
        <v>0.87306366895318921</v>
      </c>
      <c r="AC33" s="60">
        <v>53812</v>
      </c>
      <c r="AD33" s="64">
        <v>0.48623258555861559</v>
      </c>
      <c r="AE33" s="60">
        <v>53812</v>
      </c>
      <c r="AF33" s="64">
        <v>0.51495043989607447</v>
      </c>
    </row>
    <row r="34" spans="1:32" x14ac:dyDescent="0.25">
      <c r="A34" s="60">
        <v>54178</v>
      </c>
      <c r="B34" s="64">
        <v>0.44746164640632435</v>
      </c>
      <c r="C34" s="60">
        <v>54178</v>
      </c>
      <c r="D34" s="64">
        <v>0.44658457346587194</v>
      </c>
      <c r="E34" s="60">
        <v>54178</v>
      </c>
      <c r="F34" s="64">
        <v>0.70319409462514659</v>
      </c>
      <c r="G34" s="60">
        <v>54178</v>
      </c>
      <c r="H34" s="64">
        <v>0.70458330216393217</v>
      </c>
      <c r="I34" s="60">
        <v>54178</v>
      </c>
      <c r="J34" s="64">
        <v>0.16468642919312848</v>
      </c>
      <c r="K34" s="60">
        <v>54178</v>
      </c>
      <c r="L34" s="64">
        <v>0.16090826897790067</v>
      </c>
      <c r="M34" s="60">
        <v>54178</v>
      </c>
      <c r="N34" s="64">
        <v>1.6996627486782927E-2</v>
      </c>
      <c r="O34" s="60">
        <v>54178</v>
      </c>
      <c r="P34" s="64">
        <v>7.6519298818754189E-2</v>
      </c>
      <c r="Q34" s="60">
        <v>54178</v>
      </c>
      <c r="R34" s="64">
        <v>0.83647091259059525</v>
      </c>
      <c r="S34" s="60">
        <v>54178</v>
      </c>
      <c r="T34" s="64">
        <v>0.94117504284271036</v>
      </c>
      <c r="U34" s="60">
        <v>54178</v>
      </c>
      <c r="V34" s="64">
        <v>0.63480032085421878</v>
      </c>
      <c r="W34" s="60">
        <v>54178</v>
      </c>
      <c r="X34" s="64">
        <v>0.61654968023329826</v>
      </c>
      <c r="Y34" s="60">
        <v>54178</v>
      </c>
      <c r="Z34" s="64">
        <v>0.82392971646234092</v>
      </c>
      <c r="AA34" s="60">
        <v>54178</v>
      </c>
      <c r="AB34" s="64">
        <v>0.86709942702307075</v>
      </c>
      <c r="AC34" s="60">
        <v>54178</v>
      </c>
      <c r="AD34" s="64">
        <v>0.47471856143865271</v>
      </c>
      <c r="AE34" s="60">
        <v>54178</v>
      </c>
      <c r="AF34" s="64">
        <v>0.50299322659386891</v>
      </c>
    </row>
    <row r="35" spans="1:32" x14ac:dyDescent="0.25">
      <c r="A35" s="60">
        <v>54543</v>
      </c>
      <c r="B35" s="64">
        <v>0.43520434504899402</v>
      </c>
      <c r="C35" s="60">
        <v>54543</v>
      </c>
      <c r="D35" s="64">
        <v>0.43429778550863279</v>
      </c>
      <c r="E35" s="60">
        <v>54543</v>
      </c>
      <c r="F35" s="64">
        <v>0.69416673479999547</v>
      </c>
      <c r="G35" s="60">
        <v>54543</v>
      </c>
      <c r="H35" s="64">
        <v>0.69409949475687471</v>
      </c>
      <c r="I35" s="60">
        <v>54543</v>
      </c>
      <c r="J35" s="64">
        <v>0.15454314745331352</v>
      </c>
      <c r="K35" s="60">
        <v>54543</v>
      </c>
      <c r="L35" s="64">
        <v>0.1509976897364578</v>
      </c>
      <c r="M35" s="60">
        <v>54543</v>
      </c>
      <c r="N35" s="64">
        <v>1.1219038036873283E-2</v>
      </c>
      <c r="O35" s="60">
        <v>54543</v>
      </c>
      <c r="P35" s="64">
        <v>6.8547778940631701E-2</v>
      </c>
      <c r="Q35" s="60">
        <v>54543</v>
      </c>
      <c r="R35" s="64">
        <v>0.82875394336794683</v>
      </c>
      <c r="S35" s="60">
        <v>54543</v>
      </c>
      <c r="T35" s="64">
        <v>0.9344987463852058</v>
      </c>
      <c r="U35" s="60">
        <v>54543</v>
      </c>
      <c r="V35" s="64">
        <v>0.62523150407907335</v>
      </c>
      <c r="W35" s="60">
        <v>54543</v>
      </c>
      <c r="X35" s="64">
        <v>0.60570430261593489</v>
      </c>
      <c r="Y35" s="60">
        <v>54543</v>
      </c>
      <c r="Z35" s="64">
        <v>0.81737556613437878</v>
      </c>
      <c r="AA35" s="60">
        <v>54543</v>
      </c>
      <c r="AB35" s="64">
        <v>0.86110749417686139</v>
      </c>
      <c r="AC35" s="60">
        <v>54543</v>
      </c>
      <c r="AD35" s="64">
        <v>0.46353964665631875</v>
      </c>
      <c r="AE35" s="60">
        <v>54543</v>
      </c>
      <c r="AF35" s="64">
        <v>0.49135940091587232</v>
      </c>
    </row>
    <row r="36" spans="1:32" x14ac:dyDescent="0.25">
      <c r="A36" s="60">
        <v>54908</v>
      </c>
      <c r="B36" s="64">
        <v>0.4237844271658503</v>
      </c>
      <c r="C36" s="60">
        <v>54908</v>
      </c>
      <c r="D36" s="64">
        <v>0.42290158594387106</v>
      </c>
      <c r="E36" s="60">
        <v>54908</v>
      </c>
      <c r="F36" s="64">
        <v>0.6862816536755314</v>
      </c>
      <c r="G36" s="60">
        <v>54908</v>
      </c>
      <c r="H36" s="64">
        <v>0.6862818556613125</v>
      </c>
      <c r="I36" s="60">
        <v>54908</v>
      </c>
      <c r="J36" s="64">
        <v>0.14502460549902518</v>
      </c>
      <c r="K36" s="60">
        <v>54908</v>
      </c>
      <c r="L36" s="64">
        <v>0.14169751778809442</v>
      </c>
      <c r="M36" s="60">
        <v>54908</v>
      </c>
      <c r="N36" s="64">
        <v>1.0164479413913114E-2</v>
      </c>
      <c r="O36" s="60">
        <v>54908</v>
      </c>
      <c r="P36" s="64">
        <v>6.4455338813822843E-2</v>
      </c>
      <c r="Q36" s="60">
        <v>54908</v>
      </c>
      <c r="R36" s="64">
        <v>0.82276221935240068</v>
      </c>
      <c r="S36" s="60">
        <v>54908</v>
      </c>
      <c r="T36" s="64">
        <v>0.93020583323329686</v>
      </c>
      <c r="U36" s="60">
        <v>54908</v>
      </c>
      <c r="V36" s="64">
        <v>0.61632158886116062</v>
      </c>
      <c r="W36" s="60">
        <v>54908</v>
      </c>
      <c r="X36" s="64">
        <v>0.59552920837850176</v>
      </c>
      <c r="Y36" s="60">
        <v>54908</v>
      </c>
      <c r="Z36" s="64">
        <v>0.8115577268752513</v>
      </c>
      <c r="AA36" s="60">
        <v>54908</v>
      </c>
      <c r="AB36" s="64">
        <v>0.85652060837333566</v>
      </c>
      <c r="AC36" s="60">
        <v>54908</v>
      </c>
      <c r="AD36" s="64">
        <v>0.45236482351508051</v>
      </c>
      <c r="AE36" s="60">
        <v>54908</v>
      </c>
      <c r="AF36" s="64">
        <v>0.48026511310877557</v>
      </c>
    </row>
    <row r="37" spans="1:32" x14ac:dyDescent="0.25">
      <c r="A37" s="60">
        <v>55273</v>
      </c>
      <c r="B37" s="64">
        <v>0.41268765958478082</v>
      </c>
      <c r="C37" s="60">
        <v>55273</v>
      </c>
      <c r="D37" s="64">
        <v>0.41182963042160364</v>
      </c>
      <c r="E37" s="60">
        <v>55273</v>
      </c>
      <c r="F37" s="64">
        <v>0.67850132674496511</v>
      </c>
      <c r="G37" s="60">
        <v>55273</v>
      </c>
      <c r="H37" s="64">
        <v>0.67856532599900365</v>
      </c>
      <c r="I37" s="60">
        <v>55273</v>
      </c>
      <c r="J37" s="64">
        <v>0.13609232467910973</v>
      </c>
      <c r="K37" s="60">
        <v>55273</v>
      </c>
      <c r="L37" s="64">
        <v>0.13297015724115105</v>
      </c>
      <c r="M37" s="60">
        <v>55273</v>
      </c>
      <c r="N37" s="64">
        <v>9.109920790952946E-3</v>
      </c>
      <c r="O37" s="60">
        <v>55273</v>
      </c>
      <c r="P37" s="64">
        <v>6.0362898687013999E-2</v>
      </c>
      <c r="Q37" s="60">
        <v>55273</v>
      </c>
      <c r="R37" s="64">
        <v>0.81675089945284474</v>
      </c>
      <c r="S37" s="60">
        <v>55273</v>
      </c>
      <c r="T37" s="64">
        <v>0.92578665304498209</v>
      </c>
      <c r="U37" s="60">
        <v>55273</v>
      </c>
      <c r="V37" s="64">
        <v>0.60758488918524878</v>
      </c>
      <c r="W37" s="60">
        <v>55273</v>
      </c>
      <c r="X37" s="64">
        <v>0.58550950843516936</v>
      </c>
      <c r="Y37" s="60">
        <v>55273</v>
      </c>
      <c r="Z37" s="64">
        <v>0.80573641377691774</v>
      </c>
      <c r="AA37" s="60">
        <v>55273</v>
      </c>
      <c r="AB37" s="64">
        <v>0.85191990817666863</v>
      </c>
      <c r="AC37" s="60">
        <v>55273</v>
      </c>
      <c r="AD37" s="64">
        <v>0.44148197995695437</v>
      </c>
      <c r="AE37" s="60">
        <v>55273</v>
      </c>
      <c r="AF37" s="64">
        <v>0.46944390277148512</v>
      </c>
    </row>
    <row r="38" spans="1:32" x14ac:dyDescent="0.25">
      <c r="A38" s="60">
        <v>55639</v>
      </c>
      <c r="B38" s="64">
        <v>0.40190576223376717</v>
      </c>
      <c r="C38" s="60">
        <v>55639</v>
      </c>
      <c r="D38" s="64">
        <v>0.40107362420065729</v>
      </c>
      <c r="E38" s="60">
        <v>55639</v>
      </c>
      <c r="F38" s="64">
        <v>0.67082268854912797</v>
      </c>
      <c r="G38" s="60">
        <v>55639</v>
      </c>
      <c r="H38" s="64">
        <v>0.67094686391385849</v>
      </c>
      <c r="I38" s="60">
        <v>55639</v>
      </c>
      <c r="J38" s="64">
        <v>0.12768812860883988</v>
      </c>
      <c r="K38" s="60">
        <v>55639</v>
      </c>
      <c r="L38" s="64">
        <v>0.12475876636672678</v>
      </c>
      <c r="M38" s="60">
        <v>55639</v>
      </c>
      <c r="N38" s="64">
        <v>8.0524729662860371E-3</v>
      </c>
      <c r="O38" s="60">
        <v>55639</v>
      </c>
      <c r="P38" s="64">
        <v>5.6259246395474166E-2</v>
      </c>
      <c r="Q38" s="60">
        <v>55639</v>
      </c>
      <c r="R38" s="64">
        <v>0.81070710212663788</v>
      </c>
      <c r="S38" s="60">
        <v>55639</v>
      </c>
      <c r="T38" s="64">
        <v>0.92123111775494404</v>
      </c>
      <c r="U38" s="60">
        <v>55639</v>
      </c>
      <c r="V38" s="64">
        <v>0.59902006845648625</v>
      </c>
      <c r="W38" s="60">
        <v>55639</v>
      </c>
      <c r="X38" s="64">
        <v>0.5756422574919795</v>
      </c>
      <c r="Y38" s="60">
        <v>55639</v>
      </c>
      <c r="Z38" s="64">
        <v>0.79993622837274336</v>
      </c>
      <c r="AA38" s="60">
        <v>55639</v>
      </c>
      <c r="AB38" s="64">
        <v>0.84732450841653351</v>
      </c>
      <c r="AC38" s="60">
        <v>55639</v>
      </c>
      <c r="AD38" s="64">
        <v>0.43086115925472351</v>
      </c>
      <c r="AE38" s="60">
        <v>55639</v>
      </c>
      <c r="AF38" s="64">
        <v>0.45886679189748025</v>
      </c>
    </row>
    <row r="39" spans="1:32" x14ac:dyDescent="0.25">
      <c r="A39" s="60">
        <v>56004</v>
      </c>
      <c r="B39" s="64">
        <v>0.39142766247670985</v>
      </c>
      <c r="C39" s="60">
        <v>56004</v>
      </c>
      <c r="D39" s="64">
        <v>0.39062225834740205</v>
      </c>
      <c r="E39" s="60">
        <v>56004</v>
      </c>
      <c r="F39" s="64">
        <v>0.66324533690185983</v>
      </c>
      <c r="G39" s="60">
        <v>56004</v>
      </c>
      <c r="H39" s="64">
        <v>0.66342630718296658</v>
      </c>
      <c r="I39" s="60">
        <v>56004</v>
      </c>
      <c r="J39" s="64">
        <v>0.11982362714593961</v>
      </c>
      <c r="K39" s="60">
        <v>56004</v>
      </c>
      <c r="L39" s="64">
        <v>0.11707468867453608</v>
      </c>
      <c r="M39" s="60">
        <v>56004</v>
      </c>
      <c r="N39" s="64">
        <v>6.9979143433258678E-3</v>
      </c>
      <c r="O39" s="60">
        <v>56004</v>
      </c>
      <c r="P39" s="64">
        <v>5.2166806268665315E-2</v>
      </c>
      <c r="Q39" s="60">
        <v>56004</v>
      </c>
      <c r="R39" s="64">
        <v>0.80466162202097946</v>
      </c>
      <c r="S39" s="60">
        <v>56004</v>
      </c>
      <c r="T39" s="64">
        <v>0.91656415149982651</v>
      </c>
      <c r="U39" s="60">
        <v>56004</v>
      </c>
      <c r="V39" s="64">
        <v>0.59061959878067938</v>
      </c>
      <c r="W39" s="60">
        <v>56004</v>
      </c>
      <c r="X39" s="64">
        <v>0.56592659937234591</v>
      </c>
      <c r="Y39" s="60">
        <v>56004</v>
      </c>
      <c r="Z39" s="64">
        <v>0.79414788702482408</v>
      </c>
      <c r="AA39" s="60">
        <v>56004</v>
      </c>
      <c r="AB39" s="64">
        <v>0.84272749918536394</v>
      </c>
      <c r="AC39" s="60">
        <v>56004</v>
      </c>
      <c r="AD39" s="64">
        <v>0.4205459458360622</v>
      </c>
      <c r="AE39" s="60">
        <v>56004</v>
      </c>
      <c r="AF39" s="64">
        <v>0.44857806406432471</v>
      </c>
    </row>
    <row r="40" spans="1:32" x14ac:dyDescent="0.25">
      <c r="A40" s="60">
        <v>56369</v>
      </c>
      <c r="B40" s="64">
        <v>0.38124562606212808</v>
      </c>
      <c r="C40" s="60">
        <v>56369</v>
      </c>
      <c r="D40" s="64">
        <v>0.3804677937785545</v>
      </c>
      <c r="E40" s="60">
        <v>56369</v>
      </c>
      <c r="F40" s="64">
        <v>0.6557677801510452</v>
      </c>
      <c r="G40" s="60">
        <v>56369</v>
      </c>
      <c r="H40" s="64">
        <v>0.65600216711077342</v>
      </c>
      <c r="I40" s="60">
        <v>56369</v>
      </c>
      <c r="J40" s="64">
        <v>0.11244351200723267</v>
      </c>
      <c r="K40" s="60">
        <v>56369</v>
      </c>
      <c r="L40" s="64">
        <v>0.10986388473856423</v>
      </c>
      <c r="M40" s="60">
        <v>56369</v>
      </c>
      <c r="N40" s="64">
        <v>5.9433557203656994E-3</v>
      </c>
      <c r="O40" s="60">
        <v>56369</v>
      </c>
      <c r="P40" s="64">
        <v>4.8074366141856464E-2</v>
      </c>
      <c r="Q40" s="60">
        <v>56369</v>
      </c>
      <c r="R40" s="64">
        <v>0.79859967340416327</v>
      </c>
      <c r="S40" s="60">
        <v>56369</v>
      </c>
      <c r="T40" s="64">
        <v>0.91177522578556636</v>
      </c>
      <c r="U40" s="60">
        <v>56369</v>
      </c>
      <c r="V40" s="64">
        <v>0.58238227045639768</v>
      </c>
      <c r="W40" s="60">
        <v>56369</v>
      </c>
      <c r="X40" s="64">
        <v>0.55635965487972106</v>
      </c>
      <c r="Y40" s="60">
        <v>56369</v>
      </c>
      <c r="Z40" s="64">
        <v>0.78836917889240132</v>
      </c>
      <c r="AA40" s="60">
        <v>56369</v>
      </c>
      <c r="AB40" s="64">
        <v>0.83812703712606962</v>
      </c>
      <c r="AC40" s="60">
        <v>56369</v>
      </c>
      <c r="AD40" s="64">
        <v>0.41050178730934178</v>
      </c>
      <c r="AE40" s="60">
        <v>56369</v>
      </c>
      <c r="AF40" s="64">
        <v>0.43854413941076842</v>
      </c>
    </row>
    <row r="41" spans="1:32" x14ac:dyDescent="0.25">
      <c r="A41" s="60">
        <v>56734</v>
      </c>
      <c r="B41" s="64">
        <v>0.37135114771745914</v>
      </c>
      <c r="C41" s="60">
        <v>56734</v>
      </c>
      <c r="D41" s="64">
        <v>0.3706016487110681</v>
      </c>
      <c r="E41" s="60">
        <v>56734</v>
      </c>
      <c r="F41" s="64">
        <v>0.64838939644371751</v>
      </c>
      <c r="G41" s="60">
        <v>56734</v>
      </c>
      <c r="H41" s="64">
        <v>0.64867389591379021</v>
      </c>
      <c r="I41" s="60">
        <v>56734</v>
      </c>
      <c r="J41" s="64">
        <v>0.10551794911967932</v>
      </c>
      <c r="K41" s="60">
        <v>56734</v>
      </c>
      <c r="L41" s="64">
        <v>0.10309720492533571</v>
      </c>
      <c r="M41" s="60">
        <v>56734</v>
      </c>
      <c r="N41" s="64">
        <v>4.8887970974055318E-3</v>
      </c>
      <c r="O41" s="60">
        <v>56734</v>
      </c>
      <c r="P41" s="64">
        <v>4.398192601504762E-2</v>
      </c>
      <c r="Q41" s="60">
        <v>56734</v>
      </c>
      <c r="R41" s="64">
        <v>0.7925210034298743</v>
      </c>
      <c r="S41" s="60">
        <v>56734</v>
      </c>
      <c r="T41" s="64">
        <v>0.90686523379733464</v>
      </c>
      <c r="U41" s="60">
        <v>56734</v>
      </c>
      <c r="V41" s="64">
        <v>0.57430486657538005</v>
      </c>
      <c r="W41" s="60">
        <v>56734</v>
      </c>
      <c r="X41" s="64">
        <v>0.54693925814198552</v>
      </c>
      <c r="Y41" s="60">
        <v>56734</v>
      </c>
      <c r="Z41" s="64">
        <v>0.78258820101222626</v>
      </c>
      <c r="AA41" s="60">
        <v>56734</v>
      </c>
      <c r="AB41" s="64">
        <v>0.83351375641909631</v>
      </c>
      <c r="AC41" s="60">
        <v>56734</v>
      </c>
      <c r="AD41" s="64">
        <v>0.4007194980439624</v>
      </c>
      <c r="AE41" s="60">
        <v>56734</v>
      </c>
      <c r="AF41" s="64">
        <v>0.42875664554143222</v>
      </c>
    </row>
    <row r="42" spans="1:32" x14ac:dyDescent="0.25">
      <c r="A42" s="60">
        <v>57100</v>
      </c>
      <c r="B42" s="64">
        <v>0.36173706092105867</v>
      </c>
      <c r="C42" s="60">
        <v>57100</v>
      </c>
      <c r="D42" s="64">
        <v>0.36101666450312453</v>
      </c>
      <c r="E42" s="60">
        <v>57100</v>
      </c>
      <c r="F42" s="64">
        <v>0.64110737017612562</v>
      </c>
      <c r="G42" s="60">
        <v>57100</v>
      </c>
      <c r="H42" s="64">
        <v>0.64143868238914281</v>
      </c>
      <c r="I42" s="60">
        <v>57100</v>
      </c>
      <c r="J42" s="64">
        <v>9.9001831951238767E-2</v>
      </c>
      <c r="K42" s="60">
        <v>57100</v>
      </c>
      <c r="L42" s="64">
        <v>9.6730577516095068E-2</v>
      </c>
      <c r="M42" s="60">
        <v>57100</v>
      </c>
      <c r="N42" s="64">
        <v>3.8313492727386229E-3</v>
      </c>
      <c r="O42" s="60">
        <v>57100</v>
      </c>
      <c r="P42" s="64">
        <v>3.9878273723507787E-2</v>
      </c>
      <c r="Q42" s="60">
        <v>57100</v>
      </c>
      <c r="R42" s="64">
        <v>0.78641252344977142</v>
      </c>
      <c r="S42" s="60">
        <v>57100</v>
      </c>
      <c r="T42" s="64">
        <v>0.90182302266543446</v>
      </c>
      <c r="U42" s="60">
        <v>57100</v>
      </c>
      <c r="V42" s="64">
        <v>0.56638651934863415</v>
      </c>
      <c r="W42" s="60">
        <v>57100</v>
      </c>
      <c r="X42" s="64">
        <v>0.53766252615867871</v>
      </c>
      <c r="Y42" s="60">
        <v>57100</v>
      </c>
      <c r="Z42" s="64">
        <v>0.7768289227045172</v>
      </c>
      <c r="AA42" s="60">
        <v>57100</v>
      </c>
      <c r="AB42" s="64">
        <v>0.82890644080117704</v>
      </c>
      <c r="AC42" s="60">
        <v>57100</v>
      </c>
      <c r="AD42" s="64">
        <v>0.39117222345393732</v>
      </c>
      <c r="AE42" s="60">
        <v>57100</v>
      </c>
      <c r="AF42" s="64">
        <v>0.41918944173140682</v>
      </c>
    </row>
    <row r="43" spans="1:32" x14ac:dyDescent="0.25">
      <c r="A43" s="60">
        <v>57465</v>
      </c>
      <c r="B43" s="64">
        <v>0.35239315822828959</v>
      </c>
      <c r="C43" s="60">
        <v>57465</v>
      </c>
      <c r="D43" s="64">
        <v>0.35170240342539438</v>
      </c>
      <c r="E43" s="60">
        <v>57465</v>
      </c>
      <c r="F43" s="64">
        <v>0.6339211417243712</v>
      </c>
      <c r="G43" s="60">
        <v>57465</v>
      </c>
      <c r="H43" s="64">
        <v>0.63429622133446784</v>
      </c>
      <c r="I43" s="60">
        <v>57465</v>
      </c>
      <c r="J43" s="64">
        <v>9.2904162099756271E-2</v>
      </c>
      <c r="K43" s="60">
        <v>57465</v>
      </c>
      <c r="L43" s="64">
        <v>9.0772797598175137E-2</v>
      </c>
      <c r="M43" s="60">
        <v>57465</v>
      </c>
      <c r="N43" s="64">
        <v>2.7767906497784545E-3</v>
      </c>
      <c r="O43" s="60">
        <v>57465</v>
      </c>
      <c r="P43" s="64">
        <v>3.5785833596698936E-2</v>
      </c>
      <c r="Q43" s="60">
        <v>57465</v>
      </c>
      <c r="R43" s="64">
        <v>0.7803053981620901</v>
      </c>
      <c r="S43" s="60">
        <v>57465</v>
      </c>
      <c r="T43" s="64">
        <v>0.89667617671960198</v>
      </c>
      <c r="U43" s="60">
        <v>57465</v>
      </c>
      <c r="V43" s="64">
        <v>0.5586195941634664</v>
      </c>
      <c r="W43" s="60">
        <v>57465</v>
      </c>
      <c r="X43" s="64">
        <v>0.52852884463347516</v>
      </c>
      <c r="Y43" s="60">
        <v>57465</v>
      </c>
      <c r="Z43" s="64">
        <v>0.77108258265691199</v>
      </c>
      <c r="AA43" s="60">
        <v>57465</v>
      </c>
      <c r="AB43" s="64">
        <v>0.82429854549524306</v>
      </c>
      <c r="AC43" s="60">
        <v>57465</v>
      </c>
      <c r="AD43" s="64">
        <v>0.38189912989611063</v>
      </c>
      <c r="AE43" s="60">
        <v>57465</v>
      </c>
      <c r="AF43" s="64">
        <v>0.40988256906313325</v>
      </c>
    </row>
    <row r="44" spans="1:32" x14ac:dyDescent="0.25">
      <c r="A44" s="60">
        <v>57830</v>
      </c>
      <c r="B44" s="64">
        <v>0.34331276160104945</v>
      </c>
      <c r="C44" s="60">
        <v>57830</v>
      </c>
      <c r="D44" s="64">
        <v>0.34265220391104984</v>
      </c>
      <c r="E44" s="60">
        <v>57830</v>
      </c>
      <c r="F44" s="64">
        <v>0.62682939563703211</v>
      </c>
      <c r="G44" s="60">
        <v>57830</v>
      </c>
      <c r="H44" s="64">
        <v>0.62724518306152344</v>
      </c>
      <c r="I44" s="60">
        <v>57830</v>
      </c>
      <c r="J44" s="64">
        <v>8.7182056789705559E-2</v>
      </c>
      <c r="K44" s="60">
        <v>57830</v>
      </c>
      <c r="L44" s="64">
        <v>8.5181966192936873E-2</v>
      </c>
      <c r="M44" s="60">
        <v>57830</v>
      </c>
      <c r="N44" s="64">
        <v>1.7222320268182861E-3</v>
      </c>
      <c r="O44" s="60">
        <v>57830</v>
      </c>
      <c r="P44" s="64">
        <v>3.1693393469890085E-2</v>
      </c>
      <c r="Q44" s="60">
        <v>57830</v>
      </c>
      <c r="R44" s="64">
        <v>0.77418464291830036</v>
      </c>
      <c r="S44" s="60">
        <v>57830</v>
      </c>
      <c r="T44" s="64">
        <v>0.89141299799575813</v>
      </c>
      <c r="U44" s="60">
        <v>57830</v>
      </c>
      <c r="V44" s="64">
        <v>0.55100334320645561</v>
      </c>
      <c r="W44" s="60">
        <v>57830</v>
      </c>
      <c r="X44" s="64">
        <v>0.51953539145479266</v>
      </c>
      <c r="Y44" s="60">
        <v>57830</v>
      </c>
      <c r="Z44" s="64">
        <v>0.76534682592707526</v>
      </c>
      <c r="AA44" s="60">
        <v>57830</v>
      </c>
      <c r="AB44" s="64">
        <v>0.81968809113963692</v>
      </c>
      <c r="AC44" s="60">
        <v>57830</v>
      </c>
      <c r="AD44" s="64">
        <v>0.3728692036398783</v>
      </c>
      <c r="AE44" s="60">
        <v>57830</v>
      </c>
      <c r="AF44" s="64">
        <v>0.40080569706919045</v>
      </c>
    </row>
    <row r="45" spans="1:32" x14ac:dyDescent="0.25">
      <c r="A45" s="60">
        <v>58195</v>
      </c>
      <c r="B45" s="64">
        <v>0.33447340800703945</v>
      </c>
      <c r="C45" s="60">
        <v>58195</v>
      </c>
      <c r="D45" s="64">
        <v>0.33384244326261964</v>
      </c>
      <c r="E45" s="60">
        <v>58195</v>
      </c>
      <c r="F45" s="64">
        <v>0.61982134296200464</v>
      </c>
      <c r="G45" s="60">
        <v>58195</v>
      </c>
      <c r="H45" s="64">
        <v>0.62027626674356484</v>
      </c>
      <c r="I45" s="60"/>
      <c r="J45" s="64"/>
      <c r="K45" s="60"/>
      <c r="L45" s="64"/>
      <c r="M45" s="60"/>
      <c r="N45" s="64"/>
      <c r="O45" s="60"/>
      <c r="P45" s="64"/>
      <c r="Q45" s="60">
        <v>58195</v>
      </c>
      <c r="R45" s="64">
        <v>0.76809365582851263</v>
      </c>
      <c r="S45" s="60">
        <v>58195</v>
      </c>
      <c r="T45" s="64">
        <v>0.88613736649921637</v>
      </c>
      <c r="U45" s="60">
        <v>58195</v>
      </c>
      <c r="V45" s="64">
        <v>0.5435031278638861</v>
      </c>
      <c r="W45" s="60">
        <v>58195</v>
      </c>
      <c r="X45" s="64">
        <v>0.51069046641334803</v>
      </c>
      <c r="Y45" s="60">
        <v>58195</v>
      </c>
      <c r="Z45" s="64">
        <v>0.75963287884201269</v>
      </c>
      <c r="AA45" s="60">
        <v>58195</v>
      </c>
      <c r="AB45" s="64">
        <v>0.81508622533085984</v>
      </c>
      <c r="AC45" s="60">
        <v>58195</v>
      </c>
      <c r="AD45" s="64">
        <v>0.36405824252444557</v>
      </c>
      <c r="AE45" s="60">
        <v>58195</v>
      </c>
      <c r="AF45" s="64">
        <v>0.39193529320947224</v>
      </c>
    </row>
    <row r="46" spans="1:32" x14ac:dyDescent="0.25">
      <c r="A46" s="60"/>
      <c r="B46" s="64"/>
      <c r="C46" s="60"/>
      <c r="D46" s="64"/>
      <c r="E46" s="60"/>
      <c r="F46" s="64"/>
      <c r="G46" s="60"/>
      <c r="H46" s="64"/>
      <c r="I46" s="60"/>
      <c r="J46" s="64"/>
      <c r="K46" s="60"/>
      <c r="L46" s="64"/>
      <c r="M46" s="60"/>
      <c r="N46" s="64"/>
      <c r="O46" s="60"/>
      <c r="P46" s="64"/>
      <c r="Q46" s="60"/>
      <c r="R46" s="64"/>
      <c r="S46" s="60"/>
      <c r="T46" s="64"/>
      <c r="U46" s="60"/>
      <c r="V46" s="64"/>
      <c r="W46" s="60"/>
      <c r="X46" s="64"/>
      <c r="Y46" s="60"/>
      <c r="Z46" s="64"/>
      <c r="AA46" s="60"/>
      <c r="AB46" s="64"/>
      <c r="AC46" s="60"/>
      <c r="AD46" s="64"/>
      <c r="AE46" s="60"/>
      <c r="AF46" s="64"/>
    </row>
    <row r="47" spans="1:32" x14ac:dyDescent="0.25">
      <c r="A47" s="60"/>
      <c r="B47" s="64"/>
      <c r="C47" s="60"/>
      <c r="D47" s="64"/>
      <c r="E47" s="60"/>
      <c r="F47" s="64"/>
      <c r="G47" s="60"/>
      <c r="H47" s="64"/>
      <c r="I47" s="60"/>
      <c r="J47" s="64"/>
      <c r="K47" s="60"/>
      <c r="L47" s="64"/>
      <c r="M47" s="60"/>
      <c r="N47" s="64"/>
      <c r="O47" s="60"/>
      <c r="P47" s="64"/>
      <c r="Q47" s="60"/>
      <c r="R47" s="64"/>
      <c r="S47" s="60"/>
      <c r="T47" s="64"/>
      <c r="U47" s="60"/>
      <c r="V47" s="64"/>
      <c r="W47" s="60"/>
      <c r="X47" s="64"/>
      <c r="Y47" s="60"/>
      <c r="Z47" s="64"/>
      <c r="AA47" s="60"/>
      <c r="AB47" s="64"/>
      <c r="AC47" s="60"/>
      <c r="AD47" s="64"/>
      <c r="AE47" s="60"/>
      <c r="AF47" s="64"/>
    </row>
    <row r="48" spans="1:32" x14ac:dyDescent="0.25">
      <c r="A48" s="60"/>
      <c r="B48" s="64"/>
      <c r="C48" s="60"/>
      <c r="D48" s="64"/>
      <c r="E48" s="60"/>
      <c r="F48" s="64"/>
      <c r="G48" s="60"/>
      <c r="H48" s="64"/>
      <c r="I48" s="60"/>
      <c r="J48" s="64"/>
      <c r="K48" s="60"/>
      <c r="L48" s="64"/>
      <c r="M48" s="60"/>
      <c r="N48" s="64"/>
      <c r="O48" s="60"/>
      <c r="P48" s="64"/>
      <c r="Q48" s="60"/>
      <c r="R48" s="64"/>
      <c r="S48" s="60"/>
      <c r="T48" s="64"/>
      <c r="U48" s="60"/>
      <c r="V48" s="64"/>
      <c r="W48" s="60"/>
      <c r="X48" s="64"/>
      <c r="Y48" s="60"/>
      <c r="Z48" s="64"/>
      <c r="AA48" s="60"/>
      <c r="AB48" s="64"/>
      <c r="AC48" s="60"/>
      <c r="AD48" s="64"/>
      <c r="AE48" s="60"/>
      <c r="AF48" s="64"/>
    </row>
    <row r="49" spans="1:32" x14ac:dyDescent="0.25">
      <c r="A49" s="60"/>
      <c r="B49" s="64"/>
      <c r="C49" s="60"/>
      <c r="D49" s="64"/>
      <c r="E49" s="60"/>
      <c r="F49" s="64"/>
      <c r="G49" s="60"/>
      <c r="H49" s="64"/>
      <c r="I49" s="60"/>
      <c r="J49" s="64"/>
      <c r="K49" s="60"/>
      <c r="L49" s="64"/>
      <c r="M49" s="60"/>
      <c r="N49" s="64"/>
      <c r="O49" s="60"/>
      <c r="P49" s="64"/>
      <c r="Q49" s="60"/>
      <c r="R49" s="64"/>
      <c r="S49" s="60"/>
      <c r="T49" s="64"/>
      <c r="U49" s="60"/>
      <c r="V49" s="64"/>
      <c r="W49" s="60"/>
      <c r="X49" s="64"/>
      <c r="Y49" s="60"/>
      <c r="Z49" s="64"/>
      <c r="AA49" s="60"/>
      <c r="AB49" s="64"/>
      <c r="AC49" s="60"/>
      <c r="AD49" s="64"/>
      <c r="AE49" s="60"/>
      <c r="AF49" s="64"/>
    </row>
    <row r="50" spans="1:32" x14ac:dyDescent="0.25">
      <c r="A50" s="60"/>
      <c r="B50" s="64"/>
      <c r="C50" s="60"/>
      <c r="D50" s="64"/>
      <c r="E50" s="60"/>
      <c r="F50" s="64"/>
      <c r="G50" s="60"/>
      <c r="H50" s="64"/>
      <c r="I50" s="60"/>
      <c r="J50" s="64"/>
      <c r="K50" s="60"/>
      <c r="L50" s="64"/>
      <c r="M50" s="60"/>
      <c r="N50" s="64"/>
      <c r="O50" s="60"/>
      <c r="P50" s="64"/>
      <c r="Q50" s="60"/>
      <c r="R50" s="64"/>
      <c r="S50" s="60"/>
      <c r="T50" s="64"/>
      <c r="U50" s="60"/>
      <c r="V50" s="64"/>
      <c r="W50" s="60"/>
      <c r="X50" s="64"/>
      <c r="Y50" s="60"/>
      <c r="Z50" s="64"/>
      <c r="AA50" s="60"/>
      <c r="AB50" s="64"/>
      <c r="AC50" s="60"/>
      <c r="AD50" s="64"/>
      <c r="AE50" s="60"/>
      <c r="AF50" s="64"/>
    </row>
    <row r="51" spans="1:32" x14ac:dyDescent="0.25">
      <c r="A51" s="60"/>
      <c r="B51" s="64"/>
      <c r="C51" s="60"/>
      <c r="D51" s="64"/>
      <c r="E51" s="60"/>
      <c r="F51" s="64"/>
      <c r="G51" s="60"/>
      <c r="H51" s="64"/>
      <c r="I51" s="60"/>
      <c r="J51" s="64"/>
      <c r="K51" s="60"/>
      <c r="L51" s="64"/>
      <c r="M51" s="60"/>
      <c r="N51" s="64"/>
      <c r="O51" s="60"/>
      <c r="P51" s="64"/>
      <c r="Q51" s="60"/>
      <c r="R51" s="64"/>
      <c r="S51" s="60"/>
      <c r="T51" s="64"/>
      <c r="U51" s="60"/>
      <c r="V51" s="64"/>
      <c r="W51" s="60"/>
      <c r="X51" s="64"/>
      <c r="Y51" s="60"/>
      <c r="Z51" s="64"/>
      <c r="AA51" s="60"/>
      <c r="AB51" s="64"/>
      <c r="AC51" s="60"/>
      <c r="AD51" s="64"/>
      <c r="AE51" s="60"/>
      <c r="AF51" s="64"/>
    </row>
    <row r="52" spans="1:32" x14ac:dyDescent="0.25">
      <c r="A52" s="60"/>
      <c r="B52" s="64"/>
      <c r="C52" s="60"/>
      <c r="D52" s="64"/>
      <c r="E52" s="60"/>
      <c r="F52" s="64"/>
      <c r="G52" s="60"/>
      <c r="H52" s="64"/>
      <c r="I52" s="60"/>
      <c r="J52" s="64"/>
      <c r="K52" s="60"/>
      <c r="L52" s="64"/>
      <c r="M52" s="60"/>
      <c r="N52" s="64"/>
      <c r="O52" s="60"/>
      <c r="P52" s="64"/>
      <c r="Q52" s="60"/>
      <c r="R52" s="64"/>
      <c r="S52" s="60"/>
      <c r="T52" s="64"/>
      <c r="U52" s="60"/>
      <c r="V52" s="64"/>
      <c r="W52" s="60"/>
      <c r="X52" s="64"/>
      <c r="Y52" s="60"/>
      <c r="Z52" s="64"/>
      <c r="AA52" s="60"/>
      <c r="AB52" s="64"/>
      <c r="AC52" s="60"/>
      <c r="AD52" s="64"/>
      <c r="AE52" s="60"/>
      <c r="AF52" s="64"/>
    </row>
    <row r="53" spans="1:32" x14ac:dyDescent="0.25">
      <c r="A53" s="60"/>
      <c r="B53" s="64"/>
      <c r="C53" s="60"/>
      <c r="D53" s="64"/>
      <c r="E53" s="60"/>
      <c r="F53" s="64"/>
      <c r="G53" s="60"/>
      <c r="H53" s="64"/>
      <c r="I53" s="60"/>
      <c r="J53" s="64"/>
      <c r="K53" s="60"/>
      <c r="L53" s="64"/>
      <c r="M53" s="60"/>
      <c r="N53" s="64"/>
      <c r="O53" s="60"/>
      <c r="P53" s="64"/>
      <c r="Q53" s="60"/>
      <c r="R53" s="64"/>
      <c r="S53" s="60"/>
      <c r="T53" s="64"/>
      <c r="U53" s="60"/>
      <c r="V53" s="64"/>
      <c r="W53" s="60"/>
      <c r="X53" s="64"/>
      <c r="Y53" s="60"/>
      <c r="Z53" s="64"/>
      <c r="AA53" s="60"/>
      <c r="AB53" s="64"/>
      <c r="AC53" s="60"/>
      <c r="AD53" s="64"/>
      <c r="AE53" s="60"/>
      <c r="AF53" s="64"/>
    </row>
    <row r="54" spans="1:32" x14ac:dyDescent="0.25">
      <c r="A54" s="60"/>
      <c r="B54" s="64"/>
      <c r="C54" s="60"/>
      <c r="D54" s="64"/>
      <c r="E54" s="60"/>
      <c r="F54" s="64"/>
      <c r="G54" s="60"/>
      <c r="H54" s="64"/>
      <c r="I54" s="60"/>
      <c r="J54" s="64"/>
      <c r="K54" s="60"/>
      <c r="L54" s="64"/>
      <c r="M54" s="60"/>
      <c r="N54" s="64"/>
      <c r="O54" s="60"/>
      <c r="P54" s="64"/>
      <c r="Q54" s="60"/>
      <c r="R54" s="64"/>
      <c r="S54" s="60"/>
      <c r="T54" s="64"/>
      <c r="U54" s="60"/>
      <c r="V54" s="64"/>
      <c r="W54" s="60"/>
      <c r="X54" s="64"/>
      <c r="Y54" s="60"/>
      <c r="Z54" s="64"/>
      <c r="AA54" s="60"/>
      <c r="AB54" s="64"/>
      <c r="AC54" s="60"/>
      <c r="AD54" s="64"/>
      <c r="AE54" s="60"/>
      <c r="AF54" s="64"/>
    </row>
    <row r="55" spans="1:32" x14ac:dyDescent="0.25">
      <c r="A55" s="60"/>
      <c r="B55" s="64"/>
      <c r="C55" s="60"/>
      <c r="D55" s="64"/>
      <c r="E55" s="60"/>
      <c r="F55" s="64"/>
      <c r="G55" s="60"/>
      <c r="H55" s="64"/>
      <c r="I55" s="60"/>
      <c r="J55" s="64"/>
      <c r="K55" s="60"/>
      <c r="L55" s="64"/>
      <c r="M55" s="60"/>
      <c r="N55" s="64"/>
      <c r="O55" s="60"/>
      <c r="P55" s="64"/>
      <c r="Q55" s="60"/>
      <c r="R55" s="64"/>
      <c r="S55" s="60"/>
      <c r="T55" s="64"/>
      <c r="U55" s="60"/>
      <c r="V55" s="64"/>
      <c r="W55" s="60"/>
      <c r="X55" s="64"/>
      <c r="Y55" s="60"/>
      <c r="Z55" s="64"/>
      <c r="AA55" s="60"/>
      <c r="AB55" s="64"/>
      <c r="AC55" s="60"/>
      <c r="AD55" s="64"/>
      <c r="AE55" s="60"/>
      <c r="AF55" s="64"/>
    </row>
    <row r="56" spans="1:32" x14ac:dyDescent="0.25">
      <c r="A56" s="60"/>
      <c r="B56" s="64"/>
      <c r="C56" s="60"/>
      <c r="D56" s="64"/>
      <c r="E56" s="60"/>
      <c r="F56" s="64"/>
      <c r="G56" s="60"/>
      <c r="H56" s="64"/>
      <c r="I56" s="60"/>
      <c r="J56" s="64"/>
      <c r="K56" s="60"/>
      <c r="L56" s="64"/>
      <c r="M56" s="60"/>
      <c r="N56" s="64"/>
      <c r="O56" s="60"/>
      <c r="P56" s="64"/>
      <c r="Q56" s="60"/>
      <c r="R56" s="64"/>
      <c r="S56" s="60"/>
      <c r="T56" s="64"/>
      <c r="U56" s="60"/>
      <c r="V56" s="64"/>
      <c r="W56" s="60"/>
      <c r="X56" s="64"/>
      <c r="Y56" s="60"/>
      <c r="Z56" s="64"/>
      <c r="AA56" s="60"/>
      <c r="AB56" s="64"/>
      <c r="AC56" s="60"/>
      <c r="AD56" s="64"/>
      <c r="AE56" s="60"/>
      <c r="AF56" s="64"/>
    </row>
    <row r="57" spans="1:32" x14ac:dyDescent="0.25">
      <c r="A57" s="60"/>
      <c r="B57" s="64"/>
      <c r="C57" s="60"/>
      <c r="D57" s="64"/>
      <c r="E57" s="60"/>
      <c r="F57" s="64"/>
      <c r="G57" s="60"/>
      <c r="H57" s="64"/>
      <c r="I57" s="60"/>
      <c r="J57" s="64"/>
      <c r="K57" s="60"/>
      <c r="L57" s="64"/>
      <c r="M57" s="60"/>
      <c r="N57" s="64"/>
      <c r="O57" s="60"/>
      <c r="P57" s="64"/>
      <c r="Q57" s="60"/>
      <c r="R57" s="64"/>
      <c r="S57" s="60"/>
      <c r="T57" s="64"/>
      <c r="U57" s="60"/>
      <c r="V57" s="64"/>
      <c r="W57" s="60"/>
      <c r="X57" s="64"/>
      <c r="Y57" s="60"/>
      <c r="Z57" s="64"/>
      <c r="AA57" s="60"/>
      <c r="AB57" s="64"/>
      <c r="AC57" s="60"/>
      <c r="AD57" s="64"/>
      <c r="AE57" s="60"/>
      <c r="AF57" s="64"/>
    </row>
    <row r="58" spans="1:32" x14ac:dyDescent="0.25">
      <c r="A58" s="60"/>
      <c r="B58" s="64"/>
      <c r="C58" s="60"/>
      <c r="D58" s="64"/>
      <c r="E58" s="60"/>
      <c r="F58" s="64"/>
      <c r="G58" s="60"/>
      <c r="H58" s="64"/>
      <c r="I58" s="60"/>
      <c r="J58" s="64"/>
      <c r="K58" s="60"/>
      <c r="L58" s="64"/>
      <c r="M58" s="60"/>
      <c r="N58" s="64"/>
      <c r="O58" s="60"/>
      <c r="P58" s="64"/>
      <c r="Q58" s="60"/>
      <c r="R58" s="64"/>
      <c r="S58" s="60"/>
      <c r="T58" s="64"/>
      <c r="U58" s="60"/>
      <c r="V58" s="64"/>
      <c r="W58" s="60"/>
      <c r="X58" s="64"/>
      <c r="Y58" s="60"/>
      <c r="Z58" s="64"/>
      <c r="AA58" s="60"/>
      <c r="AB58" s="64"/>
      <c r="AC58" s="60"/>
      <c r="AD58" s="64"/>
      <c r="AE58" s="60"/>
      <c r="AF58" s="64"/>
    </row>
    <row r="59" spans="1:32" x14ac:dyDescent="0.25">
      <c r="A59" s="60"/>
      <c r="B59" s="64"/>
      <c r="C59" s="60"/>
      <c r="D59" s="64"/>
      <c r="E59" s="60"/>
      <c r="F59" s="64"/>
      <c r="G59" s="60"/>
      <c r="H59" s="64"/>
      <c r="I59" s="60"/>
      <c r="J59" s="64"/>
      <c r="K59" s="60"/>
      <c r="L59" s="64"/>
      <c r="M59" s="60"/>
      <c r="N59" s="64"/>
      <c r="O59" s="60"/>
      <c r="P59" s="64"/>
      <c r="Q59" s="60"/>
      <c r="R59" s="64"/>
      <c r="S59" s="60"/>
      <c r="T59" s="64"/>
      <c r="U59" s="60"/>
      <c r="V59" s="64"/>
      <c r="W59" s="60"/>
      <c r="X59" s="64"/>
      <c r="Y59" s="60"/>
      <c r="Z59" s="64"/>
      <c r="AA59" s="60"/>
      <c r="AB59" s="64"/>
      <c r="AC59" s="60"/>
      <c r="AD59" s="64"/>
      <c r="AE59" s="60"/>
      <c r="AF59" s="64"/>
    </row>
    <row r="60" spans="1:32" x14ac:dyDescent="0.25">
      <c r="A60" s="60"/>
      <c r="B60" s="64"/>
      <c r="C60" s="60"/>
      <c r="D60" s="64"/>
      <c r="E60" s="60"/>
      <c r="F60" s="64"/>
      <c r="G60" s="60"/>
      <c r="H60" s="64"/>
      <c r="I60" s="60"/>
      <c r="J60" s="64"/>
      <c r="K60" s="60"/>
      <c r="L60" s="64"/>
      <c r="M60" s="60"/>
      <c r="N60" s="64"/>
      <c r="O60" s="60"/>
      <c r="P60" s="64"/>
      <c r="Q60" s="60"/>
      <c r="R60" s="64"/>
      <c r="S60" s="60"/>
      <c r="T60" s="64"/>
      <c r="U60" s="60"/>
      <c r="V60" s="64"/>
      <c r="W60" s="60"/>
      <c r="X60" s="64"/>
      <c r="Y60" s="60"/>
      <c r="Z60" s="64"/>
      <c r="AA60" s="60"/>
      <c r="AB60" s="64"/>
      <c r="AC60" s="60"/>
      <c r="AD60" s="64"/>
      <c r="AE60" s="60"/>
      <c r="AF60" s="64"/>
    </row>
    <row r="61" spans="1:32" x14ac:dyDescent="0.25">
      <c r="A61" s="60"/>
      <c r="B61" s="64"/>
      <c r="C61" s="60"/>
      <c r="D61" s="64"/>
      <c r="E61" s="60"/>
      <c r="F61" s="64"/>
      <c r="G61" s="60"/>
      <c r="H61" s="64"/>
      <c r="I61" s="60"/>
      <c r="J61" s="64"/>
      <c r="K61" s="60"/>
      <c r="L61" s="64"/>
      <c r="M61" s="60"/>
      <c r="N61" s="64"/>
      <c r="O61" s="60"/>
      <c r="P61" s="64"/>
      <c r="Q61" s="60"/>
      <c r="R61" s="64"/>
      <c r="S61" s="60"/>
      <c r="T61" s="64"/>
      <c r="U61" s="60"/>
      <c r="V61" s="64"/>
      <c r="W61" s="60"/>
      <c r="X61" s="64"/>
      <c r="Y61" s="60"/>
      <c r="Z61" s="64"/>
      <c r="AA61" s="60"/>
      <c r="AB61" s="64"/>
      <c r="AC61" s="60"/>
      <c r="AD61" s="64"/>
      <c r="AE61" s="60"/>
      <c r="AF61" s="64"/>
    </row>
    <row r="62" spans="1:32" x14ac:dyDescent="0.25">
      <c r="A62" s="60"/>
      <c r="B62" s="64"/>
      <c r="C62" s="60"/>
      <c r="D62" s="64"/>
      <c r="E62" s="60"/>
      <c r="F62" s="64"/>
      <c r="G62" s="60"/>
      <c r="H62" s="64"/>
      <c r="I62" s="60"/>
      <c r="J62" s="64"/>
      <c r="K62" s="60"/>
      <c r="L62" s="64"/>
      <c r="M62" s="60"/>
      <c r="N62" s="64"/>
      <c r="O62" s="60"/>
      <c r="P62" s="64"/>
      <c r="Q62" s="60"/>
      <c r="R62" s="64"/>
      <c r="S62" s="60"/>
      <c r="T62" s="64"/>
      <c r="U62" s="60"/>
      <c r="V62" s="64"/>
      <c r="W62" s="60"/>
      <c r="X62" s="64"/>
      <c r="Y62" s="60"/>
      <c r="Z62" s="64"/>
      <c r="AA62" s="60"/>
      <c r="AB62" s="64"/>
      <c r="AC62" s="60"/>
      <c r="AD62" s="64"/>
      <c r="AE62" s="60"/>
      <c r="AF62" s="64"/>
    </row>
    <row r="63" spans="1:32" x14ac:dyDescent="0.25">
      <c r="A63" s="60"/>
      <c r="B63" s="64"/>
      <c r="C63" s="60"/>
      <c r="D63" s="64"/>
      <c r="E63" s="60"/>
      <c r="F63" s="64"/>
      <c r="G63" s="60"/>
      <c r="H63" s="64"/>
      <c r="I63" s="60"/>
      <c r="J63" s="64"/>
      <c r="K63" s="60"/>
      <c r="L63" s="64"/>
      <c r="M63" s="60"/>
      <c r="N63" s="64"/>
      <c r="O63" s="60"/>
      <c r="P63" s="64"/>
      <c r="Q63" s="60"/>
      <c r="R63" s="64"/>
      <c r="S63" s="60"/>
      <c r="T63" s="64"/>
      <c r="U63" s="60"/>
      <c r="V63" s="64"/>
      <c r="W63" s="60"/>
      <c r="X63" s="64"/>
      <c r="Y63" s="60"/>
      <c r="Z63" s="64"/>
      <c r="AA63" s="60"/>
      <c r="AB63" s="64"/>
      <c r="AC63" s="60"/>
      <c r="AD63" s="64"/>
      <c r="AE63" s="60"/>
      <c r="AF63" s="64"/>
    </row>
    <row r="64" spans="1:32" x14ac:dyDescent="0.25">
      <c r="A64" s="60"/>
      <c r="B64" s="64"/>
      <c r="C64" s="60"/>
      <c r="D64" s="64"/>
      <c r="E64" s="60"/>
      <c r="F64" s="64"/>
      <c r="G64" s="60"/>
      <c r="H64" s="64"/>
      <c r="I64" s="60"/>
      <c r="J64" s="64"/>
      <c r="K64" s="60"/>
      <c r="L64" s="64"/>
      <c r="M64" s="60"/>
      <c r="N64" s="64"/>
      <c r="O64" s="60"/>
      <c r="P64" s="64"/>
      <c r="Q64" s="60"/>
      <c r="R64" s="64"/>
      <c r="S64" s="60"/>
      <c r="T64" s="64"/>
      <c r="U64" s="60"/>
      <c r="V64" s="64"/>
      <c r="W64" s="60"/>
      <c r="X64" s="64"/>
      <c r="Y64" s="60"/>
      <c r="Z64" s="64"/>
      <c r="AA64" s="60"/>
      <c r="AB64" s="64"/>
      <c r="AC64" s="60"/>
      <c r="AD64" s="64"/>
      <c r="AE64" s="60"/>
      <c r="AF64" s="64"/>
    </row>
    <row r="65" spans="1:32" x14ac:dyDescent="0.25">
      <c r="A65" s="60"/>
      <c r="B65" s="64"/>
      <c r="C65" s="60"/>
      <c r="D65" s="64"/>
      <c r="E65" s="60"/>
      <c r="F65" s="64"/>
      <c r="G65" s="60"/>
      <c r="H65" s="64"/>
      <c r="I65" s="60"/>
      <c r="J65" s="64"/>
      <c r="K65" s="60"/>
      <c r="L65" s="64"/>
      <c r="M65" s="60"/>
      <c r="N65" s="64"/>
      <c r="O65" s="60"/>
      <c r="P65" s="64"/>
      <c r="Q65" s="60"/>
      <c r="R65" s="64"/>
      <c r="S65" s="60"/>
      <c r="T65" s="64"/>
      <c r="U65" s="60"/>
      <c r="V65" s="64"/>
      <c r="W65" s="60"/>
      <c r="X65" s="64"/>
      <c r="Y65" s="60"/>
      <c r="Z65" s="64"/>
      <c r="AA65" s="60"/>
      <c r="AB65" s="64"/>
      <c r="AC65" s="60"/>
      <c r="AD65" s="64"/>
      <c r="AE65" s="60"/>
      <c r="AF65" s="64"/>
    </row>
    <row r="66" spans="1:32" x14ac:dyDescent="0.25">
      <c r="A66" s="60"/>
      <c r="B66" s="64"/>
      <c r="C66" s="60"/>
      <c r="D66" s="64"/>
      <c r="E66" s="60"/>
      <c r="F66" s="64"/>
      <c r="G66" s="60"/>
      <c r="H66" s="64"/>
      <c r="I66" s="60"/>
      <c r="J66" s="64"/>
      <c r="K66" s="60"/>
      <c r="L66" s="64"/>
      <c r="M66" s="60"/>
      <c r="N66" s="64"/>
      <c r="O66" s="60"/>
      <c r="P66" s="64"/>
      <c r="Q66" s="60"/>
      <c r="R66" s="64"/>
      <c r="S66" s="60"/>
      <c r="T66" s="64"/>
      <c r="U66" s="60"/>
      <c r="V66" s="64"/>
      <c r="W66" s="60"/>
      <c r="X66" s="64"/>
      <c r="Y66" s="60"/>
      <c r="Z66" s="64"/>
      <c r="AA66" s="60"/>
      <c r="AB66" s="64"/>
      <c r="AC66" s="60"/>
      <c r="AD66" s="64"/>
      <c r="AE66" s="60"/>
      <c r="AF66" s="64"/>
    </row>
    <row r="67" spans="1:32" x14ac:dyDescent="0.25">
      <c r="A67" s="60"/>
      <c r="B67" s="64"/>
      <c r="C67" s="60"/>
      <c r="D67" s="64"/>
      <c r="E67" s="60"/>
      <c r="F67" s="64"/>
      <c r="G67" s="60"/>
      <c r="H67" s="64"/>
      <c r="I67" s="60"/>
      <c r="J67" s="64"/>
      <c r="K67" s="60"/>
      <c r="L67" s="64"/>
      <c r="M67" s="60"/>
      <c r="N67" s="64"/>
      <c r="O67" s="60"/>
      <c r="P67" s="64"/>
      <c r="Q67" s="60"/>
      <c r="R67" s="64"/>
      <c r="S67" s="60"/>
      <c r="T67" s="64"/>
      <c r="U67" s="60"/>
      <c r="V67" s="64"/>
      <c r="W67" s="60"/>
      <c r="X67" s="64"/>
      <c r="Y67" s="60"/>
      <c r="Z67" s="64"/>
      <c r="AA67" s="60"/>
      <c r="AB67" s="64"/>
      <c r="AC67" s="60"/>
      <c r="AD67" s="64"/>
      <c r="AE67" s="60"/>
      <c r="AF67" s="64"/>
    </row>
    <row r="68" spans="1:32" x14ac:dyDescent="0.25">
      <c r="A68" s="60"/>
      <c r="B68" s="64"/>
      <c r="C68" s="60"/>
      <c r="D68" s="64"/>
      <c r="E68" s="60"/>
      <c r="F68" s="64"/>
      <c r="G68" s="60"/>
      <c r="H68" s="64"/>
      <c r="I68" s="60"/>
      <c r="J68" s="64"/>
      <c r="K68" s="60"/>
      <c r="L68" s="64"/>
      <c r="M68" s="60"/>
      <c r="N68" s="64"/>
      <c r="O68" s="60"/>
      <c r="P68" s="64"/>
      <c r="Q68" s="60"/>
      <c r="R68" s="64"/>
      <c r="S68" s="60"/>
      <c r="T68" s="64"/>
      <c r="U68" s="60"/>
      <c r="V68" s="64"/>
      <c r="W68" s="60"/>
      <c r="X68" s="64"/>
      <c r="Y68" s="60"/>
      <c r="Z68" s="64"/>
      <c r="AA68" s="60"/>
      <c r="AB68" s="64"/>
      <c r="AC68" s="60"/>
      <c r="AD68" s="64"/>
      <c r="AE68" s="60"/>
      <c r="AF68" s="64"/>
    </row>
    <row r="69" spans="1:32" x14ac:dyDescent="0.25">
      <c r="A69" s="60"/>
      <c r="B69" s="64"/>
      <c r="C69" s="60"/>
      <c r="D69" s="64"/>
      <c r="E69" s="60"/>
      <c r="F69" s="64"/>
      <c r="G69" s="60"/>
      <c r="H69" s="64"/>
      <c r="I69" s="60"/>
      <c r="J69" s="64"/>
      <c r="K69" s="60"/>
      <c r="L69" s="64"/>
      <c r="M69" s="60"/>
      <c r="N69" s="64"/>
      <c r="O69" s="60"/>
      <c r="P69" s="64"/>
      <c r="Q69" s="60"/>
      <c r="R69" s="64"/>
      <c r="S69" s="60"/>
      <c r="T69" s="64"/>
      <c r="U69" s="60"/>
      <c r="V69" s="64"/>
      <c r="W69" s="60"/>
      <c r="X69" s="64"/>
      <c r="Y69" s="60"/>
      <c r="Z69" s="64"/>
      <c r="AA69" s="60"/>
      <c r="AB69" s="64"/>
      <c r="AC69" s="60"/>
      <c r="AD69" s="64"/>
      <c r="AE69" s="60"/>
      <c r="AF69" s="64"/>
    </row>
    <row r="70" spans="1:32" x14ac:dyDescent="0.25">
      <c r="A70" s="60"/>
      <c r="B70" s="64"/>
      <c r="C70" s="60"/>
      <c r="D70" s="64"/>
      <c r="E70" s="60"/>
      <c r="F70" s="64"/>
      <c r="G70" s="60"/>
      <c r="H70" s="64"/>
      <c r="I70" s="60"/>
      <c r="J70" s="64"/>
      <c r="K70" s="60"/>
      <c r="L70" s="64"/>
      <c r="M70" s="60"/>
      <c r="N70" s="64"/>
      <c r="O70" s="60"/>
      <c r="P70" s="64"/>
      <c r="Q70" s="60"/>
      <c r="R70" s="64"/>
      <c r="S70" s="60"/>
      <c r="T70" s="64"/>
      <c r="U70" s="60"/>
      <c r="V70" s="64"/>
      <c r="W70" s="60"/>
      <c r="X70" s="64"/>
      <c r="Y70" s="60"/>
      <c r="Z70" s="64"/>
      <c r="AA70" s="60"/>
      <c r="AB70" s="64"/>
      <c r="AC70" s="60"/>
      <c r="AD70" s="64"/>
      <c r="AE70" s="60"/>
      <c r="AF70" s="64"/>
    </row>
    <row r="71" spans="1:32" x14ac:dyDescent="0.25">
      <c r="A71" s="60"/>
      <c r="B71" s="64"/>
      <c r="C71" s="60"/>
      <c r="D71" s="64"/>
      <c r="E71" s="60"/>
      <c r="F71" s="64"/>
      <c r="G71" s="60"/>
      <c r="H71" s="64"/>
      <c r="I71" s="60"/>
      <c r="J71" s="64"/>
      <c r="K71" s="60"/>
      <c r="L71" s="64"/>
      <c r="M71" s="60"/>
      <c r="N71" s="64"/>
      <c r="O71" s="60"/>
      <c r="P71" s="64"/>
      <c r="Q71" s="60"/>
      <c r="R71" s="64"/>
      <c r="S71" s="60"/>
      <c r="T71" s="64"/>
      <c r="U71" s="60"/>
      <c r="V71" s="64"/>
      <c r="W71" s="60"/>
      <c r="X71" s="64"/>
      <c r="Y71" s="60"/>
      <c r="Z71" s="64"/>
      <c r="AA71" s="60"/>
      <c r="AB71" s="64"/>
      <c r="AC71" s="60"/>
      <c r="AD71" s="64"/>
      <c r="AE71" s="60"/>
      <c r="AF71" s="64"/>
    </row>
    <row r="72" spans="1:32" x14ac:dyDescent="0.25">
      <c r="A72" s="60"/>
      <c r="B72" s="64"/>
      <c r="C72" s="60"/>
      <c r="D72" s="64"/>
      <c r="E72" s="60"/>
      <c r="F72" s="64"/>
      <c r="G72" s="60"/>
      <c r="H72" s="64"/>
      <c r="I72" s="60"/>
      <c r="J72" s="64"/>
      <c r="K72" s="60"/>
      <c r="L72" s="64"/>
      <c r="M72" s="60"/>
      <c r="N72" s="64"/>
      <c r="O72" s="60"/>
      <c r="P72" s="64"/>
      <c r="Q72" s="60"/>
      <c r="R72" s="64"/>
      <c r="S72" s="60"/>
      <c r="T72" s="64"/>
      <c r="U72" s="60"/>
      <c r="V72" s="64"/>
      <c r="W72" s="60"/>
      <c r="X72" s="64"/>
      <c r="Y72" s="60"/>
      <c r="Z72" s="64"/>
      <c r="AA72" s="60"/>
      <c r="AB72" s="64"/>
      <c r="AC72" s="60"/>
      <c r="AD72" s="64"/>
      <c r="AE72" s="60"/>
      <c r="AF72" s="64"/>
    </row>
    <row r="73" spans="1:32" x14ac:dyDescent="0.25">
      <c r="A73" s="60"/>
      <c r="B73" s="64"/>
      <c r="C73" s="60"/>
      <c r="D73" s="64"/>
      <c r="E73" s="60"/>
      <c r="F73" s="64"/>
      <c r="G73" s="60"/>
      <c r="H73" s="64"/>
      <c r="I73" s="60"/>
      <c r="J73" s="64"/>
      <c r="K73" s="60"/>
      <c r="L73" s="64"/>
      <c r="M73" s="60"/>
      <c r="N73" s="64"/>
      <c r="O73" s="60"/>
      <c r="P73" s="64"/>
      <c r="Q73" s="60"/>
      <c r="R73" s="64"/>
      <c r="S73" s="60"/>
      <c r="T73" s="64"/>
      <c r="U73" s="60"/>
      <c r="V73" s="64"/>
      <c r="W73" s="60"/>
      <c r="X73" s="64"/>
      <c r="Y73" s="60"/>
      <c r="Z73" s="64"/>
      <c r="AA73" s="60"/>
      <c r="AB73" s="64"/>
      <c r="AC73" s="60"/>
      <c r="AD73" s="64"/>
      <c r="AE73" s="60"/>
      <c r="AF73" s="64"/>
    </row>
    <row r="74" spans="1:32" x14ac:dyDescent="0.25">
      <c r="A74" s="60"/>
      <c r="B74" s="64"/>
      <c r="C74" s="60"/>
      <c r="D74" s="64"/>
      <c r="E74" s="60"/>
      <c r="F74" s="64"/>
      <c r="G74" s="60"/>
      <c r="H74" s="64"/>
      <c r="I74" s="60"/>
      <c r="J74" s="64"/>
      <c r="K74" s="60"/>
      <c r="L74" s="64"/>
      <c r="M74" s="60"/>
      <c r="N74" s="64"/>
      <c r="O74" s="60"/>
      <c r="P74" s="64"/>
      <c r="Q74" s="60"/>
      <c r="R74" s="64"/>
      <c r="S74" s="60"/>
      <c r="T74" s="64"/>
      <c r="U74" s="60"/>
      <c r="V74" s="64"/>
      <c r="W74" s="60"/>
      <c r="X74" s="64"/>
      <c r="Y74" s="60"/>
      <c r="Z74" s="64"/>
      <c r="AA74" s="60"/>
      <c r="AB74" s="64"/>
      <c r="AC74" s="60"/>
      <c r="AD74" s="64"/>
      <c r="AE74" s="60"/>
      <c r="AF74" s="64"/>
    </row>
    <row r="75" spans="1:32" x14ac:dyDescent="0.25">
      <c r="A75" s="60"/>
      <c r="B75" s="64"/>
      <c r="C75" s="60"/>
      <c r="D75" s="64"/>
      <c r="E75" s="60"/>
      <c r="F75" s="64"/>
      <c r="G75" s="60"/>
      <c r="H75" s="64"/>
      <c r="I75" s="60"/>
      <c r="J75" s="64"/>
      <c r="K75" s="60"/>
      <c r="L75" s="64"/>
      <c r="M75" s="60"/>
      <c r="N75" s="64"/>
      <c r="O75" s="60"/>
      <c r="P75" s="64"/>
      <c r="Q75" s="60"/>
      <c r="R75" s="64"/>
      <c r="S75" s="60"/>
      <c r="T75" s="64"/>
      <c r="U75" s="60"/>
      <c r="V75" s="64"/>
      <c r="W75" s="60"/>
      <c r="X75" s="64"/>
      <c r="Y75" s="60"/>
      <c r="Z75" s="64"/>
      <c r="AA75" s="60"/>
      <c r="AB75" s="64"/>
      <c r="AC75" s="60"/>
      <c r="AD75" s="64"/>
      <c r="AE75" s="60"/>
      <c r="AF75" s="64"/>
    </row>
    <row r="76" spans="1:32" x14ac:dyDescent="0.25">
      <c r="A76" s="60"/>
      <c r="B76" s="64"/>
      <c r="C76" s="60"/>
      <c r="D76" s="64"/>
      <c r="E76" s="60"/>
      <c r="F76" s="64"/>
      <c r="G76" s="60"/>
      <c r="H76" s="64"/>
      <c r="I76" s="60"/>
      <c r="J76" s="64"/>
      <c r="K76" s="60"/>
      <c r="L76" s="64"/>
      <c r="M76" s="60"/>
      <c r="N76" s="64"/>
      <c r="O76" s="60"/>
      <c r="P76" s="64"/>
      <c r="Q76" s="60"/>
      <c r="R76" s="64"/>
      <c r="S76" s="60"/>
      <c r="T76" s="64"/>
      <c r="U76" s="60"/>
      <c r="V76" s="64"/>
      <c r="W76" s="60"/>
      <c r="X76" s="64"/>
      <c r="Y76" s="60"/>
      <c r="Z76" s="64"/>
      <c r="AA76" s="60"/>
      <c r="AB76" s="64"/>
      <c r="AC76" s="60"/>
      <c r="AD76" s="64"/>
      <c r="AE76" s="60"/>
      <c r="AF76" s="64"/>
    </row>
    <row r="77" spans="1:32" x14ac:dyDescent="0.25">
      <c r="A77" s="60"/>
      <c r="B77" s="64"/>
      <c r="C77" s="60"/>
      <c r="D77" s="64"/>
      <c r="E77" s="60"/>
      <c r="F77" s="64"/>
      <c r="G77" s="60"/>
      <c r="H77" s="64"/>
      <c r="I77" s="60"/>
      <c r="J77" s="64"/>
      <c r="K77" s="60"/>
      <c r="L77" s="64"/>
      <c r="M77" s="60"/>
      <c r="N77" s="64"/>
      <c r="O77" s="60"/>
      <c r="P77" s="64"/>
      <c r="Q77" s="60"/>
      <c r="R77" s="64"/>
      <c r="S77" s="60"/>
      <c r="T77" s="64"/>
      <c r="U77" s="60"/>
      <c r="V77" s="64"/>
      <c r="W77" s="60"/>
      <c r="X77" s="64"/>
      <c r="Y77" s="60"/>
      <c r="Z77" s="64"/>
      <c r="AA77" s="60"/>
      <c r="AB77" s="64"/>
      <c r="AC77" s="60"/>
      <c r="AD77" s="64"/>
      <c r="AE77" s="60"/>
      <c r="AF77" s="64"/>
    </row>
    <row r="78" spans="1:32" x14ac:dyDescent="0.25">
      <c r="A78" s="60"/>
      <c r="B78" s="64"/>
      <c r="C78" s="60"/>
      <c r="D78" s="64"/>
      <c r="E78" s="60"/>
      <c r="F78" s="64"/>
      <c r="G78" s="60"/>
      <c r="H78" s="64"/>
      <c r="I78" s="60"/>
      <c r="J78" s="64"/>
      <c r="K78" s="60"/>
      <c r="L78" s="64"/>
      <c r="M78" s="60"/>
      <c r="N78" s="64"/>
      <c r="O78" s="60"/>
      <c r="P78" s="64"/>
      <c r="Q78" s="60"/>
      <c r="R78" s="64"/>
      <c r="S78" s="60"/>
      <c r="T78" s="64"/>
      <c r="U78" s="60"/>
      <c r="V78" s="64"/>
      <c r="W78" s="60"/>
      <c r="X78" s="64"/>
      <c r="Y78" s="60"/>
      <c r="Z78" s="64"/>
      <c r="AA78" s="60"/>
      <c r="AB78" s="64"/>
      <c r="AC78" s="60"/>
      <c r="AD78" s="64"/>
      <c r="AE78" s="60"/>
      <c r="AF78" s="64"/>
    </row>
    <row r="79" spans="1:32" x14ac:dyDescent="0.25">
      <c r="A79" s="60"/>
      <c r="B79" s="64"/>
      <c r="C79" s="60"/>
      <c r="D79" s="64"/>
      <c r="E79" s="60"/>
      <c r="F79" s="64"/>
      <c r="G79" s="60"/>
      <c r="H79" s="64"/>
      <c r="I79" s="60"/>
      <c r="J79" s="64"/>
      <c r="K79" s="60"/>
      <c r="L79" s="64"/>
      <c r="M79" s="60"/>
      <c r="N79" s="64"/>
      <c r="O79" s="60"/>
      <c r="P79" s="64"/>
      <c r="Q79" s="60"/>
      <c r="R79" s="64"/>
      <c r="S79" s="60"/>
      <c r="T79" s="64"/>
      <c r="U79" s="60"/>
      <c r="V79" s="64"/>
      <c r="W79" s="60"/>
      <c r="X79" s="64"/>
      <c r="Y79" s="60"/>
      <c r="Z79" s="64"/>
      <c r="AA79" s="60"/>
      <c r="AB79" s="64"/>
      <c r="AC79" s="60"/>
      <c r="AD79" s="64"/>
      <c r="AE79" s="60"/>
      <c r="AF79" s="64"/>
    </row>
    <row r="80" spans="1:32" x14ac:dyDescent="0.25">
      <c r="A80" s="60"/>
      <c r="B80" s="64"/>
      <c r="C80" s="60"/>
      <c r="D80" s="64"/>
      <c r="E80" s="60"/>
      <c r="F80" s="64"/>
      <c r="G80" s="60"/>
      <c r="H80" s="64"/>
      <c r="I80" s="60"/>
      <c r="J80" s="64"/>
      <c r="K80" s="60"/>
      <c r="L80" s="64"/>
      <c r="M80" s="60"/>
      <c r="N80" s="64"/>
      <c r="O80" s="60"/>
      <c r="P80" s="64"/>
      <c r="Q80" s="60"/>
      <c r="R80" s="64"/>
      <c r="S80" s="60"/>
      <c r="T80" s="64"/>
      <c r="U80" s="60"/>
      <c r="V80" s="64"/>
      <c r="W80" s="60"/>
      <c r="X80" s="64"/>
      <c r="Y80" s="60"/>
      <c r="Z80" s="64"/>
      <c r="AA80" s="60"/>
      <c r="AB80" s="64"/>
      <c r="AC80" s="60"/>
      <c r="AD80" s="64"/>
      <c r="AE80" s="60"/>
      <c r="AF80" s="64"/>
    </row>
    <row r="81" spans="1:32" x14ac:dyDescent="0.25">
      <c r="A81" s="60"/>
      <c r="B81" s="64"/>
      <c r="C81" s="60"/>
      <c r="D81" s="64"/>
      <c r="E81" s="60"/>
      <c r="F81" s="64"/>
      <c r="G81" s="60"/>
      <c r="H81" s="64"/>
      <c r="I81" s="60"/>
      <c r="J81" s="64"/>
      <c r="K81" s="60"/>
      <c r="L81" s="64"/>
      <c r="M81" s="60"/>
      <c r="N81" s="64"/>
      <c r="O81" s="60"/>
      <c r="P81" s="64"/>
      <c r="Q81" s="60"/>
      <c r="R81" s="64"/>
      <c r="S81" s="60"/>
      <c r="T81" s="64"/>
      <c r="U81" s="60"/>
      <c r="V81" s="64"/>
      <c r="W81" s="60"/>
      <c r="X81" s="64"/>
      <c r="Y81" s="60"/>
      <c r="Z81" s="64"/>
      <c r="AA81" s="60"/>
      <c r="AB81" s="64"/>
      <c r="AC81" s="60"/>
      <c r="AD81" s="64"/>
      <c r="AE81" s="60"/>
      <c r="AF81" s="64"/>
    </row>
    <row r="82" spans="1:32" x14ac:dyDescent="0.25">
      <c r="A82" s="60"/>
      <c r="B82" s="64"/>
      <c r="C82" s="60"/>
      <c r="D82" s="64"/>
      <c r="E82" s="60"/>
      <c r="F82" s="64"/>
      <c r="G82" s="60"/>
      <c r="H82" s="64"/>
      <c r="I82" s="60"/>
      <c r="J82" s="64"/>
      <c r="K82" s="60"/>
      <c r="L82" s="64"/>
      <c r="M82" s="60"/>
      <c r="N82" s="64"/>
      <c r="O82" s="60"/>
      <c r="P82" s="64"/>
      <c r="Q82" s="60"/>
      <c r="R82" s="64"/>
      <c r="S82" s="60"/>
      <c r="T82" s="64"/>
      <c r="U82" s="60"/>
      <c r="V82" s="64"/>
      <c r="W82" s="60"/>
      <c r="X82" s="64"/>
      <c r="Y82" s="60"/>
      <c r="Z82" s="64"/>
      <c r="AA82" s="60"/>
      <c r="AB82" s="64"/>
      <c r="AC82" s="60"/>
      <c r="AD82" s="64"/>
      <c r="AE82" s="60"/>
      <c r="AF82" s="64"/>
    </row>
    <row r="83" spans="1:32" x14ac:dyDescent="0.25">
      <c r="A83" s="60"/>
      <c r="B83" s="64"/>
      <c r="C83" s="60"/>
      <c r="D83" s="64"/>
      <c r="E83" s="60"/>
      <c r="F83" s="64"/>
      <c r="G83" s="60"/>
      <c r="H83" s="64"/>
      <c r="I83" s="60"/>
      <c r="J83" s="64"/>
      <c r="K83" s="60"/>
      <c r="L83" s="64"/>
      <c r="M83" s="60"/>
      <c r="N83" s="64"/>
      <c r="O83" s="60"/>
      <c r="P83" s="64"/>
      <c r="Q83" s="60"/>
      <c r="R83" s="64"/>
      <c r="S83" s="60"/>
      <c r="T83" s="64"/>
      <c r="U83" s="60"/>
      <c r="V83" s="64"/>
      <c r="W83" s="60"/>
      <c r="X83" s="64"/>
      <c r="Y83" s="60"/>
      <c r="Z83" s="64"/>
      <c r="AA83" s="60"/>
      <c r="AB83" s="64"/>
      <c r="AC83" s="60"/>
      <c r="AD83" s="64"/>
      <c r="AE83" s="60"/>
      <c r="AF83" s="64"/>
    </row>
    <row r="84" spans="1:32" x14ac:dyDescent="0.25">
      <c r="A84" s="60"/>
      <c r="B84" s="64"/>
      <c r="C84" s="60"/>
      <c r="D84" s="64"/>
      <c r="E84" s="60"/>
      <c r="F84" s="64"/>
      <c r="G84" s="60"/>
      <c r="H84" s="64"/>
      <c r="I84" s="60"/>
      <c r="J84" s="64"/>
      <c r="K84" s="60"/>
      <c r="L84" s="64"/>
      <c r="M84" s="60"/>
      <c r="N84" s="64"/>
      <c r="O84" s="60"/>
      <c r="P84" s="64"/>
      <c r="Q84" s="60"/>
      <c r="R84" s="64"/>
      <c r="S84" s="60"/>
      <c r="T84" s="64"/>
      <c r="U84" s="60"/>
      <c r="V84" s="64"/>
      <c r="W84" s="60"/>
      <c r="X84" s="64"/>
      <c r="Y84" s="60"/>
      <c r="Z84" s="64"/>
      <c r="AA84" s="60"/>
      <c r="AB84" s="64"/>
      <c r="AC84" s="60"/>
      <c r="AD84" s="64"/>
      <c r="AE84" s="60"/>
      <c r="AF84" s="64"/>
    </row>
    <row r="85" spans="1:32" x14ac:dyDescent="0.25">
      <c r="A85" s="60"/>
      <c r="B85" s="64"/>
      <c r="C85" s="60"/>
      <c r="D85" s="64"/>
      <c r="E85" s="60"/>
      <c r="F85" s="64"/>
      <c r="G85" s="60"/>
      <c r="H85" s="64"/>
      <c r="I85" s="60"/>
      <c r="J85" s="64"/>
      <c r="K85" s="60"/>
      <c r="L85" s="64"/>
      <c r="M85" s="60"/>
      <c r="N85" s="64"/>
      <c r="O85" s="60"/>
      <c r="P85" s="64"/>
      <c r="Q85" s="60"/>
      <c r="R85" s="64"/>
      <c r="S85" s="60"/>
      <c r="T85" s="64"/>
      <c r="U85" s="60"/>
      <c r="V85" s="64"/>
      <c r="W85" s="60"/>
      <c r="X85" s="64"/>
      <c r="Y85" s="60"/>
      <c r="Z85" s="64"/>
      <c r="AA85" s="60"/>
      <c r="AB85" s="64"/>
      <c r="AC85" s="60"/>
      <c r="AD85" s="64"/>
      <c r="AE85" s="60"/>
      <c r="AF85" s="64"/>
    </row>
    <row r="86" spans="1:32" x14ac:dyDescent="0.25">
      <c r="A86" s="60"/>
      <c r="B86" s="64"/>
      <c r="C86" s="60"/>
      <c r="D86" s="64"/>
      <c r="E86" s="60"/>
      <c r="F86" s="64"/>
      <c r="G86" s="60"/>
      <c r="H86" s="64"/>
      <c r="I86" s="60"/>
      <c r="J86" s="64"/>
      <c r="K86" s="60"/>
      <c r="L86" s="64"/>
      <c r="M86" s="60"/>
      <c r="N86" s="64"/>
      <c r="O86" s="60"/>
      <c r="P86" s="64"/>
      <c r="Q86" s="60"/>
      <c r="R86" s="64"/>
      <c r="S86" s="60"/>
      <c r="T86" s="64"/>
      <c r="U86" s="60"/>
      <c r="V86" s="64"/>
      <c r="W86" s="60"/>
      <c r="X86" s="64"/>
      <c r="Y86" s="60"/>
      <c r="Z86" s="64"/>
      <c r="AA86" s="60"/>
      <c r="AB86" s="64"/>
      <c r="AC86" s="60"/>
      <c r="AD86" s="64"/>
      <c r="AE86" s="60"/>
      <c r="AF86" s="64"/>
    </row>
    <row r="87" spans="1:32" x14ac:dyDescent="0.25">
      <c r="A87" s="60"/>
      <c r="B87" s="64"/>
      <c r="C87" s="60"/>
      <c r="D87" s="64"/>
      <c r="E87" s="60"/>
      <c r="F87" s="64"/>
      <c r="G87" s="60"/>
      <c r="H87" s="64"/>
      <c r="I87" s="60"/>
      <c r="J87" s="64"/>
      <c r="K87" s="60"/>
      <c r="L87" s="64"/>
      <c r="M87" s="60"/>
      <c r="N87" s="64"/>
      <c r="O87" s="60"/>
      <c r="P87" s="64"/>
      <c r="Q87" s="60"/>
      <c r="R87" s="64"/>
      <c r="S87" s="60"/>
      <c r="T87" s="64"/>
      <c r="U87" s="60"/>
      <c r="V87" s="64"/>
      <c r="W87" s="60"/>
      <c r="X87" s="64"/>
      <c r="Y87" s="60"/>
      <c r="Z87" s="64"/>
      <c r="AA87" s="60"/>
      <c r="AB87" s="64"/>
      <c r="AC87" s="60"/>
      <c r="AD87" s="64"/>
      <c r="AE87" s="60"/>
      <c r="AF87" s="64"/>
    </row>
    <row r="88" spans="1:32" x14ac:dyDescent="0.25">
      <c r="A88" s="60"/>
      <c r="B88" s="64"/>
      <c r="C88" s="60"/>
      <c r="D88" s="64"/>
      <c r="E88" s="60"/>
      <c r="F88" s="64"/>
      <c r="G88" s="60"/>
      <c r="H88" s="64"/>
      <c r="I88" s="60"/>
      <c r="J88" s="64"/>
      <c r="K88" s="60"/>
      <c r="L88" s="64"/>
      <c r="M88" s="60"/>
      <c r="N88" s="64"/>
      <c r="O88" s="60"/>
      <c r="P88" s="64"/>
      <c r="Q88" s="60"/>
      <c r="R88" s="64"/>
      <c r="S88" s="60"/>
      <c r="T88" s="64"/>
      <c r="U88" s="60"/>
      <c r="V88" s="64"/>
      <c r="W88" s="60"/>
      <c r="X88" s="64"/>
      <c r="Y88" s="60"/>
      <c r="Z88" s="64"/>
      <c r="AA88" s="60"/>
      <c r="AB88" s="64"/>
      <c r="AC88" s="60"/>
      <c r="AD88" s="64"/>
      <c r="AE88" s="60"/>
      <c r="AF88" s="64"/>
    </row>
    <row r="89" spans="1:32" x14ac:dyDescent="0.25">
      <c r="A89" s="60"/>
      <c r="B89" s="64"/>
      <c r="C89" s="60"/>
      <c r="D89" s="64"/>
      <c r="E89" s="60"/>
      <c r="F89" s="64"/>
      <c r="G89" s="60"/>
      <c r="H89" s="64"/>
      <c r="I89" s="60"/>
      <c r="J89" s="64"/>
      <c r="K89" s="60"/>
      <c r="L89" s="64"/>
      <c r="M89" s="60"/>
      <c r="N89" s="64"/>
      <c r="O89" s="60"/>
      <c r="P89" s="64"/>
      <c r="Q89" s="60"/>
      <c r="R89" s="64"/>
      <c r="S89" s="60"/>
      <c r="T89" s="64"/>
      <c r="U89" s="60"/>
      <c r="V89" s="64"/>
      <c r="W89" s="60"/>
      <c r="X89" s="64"/>
      <c r="Y89" s="60"/>
      <c r="Z89" s="64"/>
      <c r="AA89" s="60"/>
      <c r="AB89" s="64"/>
      <c r="AC89" s="60"/>
      <c r="AD89" s="64"/>
      <c r="AE89" s="60"/>
      <c r="AF89" s="64"/>
    </row>
    <row r="90" spans="1:32" x14ac:dyDescent="0.25">
      <c r="A90" s="60"/>
      <c r="B90" s="64"/>
      <c r="C90" s="60"/>
      <c r="D90" s="64"/>
      <c r="E90" s="60"/>
      <c r="F90" s="64"/>
      <c r="G90" s="60"/>
      <c r="H90" s="64"/>
      <c r="I90" s="60"/>
      <c r="J90" s="64"/>
      <c r="K90" s="60"/>
      <c r="L90" s="64"/>
      <c r="M90" s="60"/>
      <c r="N90" s="64"/>
      <c r="O90" s="60"/>
      <c r="P90" s="64"/>
      <c r="Q90" s="60"/>
      <c r="R90" s="64"/>
      <c r="S90" s="60"/>
      <c r="T90" s="64"/>
      <c r="U90" s="60"/>
      <c r="V90" s="64"/>
      <c r="W90" s="60"/>
      <c r="X90" s="64"/>
      <c r="Y90" s="60"/>
      <c r="Z90" s="64"/>
      <c r="AA90" s="60"/>
      <c r="AB90" s="64"/>
      <c r="AC90" s="60"/>
      <c r="AD90" s="64"/>
      <c r="AE90" s="60"/>
      <c r="AF90" s="64"/>
    </row>
    <row r="91" spans="1:32" x14ac:dyDescent="0.25">
      <c r="A91" s="60"/>
      <c r="B91" s="64"/>
      <c r="C91" s="60"/>
      <c r="D91" s="64"/>
      <c r="E91" s="60"/>
      <c r="F91" s="64"/>
      <c r="G91" s="60"/>
      <c r="H91" s="64"/>
      <c r="I91" s="60"/>
      <c r="J91" s="64"/>
      <c r="K91" s="60"/>
      <c r="L91" s="64"/>
      <c r="M91" s="60"/>
      <c r="N91" s="64"/>
      <c r="O91" s="60"/>
      <c r="P91" s="64"/>
      <c r="Q91" s="60"/>
      <c r="R91" s="64"/>
      <c r="S91" s="60"/>
      <c r="T91" s="64"/>
      <c r="U91" s="60"/>
      <c r="V91" s="64"/>
      <c r="W91" s="60"/>
      <c r="X91" s="64"/>
      <c r="Y91" s="60"/>
      <c r="Z91" s="64"/>
      <c r="AA91" s="60"/>
      <c r="AB91" s="64"/>
      <c r="AC91" s="60"/>
      <c r="AD91" s="64"/>
      <c r="AE91" s="60"/>
      <c r="AF91" s="64"/>
    </row>
    <row r="92" spans="1:32" x14ac:dyDescent="0.25">
      <c r="A92" s="60"/>
      <c r="B92" s="64"/>
      <c r="C92" s="60"/>
      <c r="D92" s="64"/>
      <c r="E92" s="60"/>
      <c r="F92" s="64"/>
      <c r="G92" s="60"/>
      <c r="H92" s="64"/>
      <c r="I92" s="60"/>
      <c r="J92" s="64"/>
      <c r="K92" s="60"/>
      <c r="L92" s="64"/>
      <c r="M92" s="60"/>
      <c r="N92" s="64"/>
      <c r="O92" s="60"/>
      <c r="P92" s="64"/>
      <c r="Q92" s="60"/>
      <c r="R92" s="64"/>
      <c r="S92" s="60"/>
      <c r="T92" s="64"/>
      <c r="U92" s="60"/>
      <c r="V92" s="64"/>
      <c r="W92" s="60"/>
      <c r="X92" s="64"/>
      <c r="Y92" s="60"/>
      <c r="Z92" s="64"/>
      <c r="AA92" s="60"/>
      <c r="AB92" s="64"/>
      <c r="AC92" s="60"/>
      <c r="AD92" s="64"/>
      <c r="AE92" s="60"/>
      <c r="AF92" s="64"/>
    </row>
    <row r="93" spans="1:32" x14ac:dyDescent="0.25">
      <c r="A93" s="60"/>
      <c r="B93" s="64"/>
      <c r="C93" s="60"/>
      <c r="D93" s="64"/>
      <c r="E93" s="60"/>
      <c r="F93" s="64"/>
      <c r="G93" s="60"/>
      <c r="H93" s="64"/>
      <c r="I93" s="60"/>
      <c r="J93" s="64"/>
      <c r="K93" s="60"/>
      <c r="L93" s="64"/>
      <c r="M93" s="60"/>
      <c r="N93" s="64"/>
      <c r="O93" s="60"/>
      <c r="P93" s="64"/>
      <c r="Q93" s="60"/>
      <c r="R93" s="64"/>
      <c r="S93" s="60"/>
      <c r="T93" s="64"/>
      <c r="U93" s="60"/>
      <c r="V93" s="64"/>
      <c r="W93" s="60"/>
      <c r="X93" s="64"/>
      <c r="Y93" s="60"/>
      <c r="Z93" s="64"/>
      <c r="AA93" s="60"/>
      <c r="AB93" s="64"/>
      <c r="AC93" s="60"/>
      <c r="AD93" s="64"/>
      <c r="AE93" s="60"/>
      <c r="AF93" s="64"/>
    </row>
    <row r="94" spans="1:32" x14ac:dyDescent="0.25">
      <c r="A94" s="60"/>
      <c r="B94" s="64"/>
      <c r="C94" s="60"/>
      <c r="D94" s="64"/>
      <c r="E94" s="60"/>
      <c r="F94" s="64"/>
      <c r="G94" s="60"/>
      <c r="H94" s="64"/>
      <c r="I94" s="60"/>
      <c r="J94" s="64"/>
      <c r="K94" s="60"/>
      <c r="L94" s="64"/>
      <c r="M94" s="60"/>
      <c r="N94" s="64"/>
      <c r="O94" s="60"/>
      <c r="P94" s="64"/>
      <c r="Q94" s="60"/>
      <c r="R94" s="64"/>
      <c r="S94" s="60"/>
      <c r="T94" s="64"/>
      <c r="U94" s="60"/>
      <c r="V94" s="64"/>
      <c r="W94" s="60"/>
      <c r="X94" s="64"/>
      <c r="Y94" s="60"/>
      <c r="Z94" s="64"/>
      <c r="AA94" s="60"/>
      <c r="AB94" s="64"/>
      <c r="AC94" s="60"/>
      <c r="AD94" s="64"/>
      <c r="AE94" s="60"/>
      <c r="AF94" s="64"/>
    </row>
    <row r="95" spans="1:32" x14ac:dyDescent="0.25">
      <c r="A95" s="60"/>
      <c r="B95" s="64"/>
      <c r="C95" s="60"/>
      <c r="D95" s="64"/>
      <c r="E95" s="60"/>
      <c r="F95" s="64"/>
      <c r="G95" s="60"/>
      <c r="H95" s="64"/>
      <c r="I95" s="60"/>
      <c r="J95" s="64"/>
      <c r="K95" s="60"/>
      <c r="L95" s="64"/>
      <c r="M95" s="60"/>
      <c r="N95" s="64"/>
      <c r="O95" s="60"/>
      <c r="P95" s="64"/>
      <c r="Q95" s="60"/>
      <c r="R95" s="64"/>
      <c r="S95" s="60"/>
      <c r="T95" s="64"/>
      <c r="U95" s="60"/>
      <c r="V95" s="64"/>
      <c r="W95" s="60"/>
      <c r="X95" s="64"/>
      <c r="Y95" s="60"/>
      <c r="Z95" s="64"/>
      <c r="AA95" s="60"/>
      <c r="AB95" s="64"/>
      <c r="AC95" s="60"/>
      <c r="AD95" s="64"/>
      <c r="AE95" s="60"/>
      <c r="AF95" s="64"/>
    </row>
    <row r="96" spans="1:32" x14ac:dyDescent="0.25">
      <c r="A96" s="60"/>
      <c r="B96" s="64"/>
      <c r="C96" s="60"/>
      <c r="D96" s="64"/>
      <c r="E96" s="60"/>
      <c r="F96" s="64"/>
      <c r="G96" s="60"/>
      <c r="H96" s="64"/>
      <c r="I96" s="60"/>
      <c r="J96" s="64"/>
      <c r="K96" s="60"/>
      <c r="L96" s="64"/>
      <c r="M96" s="60"/>
      <c r="N96" s="64"/>
      <c r="O96" s="60"/>
      <c r="P96" s="64"/>
      <c r="Q96" s="60"/>
      <c r="R96" s="64"/>
      <c r="S96" s="60"/>
      <c r="T96" s="64"/>
      <c r="U96" s="60"/>
      <c r="V96" s="64"/>
      <c r="W96" s="60"/>
      <c r="X96" s="64"/>
      <c r="Y96" s="60"/>
      <c r="Z96" s="64"/>
      <c r="AA96" s="60"/>
      <c r="AB96" s="64"/>
      <c r="AC96" s="60"/>
      <c r="AD96" s="64"/>
      <c r="AE96" s="60"/>
      <c r="AF96" s="64"/>
    </row>
    <row r="97" spans="1:32" x14ac:dyDescent="0.25">
      <c r="A97" s="60"/>
      <c r="B97" s="64"/>
      <c r="C97" s="60"/>
      <c r="D97" s="64"/>
      <c r="E97" s="60"/>
      <c r="F97" s="64"/>
      <c r="G97" s="60"/>
      <c r="H97" s="64"/>
      <c r="I97" s="60"/>
      <c r="J97" s="64"/>
      <c r="K97" s="60"/>
      <c r="L97" s="64"/>
      <c r="M97" s="60"/>
      <c r="N97" s="64"/>
      <c r="O97" s="60"/>
      <c r="P97" s="64"/>
      <c r="Q97" s="60"/>
      <c r="R97" s="64"/>
      <c r="S97" s="60"/>
      <c r="T97" s="64"/>
      <c r="U97" s="60"/>
      <c r="V97" s="64"/>
      <c r="W97" s="60"/>
      <c r="X97" s="64"/>
      <c r="Y97" s="60"/>
      <c r="Z97" s="64"/>
      <c r="AA97" s="60"/>
      <c r="AB97" s="64"/>
      <c r="AC97" s="60"/>
      <c r="AD97" s="64"/>
      <c r="AE97" s="60"/>
      <c r="AF97" s="64"/>
    </row>
    <row r="98" spans="1:32" x14ac:dyDescent="0.25">
      <c r="A98" s="60"/>
      <c r="B98" s="64"/>
      <c r="C98" s="60"/>
      <c r="D98" s="64"/>
      <c r="E98" s="60"/>
      <c r="F98" s="64"/>
      <c r="G98" s="60"/>
      <c r="H98" s="64"/>
      <c r="I98" s="60"/>
      <c r="J98" s="64"/>
      <c r="K98" s="60"/>
      <c r="L98" s="64"/>
      <c r="M98" s="60"/>
      <c r="N98" s="64"/>
      <c r="O98" s="60"/>
      <c r="P98" s="64"/>
      <c r="Q98" s="60"/>
      <c r="R98" s="64"/>
      <c r="S98" s="60"/>
      <c r="T98" s="64"/>
      <c r="U98" s="60"/>
      <c r="V98" s="64"/>
      <c r="W98" s="60"/>
      <c r="X98" s="64"/>
      <c r="Y98" s="60"/>
      <c r="Z98" s="64"/>
      <c r="AA98" s="60"/>
      <c r="AB98" s="64"/>
      <c r="AC98" s="60"/>
      <c r="AD98" s="64"/>
      <c r="AE98" s="60"/>
      <c r="AF98" s="64"/>
    </row>
    <row r="99" spans="1:32" x14ac:dyDescent="0.25">
      <c r="A99" s="60"/>
      <c r="B99" s="64"/>
      <c r="C99" s="60"/>
      <c r="D99" s="64"/>
      <c r="E99" s="60"/>
      <c r="F99" s="64"/>
      <c r="G99" s="60"/>
      <c r="H99" s="64"/>
      <c r="I99" s="60"/>
      <c r="J99" s="64"/>
      <c r="K99" s="60"/>
      <c r="L99" s="64"/>
      <c r="M99" s="60"/>
      <c r="N99" s="64"/>
      <c r="O99" s="60"/>
      <c r="P99" s="64"/>
      <c r="Q99" s="60"/>
      <c r="R99" s="64"/>
      <c r="S99" s="60"/>
      <c r="T99" s="64"/>
      <c r="U99" s="60"/>
      <c r="V99" s="64"/>
      <c r="W99" s="60"/>
      <c r="X99" s="64"/>
      <c r="Y99" s="60"/>
      <c r="Z99" s="64"/>
      <c r="AA99" s="60"/>
      <c r="AB99" s="64"/>
      <c r="AC99" s="60"/>
      <c r="AD99" s="64"/>
      <c r="AE99" s="60"/>
      <c r="AF99" s="64"/>
    </row>
    <row r="100" spans="1:32" x14ac:dyDescent="0.25">
      <c r="A100" s="60"/>
      <c r="B100" s="64"/>
      <c r="C100" s="60"/>
      <c r="D100" s="64"/>
      <c r="E100" s="60"/>
      <c r="F100" s="64"/>
      <c r="G100" s="60"/>
      <c r="H100" s="64"/>
      <c r="I100" s="60"/>
      <c r="J100" s="64"/>
      <c r="K100" s="60"/>
      <c r="L100" s="64"/>
      <c r="M100" s="60"/>
      <c r="N100" s="64"/>
      <c r="O100" s="60"/>
      <c r="P100" s="64"/>
      <c r="Q100" s="60"/>
      <c r="R100" s="64"/>
      <c r="S100" s="60"/>
      <c r="T100" s="64"/>
      <c r="U100" s="60"/>
      <c r="V100" s="64"/>
      <c r="W100" s="60"/>
      <c r="X100" s="64"/>
      <c r="Y100" s="60"/>
      <c r="Z100" s="64"/>
      <c r="AA100" s="60"/>
      <c r="AB100" s="64"/>
      <c r="AC100" s="60"/>
      <c r="AD100" s="64"/>
      <c r="AE100" s="60"/>
      <c r="AF100" s="64"/>
    </row>
    <row r="101" spans="1:32" x14ac:dyDescent="0.25">
      <c r="A101" s="60"/>
      <c r="B101" s="64"/>
      <c r="C101" s="60"/>
      <c r="D101" s="64"/>
      <c r="E101" s="60"/>
      <c r="F101" s="64"/>
      <c r="G101" s="60"/>
      <c r="H101" s="64"/>
      <c r="I101" s="60"/>
      <c r="J101" s="64"/>
      <c r="K101" s="60"/>
      <c r="L101" s="64"/>
      <c r="M101" s="60"/>
      <c r="N101" s="64"/>
      <c r="O101" s="60"/>
      <c r="P101" s="64"/>
      <c r="Q101" s="60"/>
      <c r="R101" s="64"/>
      <c r="S101" s="60"/>
      <c r="T101" s="64"/>
      <c r="U101" s="60"/>
      <c r="V101" s="64"/>
      <c r="W101" s="60"/>
      <c r="X101" s="64"/>
      <c r="Y101" s="60"/>
      <c r="Z101" s="64"/>
      <c r="AA101" s="60"/>
      <c r="AB101" s="64"/>
      <c r="AC101" s="60"/>
      <c r="AD101" s="64"/>
      <c r="AE101" s="60"/>
      <c r="AF101" s="64"/>
    </row>
    <row r="102" spans="1:32" x14ac:dyDescent="0.25">
      <c r="A102" s="60"/>
      <c r="B102" s="64"/>
      <c r="C102" s="60"/>
      <c r="D102" s="64"/>
      <c r="E102" s="60"/>
      <c r="F102" s="64"/>
      <c r="G102" s="60"/>
      <c r="H102" s="64"/>
      <c r="I102" s="60"/>
      <c r="J102" s="64"/>
      <c r="K102" s="60"/>
      <c r="L102" s="64"/>
      <c r="M102" s="60"/>
      <c r="N102" s="64"/>
      <c r="O102" s="60"/>
      <c r="P102" s="64"/>
      <c r="Q102" s="60"/>
      <c r="R102" s="64"/>
      <c r="S102" s="60"/>
      <c r="T102" s="64"/>
      <c r="U102" s="60"/>
      <c r="V102" s="64"/>
      <c r="W102" s="60"/>
      <c r="X102" s="64"/>
      <c r="Y102" s="60"/>
      <c r="Z102" s="64"/>
      <c r="AA102" s="60"/>
      <c r="AB102" s="64"/>
      <c r="AC102" s="60"/>
      <c r="AD102" s="64"/>
      <c r="AE102" s="60"/>
      <c r="AF102" s="64"/>
    </row>
    <row r="103" spans="1:32" x14ac:dyDescent="0.25">
      <c r="A103" s="60"/>
      <c r="B103" s="64"/>
      <c r="C103" s="60"/>
      <c r="D103" s="64"/>
      <c r="E103" s="60"/>
      <c r="F103" s="64"/>
      <c r="G103" s="60"/>
      <c r="H103" s="64"/>
      <c r="I103" s="60"/>
      <c r="J103" s="64"/>
      <c r="K103" s="60"/>
      <c r="L103" s="64"/>
      <c r="M103" s="60"/>
      <c r="N103" s="64"/>
      <c r="O103" s="60"/>
      <c r="P103" s="64"/>
      <c r="Q103" s="60"/>
      <c r="R103" s="64"/>
      <c r="S103" s="60"/>
      <c r="T103" s="64"/>
      <c r="U103" s="60"/>
      <c r="V103" s="64"/>
      <c r="W103" s="60"/>
      <c r="X103" s="64"/>
      <c r="Y103" s="60"/>
      <c r="Z103" s="64"/>
      <c r="AA103" s="60"/>
      <c r="AB103" s="64"/>
      <c r="AC103" s="60"/>
      <c r="AD103" s="64"/>
      <c r="AE103" s="60"/>
      <c r="AF103" s="64"/>
    </row>
    <row r="104" spans="1:32" x14ac:dyDescent="0.25">
      <c r="A104" s="60"/>
      <c r="B104" s="64"/>
      <c r="C104" s="60"/>
      <c r="D104" s="64"/>
      <c r="E104" s="60"/>
      <c r="F104" s="64"/>
      <c r="G104" s="60"/>
      <c r="H104" s="64"/>
      <c r="I104" s="60"/>
      <c r="J104" s="64"/>
      <c r="K104" s="60"/>
      <c r="L104" s="64"/>
      <c r="M104" s="60"/>
      <c r="N104" s="64"/>
      <c r="O104" s="60"/>
      <c r="P104" s="64"/>
      <c r="Q104" s="60"/>
      <c r="R104" s="64"/>
      <c r="S104" s="60"/>
      <c r="T104" s="64"/>
      <c r="U104" s="60"/>
      <c r="V104" s="64"/>
      <c r="W104" s="60"/>
      <c r="X104" s="64"/>
      <c r="Y104" s="60"/>
      <c r="Z104" s="64"/>
      <c r="AA104" s="60"/>
      <c r="AB104" s="64"/>
      <c r="AC104" s="60"/>
      <c r="AD104" s="64"/>
      <c r="AE104" s="60"/>
      <c r="AF104" s="64"/>
    </row>
    <row r="105" spans="1:32" x14ac:dyDescent="0.25">
      <c r="A105" s="60"/>
      <c r="B105" s="64"/>
      <c r="C105" s="60"/>
      <c r="D105" s="64"/>
      <c r="E105" s="60"/>
      <c r="F105" s="64"/>
      <c r="G105" s="60"/>
      <c r="H105" s="64"/>
      <c r="I105" s="60"/>
      <c r="J105" s="64"/>
      <c r="K105" s="60"/>
      <c r="L105" s="64"/>
      <c r="M105" s="60"/>
      <c r="N105" s="64"/>
      <c r="O105" s="60"/>
      <c r="P105" s="64"/>
      <c r="Q105" s="60"/>
      <c r="R105" s="64"/>
      <c r="S105" s="60"/>
      <c r="T105" s="64"/>
      <c r="U105" s="60"/>
      <c r="V105" s="64"/>
      <c r="W105" s="60"/>
      <c r="X105" s="64"/>
      <c r="Y105" s="60"/>
      <c r="Z105" s="64"/>
      <c r="AA105" s="60"/>
      <c r="AB105" s="64"/>
      <c r="AC105" s="60"/>
      <c r="AD105" s="64"/>
      <c r="AE105" s="60"/>
      <c r="AF105" s="64"/>
    </row>
    <row r="106" spans="1:32" x14ac:dyDescent="0.25">
      <c r="A106" s="60"/>
      <c r="B106" s="64"/>
      <c r="C106" s="60"/>
      <c r="D106" s="64"/>
      <c r="E106" s="60"/>
      <c r="F106" s="64"/>
      <c r="G106" s="60"/>
      <c r="H106" s="64"/>
      <c r="I106" s="60"/>
      <c r="J106" s="64"/>
      <c r="K106" s="60"/>
      <c r="L106" s="64"/>
      <c r="M106" s="60"/>
      <c r="N106" s="64"/>
      <c r="O106" s="60"/>
      <c r="P106" s="64"/>
      <c r="Q106" s="60"/>
      <c r="R106" s="64"/>
      <c r="S106" s="60"/>
      <c r="T106" s="64"/>
      <c r="U106" s="60"/>
      <c r="V106" s="64"/>
      <c r="W106" s="60"/>
      <c r="X106" s="64"/>
      <c r="Y106" s="60"/>
      <c r="Z106" s="64"/>
      <c r="AA106" s="60"/>
      <c r="AB106" s="64"/>
      <c r="AC106" s="60"/>
      <c r="AD106" s="64"/>
      <c r="AE106" s="60"/>
      <c r="AF106" s="64"/>
    </row>
    <row r="107" spans="1:32" x14ac:dyDescent="0.25">
      <c r="A107" s="60"/>
      <c r="B107" s="64"/>
      <c r="C107" s="60"/>
      <c r="D107" s="64"/>
      <c r="E107" s="60"/>
      <c r="F107" s="64"/>
      <c r="G107" s="60"/>
      <c r="H107" s="64"/>
      <c r="I107" s="60"/>
      <c r="J107" s="64"/>
      <c r="K107" s="60"/>
      <c r="L107" s="64"/>
      <c r="M107" s="60"/>
      <c r="N107" s="64"/>
      <c r="O107" s="60"/>
      <c r="P107" s="64"/>
      <c r="Q107" s="60"/>
      <c r="R107" s="64"/>
      <c r="S107" s="60"/>
      <c r="T107" s="64"/>
      <c r="U107" s="60"/>
      <c r="V107" s="64"/>
      <c r="W107" s="60"/>
      <c r="X107" s="64"/>
      <c r="Y107" s="60"/>
      <c r="Z107" s="64"/>
      <c r="AA107" s="60"/>
      <c r="AB107" s="64"/>
      <c r="AC107" s="60"/>
      <c r="AD107" s="64"/>
      <c r="AE107" s="60"/>
      <c r="AF107" s="64"/>
    </row>
    <row r="108" spans="1:32" x14ac:dyDescent="0.25">
      <c r="A108" s="60"/>
      <c r="B108" s="64"/>
      <c r="C108" s="60"/>
      <c r="D108" s="64"/>
      <c r="E108" s="60"/>
      <c r="F108" s="64"/>
      <c r="G108" s="60"/>
      <c r="H108" s="64"/>
      <c r="I108" s="60"/>
      <c r="J108" s="64"/>
      <c r="K108" s="60"/>
      <c r="L108" s="64"/>
      <c r="M108" s="60"/>
      <c r="N108" s="64"/>
      <c r="O108" s="60"/>
      <c r="P108" s="64"/>
      <c r="Q108" s="60"/>
      <c r="R108" s="64"/>
      <c r="S108" s="60"/>
      <c r="T108" s="64"/>
      <c r="U108" s="60"/>
      <c r="V108" s="64"/>
      <c r="W108" s="60"/>
      <c r="X108" s="64"/>
      <c r="Y108" s="60"/>
      <c r="Z108" s="64"/>
      <c r="AA108" s="60"/>
      <c r="AB108" s="64"/>
      <c r="AC108" s="60"/>
      <c r="AD108" s="64"/>
      <c r="AE108" s="60"/>
      <c r="AF108" s="64"/>
    </row>
    <row r="109" spans="1:32" x14ac:dyDescent="0.25">
      <c r="A109" s="60"/>
      <c r="B109" s="64"/>
      <c r="C109" s="60"/>
      <c r="D109" s="64"/>
      <c r="E109" s="60"/>
      <c r="F109" s="64"/>
      <c r="G109" s="60"/>
      <c r="H109" s="64"/>
      <c r="I109" s="60"/>
      <c r="J109" s="64"/>
      <c r="K109" s="60"/>
      <c r="L109" s="64"/>
      <c r="M109" s="60"/>
      <c r="N109" s="64"/>
      <c r="O109" s="60"/>
      <c r="P109" s="64"/>
      <c r="Q109" s="60"/>
      <c r="R109" s="64"/>
      <c r="S109" s="60"/>
      <c r="T109" s="64"/>
      <c r="U109" s="60"/>
      <c r="V109" s="64"/>
      <c r="W109" s="60"/>
      <c r="X109" s="64"/>
      <c r="Y109" s="60"/>
      <c r="Z109" s="64"/>
      <c r="AA109" s="60"/>
      <c r="AB109" s="64"/>
      <c r="AC109" s="60"/>
      <c r="AD109" s="64"/>
      <c r="AE109" s="60"/>
      <c r="AF109" s="64"/>
    </row>
    <row r="110" spans="1:32" x14ac:dyDescent="0.25">
      <c r="A110" s="60"/>
      <c r="B110" s="64"/>
      <c r="C110" s="60"/>
      <c r="D110" s="64"/>
      <c r="E110" s="60"/>
      <c r="F110" s="64"/>
      <c r="G110" s="60"/>
      <c r="H110" s="64"/>
      <c r="I110" s="60"/>
      <c r="J110" s="64"/>
      <c r="K110" s="60"/>
      <c r="L110" s="64"/>
      <c r="M110" s="60"/>
      <c r="N110" s="64"/>
      <c r="O110" s="60"/>
      <c r="P110" s="64"/>
      <c r="Q110" s="60"/>
      <c r="R110" s="64"/>
      <c r="S110" s="60"/>
      <c r="T110" s="64"/>
      <c r="U110" s="60"/>
      <c r="V110" s="64"/>
      <c r="W110" s="60"/>
      <c r="X110" s="64"/>
      <c r="Y110" s="60"/>
      <c r="Z110" s="64"/>
      <c r="AA110" s="60"/>
      <c r="AB110" s="64"/>
      <c r="AC110" s="60"/>
      <c r="AD110" s="64"/>
      <c r="AE110" s="60"/>
      <c r="AF110" s="64"/>
    </row>
    <row r="111" spans="1:32" x14ac:dyDescent="0.25">
      <c r="A111" s="60"/>
      <c r="B111" s="64"/>
      <c r="C111" s="60"/>
      <c r="D111" s="64"/>
      <c r="E111" s="60"/>
      <c r="F111" s="64"/>
      <c r="G111" s="60"/>
      <c r="H111" s="64"/>
      <c r="I111" s="60"/>
      <c r="J111" s="64"/>
      <c r="K111" s="60"/>
      <c r="L111" s="64"/>
      <c r="M111" s="60"/>
      <c r="N111" s="64"/>
      <c r="O111" s="60"/>
      <c r="P111" s="64"/>
      <c r="Q111" s="60"/>
      <c r="R111" s="64"/>
      <c r="S111" s="60"/>
      <c r="T111" s="64"/>
      <c r="U111" s="60"/>
      <c r="V111" s="64"/>
      <c r="W111" s="60"/>
      <c r="X111" s="64"/>
      <c r="Y111" s="60"/>
      <c r="Z111" s="64"/>
      <c r="AA111" s="60"/>
      <c r="AB111" s="64"/>
      <c r="AC111" s="60"/>
      <c r="AD111" s="64"/>
      <c r="AE111" s="60"/>
      <c r="AF111" s="64"/>
    </row>
    <row r="112" spans="1:32" x14ac:dyDescent="0.25">
      <c r="A112" s="60"/>
      <c r="B112" s="64"/>
      <c r="C112" s="60"/>
      <c r="D112" s="64"/>
      <c r="E112" s="60"/>
      <c r="F112" s="64"/>
      <c r="G112" s="60"/>
      <c r="H112" s="64"/>
      <c r="I112" s="60"/>
      <c r="J112" s="64"/>
      <c r="K112" s="60"/>
      <c r="L112" s="64"/>
      <c r="M112" s="60"/>
      <c r="N112" s="64"/>
      <c r="O112" s="60"/>
      <c r="P112" s="64"/>
      <c r="Q112" s="60"/>
      <c r="R112" s="64"/>
      <c r="S112" s="60"/>
      <c r="T112" s="64"/>
      <c r="U112" s="60"/>
      <c r="V112" s="64"/>
      <c r="W112" s="60"/>
      <c r="X112" s="64"/>
      <c r="Y112" s="60"/>
      <c r="Z112" s="64"/>
      <c r="AA112" s="60"/>
      <c r="AB112" s="64"/>
      <c r="AC112" s="60"/>
      <c r="AD112" s="64"/>
      <c r="AE112" s="60"/>
      <c r="AF112" s="64"/>
    </row>
    <row r="113" spans="1:32" x14ac:dyDescent="0.25">
      <c r="A113" s="60"/>
      <c r="B113" s="64"/>
      <c r="C113" s="60"/>
      <c r="D113" s="64"/>
      <c r="E113" s="60"/>
      <c r="F113" s="64"/>
      <c r="G113" s="60"/>
      <c r="H113" s="64"/>
      <c r="I113" s="60"/>
      <c r="J113" s="64"/>
      <c r="K113" s="60"/>
      <c r="L113" s="64"/>
      <c r="M113" s="60"/>
      <c r="N113" s="64"/>
      <c r="O113" s="60"/>
      <c r="P113" s="64"/>
      <c r="Q113" s="60"/>
      <c r="R113" s="64"/>
      <c r="S113" s="60"/>
      <c r="T113" s="64"/>
      <c r="U113" s="60"/>
      <c r="V113" s="64"/>
      <c r="W113" s="60"/>
      <c r="X113" s="64"/>
      <c r="Y113" s="60"/>
      <c r="Z113" s="64"/>
      <c r="AA113" s="60"/>
      <c r="AB113" s="64"/>
      <c r="AC113" s="60"/>
      <c r="AD113" s="64"/>
      <c r="AE113" s="60"/>
      <c r="AF113" s="64"/>
    </row>
    <row r="114" spans="1:32" x14ac:dyDescent="0.25">
      <c r="A114" s="60"/>
      <c r="B114" s="64"/>
      <c r="C114" s="60"/>
      <c r="D114" s="64"/>
      <c r="E114" s="60"/>
      <c r="F114" s="64"/>
      <c r="G114" s="60"/>
      <c r="H114" s="64"/>
      <c r="I114" s="60"/>
      <c r="J114" s="64"/>
      <c r="K114" s="60"/>
      <c r="L114" s="64"/>
      <c r="M114" s="60"/>
      <c r="N114" s="64"/>
      <c r="O114" s="60"/>
      <c r="P114" s="64"/>
      <c r="Q114" s="60"/>
      <c r="R114" s="64"/>
      <c r="S114" s="60"/>
      <c r="T114" s="64"/>
      <c r="U114" s="60"/>
      <c r="V114" s="64"/>
      <c r="W114" s="60"/>
      <c r="X114" s="64"/>
      <c r="Y114" s="60"/>
      <c r="Z114" s="64"/>
      <c r="AA114" s="60"/>
      <c r="AB114" s="64"/>
      <c r="AC114" s="60"/>
      <c r="AD114" s="64"/>
      <c r="AE114" s="60"/>
      <c r="AF114" s="64"/>
    </row>
    <row r="115" spans="1:32" x14ac:dyDescent="0.25">
      <c r="A115" s="60"/>
      <c r="B115" s="64"/>
      <c r="C115" s="60"/>
      <c r="D115" s="64"/>
      <c r="E115" s="60"/>
      <c r="F115" s="64"/>
      <c r="G115" s="60"/>
      <c r="H115" s="64"/>
      <c r="I115" s="60"/>
      <c r="J115" s="64"/>
      <c r="K115" s="60"/>
      <c r="L115" s="64"/>
      <c r="M115" s="60"/>
      <c r="N115" s="64"/>
      <c r="O115" s="60"/>
      <c r="P115" s="64"/>
      <c r="Q115" s="60"/>
      <c r="R115" s="64"/>
      <c r="S115" s="60"/>
      <c r="T115" s="64"/>
      <c r="U115" s="60"/>
      <c r="V115" s="64"/>
      <c r="W115" s="60"/>
      <c r="X115" s="64"/>
      <c r="Y115" s="60"/>
      <c r="Z115" s="64"/>
      <c r="AA115" s="60"/>
      <c r="AB115" s="64"/>
      <c r="AC115" s="60"/>
      <c r="AD115" s="64"/>
      <c r="AE115" s="60"/>
      <c r="AF115" s="64"/>
    </row>
    <row r="116" spans="1:32" x14ac:dyDescent="0.25">
      <c r="A116" s="60"/>
      <c r="B116" s="64"/>
      <c r="C116" s="60"/>
      <c r="D116" s="64"/>
      <c r="E116" s="60"/>
      <c r="F116" s="64"/>
      <c r="G116" s="60"/>
      <c r="H116" s="64"/>
      <c r="I116" s="60"/>
      <c r="J116" s="64"/>
      <c r="K116" s="60"/>
      <c r="L116" s="64"/>
      <c r="M116" s="60"/>
      <c r="N116" s="64"/>
      <c r="O116" s="60"/>
      <c r="P116" s="64"/>
      <c r="Q116" s="60"/>
      <c r="R116" s="64"/>
      <c r="S116" s="60"/>
      <c r="T116" s="64"/>
      <c r="U116" s="60"/>
      <c r="V116" s="64"/>
      <c r="W116" s="60"/>
      <c r="X116" s="64"/>
      <c r="Y116" s="60"/>
      <c r="Z116" s="64"/>
      <c r="AA116" s="60"/>
      <c r="AB116" s="64"/>
      <c r="AC116" s="60"/>
      <c r="AD116" s="64"/>
      <c r="AE116" s="60"/>
      <c r="AF116" s="64"/>
    </row>
    <row r="117" spans="1:32" x14ac:dyDescent="0.25">
      <c r="A117" s="60"/>
      <c r="B117" s="64"/>
      <c r="C117" s="60"/>
      <c r="D117" s="64"/>
      <c r="E117" s="60"/>
      <c r="F117" s="64"/>
      <c r="G117" s="60"/>
      <c r="H117" s="64"/>
      <c r="I117" s="60"/>
      <c r="J117" s="64"/>
      <c r="K117" s="60"/>
      <c r="L117" s="64"/>
      <c r="M117" s="60"/>
      <c r="N117" s="64"/>
      <c r="O117" s="60"/>
      <c r="P117" s="64"/>
      <c r="Q117" s="60"/>
      <c r="R117" s="64"/>
      <c r="S117" s="60"/>
      <c r="T117" s="64"/>
      <c r="U117" s="60"/>
      <c r="V117" s="64"/>
      <c r="W117" s="60"/>
      <c r="X117" s="64"/>
      <c r="Y117" s="60"/>
      <c r="Z117" s="64"/>
      <c r="AA117" s="60"/>
      <c r="AB117" s="64"/>
      <c r="AC117" s="60"/>
      <c r="AD117" s="64"/>
      <c r="AE117" s="60"/>
      <c r="AF117" s="64"/>
    </row>
    <row r="118" spans="1:32" x14ac:dyDescent="0.25">
      <c r="A118" s="60"/>
      <c r="B118" s="64"/>
      <c r="C118" s="60"/>
      <c r="D118" s="64"/>
      <c r="E118" s="60"/>
      <c r="F118" s="64"/>
      <c r="G118" s="60"/>
      <c r="H118" s="64"/>
      <c r="I118" s="60"/>
      <c r="J118" s="64"/>
      <c r="K118" s="60"/>
      <c r="L118" s="64"/>
      <c r="M118" s="60"/>
      <c r="N118" s="64"/>
      <c r="O118" s="60"/>
      <c r="P118" s="64"/>
      <c r="Q118" s="60"/>
      <c r="R118" s="64"/>
      <c r="S118" s="60"/>
      <c r="T118" s="64"/>
      <c r="U118" s="60"/>
      <c r="V118" s="64"/>
      <c r="W118" s="60"/>
      <c r="X118" s="64"/>
      <c r="Y118" s="60"/>
      <c r="Z118" s="64"/>
      <c r="AA118" s="60"/>
      <c r="AB118" s="64"/>
      <c r="AC118" s="60"/>
      <c r="AD118" s="64"/>
      <c r="AE118" s="60"/>
      <c r="AF118" s="64"/>
    </row>
    <row r="119" spans="1:32" x14ac:dyDescent="0.25">
      <c r="A119" s="60"/>
      <c r="B119" s="64"/>
      <c r="C119" s="60"/>
      <c r="D119" s="64"/>
      <c r="E119" s="60"/>
      <c r="F119" s="64"/>
      <c r="G119" s="60"/>
      <c r="H119" s="64"/>
      <c r="I119" s="60"/>
      <c r="J119" s="64"/>
      <c r="K119" s="60"/>
      <c r="L119" s="64"/>
      <c r="M119" s="60"/>
      <c r="N119" s="64"/>
      <c r="O119" s="60"/>
      <c r="P119" s="64"/>
      <c r="Q119" s="60"/>
      <c r="R119" s="64"/>
      <c r="S119" s="60"/>
      <c r="T119" s="64"/>
      <c r="U119" s="60"/>
      <c r="V119" s="64"/>
      <c r="W119" s="60"/>
      <c r="X119" s="64"/>
      <c r="Y119" s="60"/>
      <c r="Z119" s="64"/>
      <c r="AA119" s="60"/>
      <c r="AB119" s="64"/>
      <c r="AC119" s="60"/>
      <c r="AD119" s="64"/>
      <c r="AE119" s="60"/>
      <c r="AF119" s="64"/>
    </row>
    <row r="120" spans="1:32" x14ac:dyDescent="0.25">
      <c r="A120" s="60"/>
      <c r="B120" s="64"/>
      <c r="C120" s="60"/>
      <c r="D120" s="64"/>
      <c r="E120" s="60"/>
      <c r="F120" s="64"/>
      <c r="G120" s="60"/>
      <c r="H120" s="64"/>
      <c r="I120" s="60"/>
      <c r="J120" s="64"/>
      <c r="K120" s="60"/>
      <c r="L120" s="64"/>
      <c r="M120" s="60"/>
      <c r="N120" s="64"/>
      <c r="O120" s="60"/>
      <c r="P120" s="64"/>
      <c r="Q120" s="60"/>
      <c r="R120" s="64"/>
      <c r="S120" s="60"/>
      <c r="T120" s="64"/>
      <c r="U120" s="60"/>
      <c r="V120" s="64"/>
      <c r="W120" s="60"/>
      <c r="X120" s="64"/>
      <c r="Y120" s="60"/>
      <c r="Z120" s="64"/>
      <c r="AA120" s="60"/>
      <c r="AB120" s="64"/>
      <c r="AC120" s="60"/>
      <c r="AD120" s="64"/>
      <c r="AE120" s="60"/>
      <c r="AF120" s="64"/>
    </row>
    <row r="121" spans="1:32" x14ac:dyDescent="0.25">
      <c r="A121" s="60"/>
      <c r="B121" s="64"/>
      <c r="C121" s="60"/>
      <c r="D121" s="64"/>
      <c r="E121" s="60"/>
      <c r="F121" s="64"/>
      <c r="G121" s="60"/>
      <c r="H121" s="64"/>
      <c r="I121" s="60"/>
      <c r="J121" s="64"/>
      <c r="K121" s="60"/>
      <c r="L121" s="64"/>
      <c r="M121" s="60"/>
      <c r="N121" s="64"/>
      <c r="O121" s="60"/>
      <c r="P121" s="64"/>
      <c r="Q121" s="60"/>
      <c r="R121" s="64"/>
      <c r="S121" s="60"/>
      <c r="T121" s="64"/>
      <c r="U121" s="60"/>
      <c r="V121" s="64"/>
      <c r="W121" s="60"/>
      <c r="X121" s="64"/>
      <c r="Y121" s="60"/>
      <c r="Z121" s="64"/>
      <c r="AA121" s="60"/>
      <c r="AB121" s="64"/>
      <c r="AC121" s="60"/>
      <c r="AD121" s="64"/>
      <c r="AE121" s="60"/>
      <c r="AF121" s="64"/>
    </row>
    <row r="122" spans="1:32" x14ac:dyDescent="0.25">
      <c r="A122" s="60"/>
      <c r="B122" s="64"/>
      <c r="C122" s="60"/>
      <c r="D122" s="64"/>
      <c r="E122" s="60"/>
      <c r="F122" s="64"/>
      <c r="G122" s="60"/>
      <c r="H122" s="64"/>
      <c r="I122" s="60"/>
      <c r="J122" s="64"/>
      <c r="K122" s="60"/>
      <c r="L122" s="64"/>
      <c r="M122" s="60"/>
      <c r="N122" s="64"/>
      <c r="O122" s="60"/>
      <c r="P122" s="64"/>
      <c r="Q122" s="60"/>
      <c r="R122" s="64"/>
      <c r="S122" s="60"/>
      <c r="T122" s="64"/>
      <c r="U122" s="60"/>
      <c r="V122" s="64"/>
      <c r="W122" s="60"/>
      <c r="X122" s="64"/>
      <c r="Y122" s="60"/>
      <c r="Z122" s="64"/>
      <c r="AA122" s="60"/>
      <c r="AB122" s="64"/>
      <c r="AC122" s="60"/>
      <c r="AD122" s="64"/>
      <c r="AE122" s="60"/>
      <c r="AF122" s="64"/>
    </row>
    <row r="123" spans="1:32" x14ac:dyDescent="0.25">
      <c r="A123" s="60"/>
      <c r="B123" s="64"/>
      <c r="C123" s="60"/>
      <c r="D123" s="64"/>
      <c r="E123" s="60"/>
      <c r="F123" s="64"/>
      <c r="G123" s="60"/>
      <c r="H123" s="64"/>
      <c r="I123" s="60"/>
      <c r="J123" s="64"/>
      <c r="K123" s="60"/>
      <c r="L123" s="64"/>
      <c r="M123" s="60"/>
      <c r="N123" s="64"/>
      <c r="O123" s="60"/>
      <c r="P123" s="64"/>
      <c r="Q123" s="60"/>
      <c r="R123" s="64"/>
      <c r="S123" s="60"/>
      <c r="T123" s="64"/>
      <c r="U123" s="60"/>
      <c r="V123" s="64"/>
      <c r="W123" s="60"/>
      <c r="X123" s="64"/>
      <c r="Y123" s="60"/>
      <c r="Z123" s="64"/>
      <c r="AA123" s="60"/>
      <c r="AB123" s="64"/>
      <c r="AC123" s="60"/>
      <c r="AD123" s="64"/>
      <c r="AE123" s="60"/>
      <c r="AF123" s="64"/>
    </row>
    <row r="124" spans="1:32" x14ac:dyDescent="0.25">
      <c r="A124" s="60"/>
      <c r="B124" s="64"/>
      <c r="C124" s="60"/>
      <c r="D124" s="64"/>
      <c r="E124" s="60"/>
      <c r="F124" s="64"/>
      <c r="G124" s="60"/>
      <c r="H124" s="64"/>
      <c r="I124" s="60"/>
      <c r="J124" s="64"/>
      <c r="K124" s="60"/>
      <c r="L124" s="64"/>
      <c r="M124" s="60"/>
      <c r="N124" s="64"/>
      <c r="O124" s="60"/>
      <c r="P124" s="64"/>
      <c r="Q124" s="60"/>
      <c r="R124" s="64"/>
      <c r="S124" s="60"/>
      <c r="T124" s="64"/>
      <c r="U124" s="60"/>
      <c r="V124" s="64"/>
      <c r="W124" s="60"/>
      <c r="X124" s="64"/>
      <c r="Y124" s="60"/>
      <c r="Z124" s="64"/>
      <c r="AA124" s="60"/>
      <c r="AB124" s="64"/>
      <c r="AC124" s="60"/>
      <c r="AD124" s="64"/>
      <c r="AE124" s="60"/>
      <c r="AF124" s="64"/>
    </row>
    <row r="125" spans="1:32" x14ac:dyDescent="0.25">
      <c r="A125" s="60"/>
      <c r="B125" s="64"/>
      <c r="C125" s="60"/>
      <c r="D125" s="64"/>
      <c r="E125" s="60"/>
      <c r="F125" s="64"/>
      <c r="G125" s="60"/>
      <c r="H125" s="64"/>
      <c r="I125" s="60"/>
      <c r="J125" s="64"/>
      <c r="K125" s="60"/>
      <c r="L125" s="64"/>
      <c r="M125" s="60"/>
      <c r="N125" s="64"/>
      <c r="O125" s="60"/>
      <c r="P125" s="64"/>
      <c r="Q125" s="60"/>
      <c r="R125" s="64"/>
      <c r="S125" s="60"/>
      <c r="T125" s="64"/>
      <c r="U125" s="60"/>
      <c r="V125" s="64"/>
      <c r="W125" s="60"/>
      <c r="X125" s="64"/>
      <c r="Y125" s="60"/>
      <c r="Z125" s="64"/>
      <c r="AA125" s="60"/>
      <c r="AB125" s="64"/>
      <c r="AC125" s="60"/>
      <c r="AD125" s="64"/>
      <c r="AE125" s="60"/>
      <c r="AF125" s="64"/>
    </row>
    <row r="126" spans="1:32" x14ac:dyDescent="0.25">
      <c r="A126" s="60"/>
      <c r="B126" s="64"/>
      <c r="C126" s="60"/>
      <c r="D126" s="64"/>
      <c r="E126" s="60"/>
      <c r="F126" s="64"/>
      <c r="G126" s="60"/>
      <c r="H126" s="64"/>
      <c r="I126" s="60"/>
      <c r="J126" s="64"/>
      <c r="K126" s="60"/>
      <c r="L126" s="64"/>
      <c r="M126" s="60"/>
      <c r="N126" s="64"/>
      <c r="O126" s="60"/>
      <c r="P126" s="64"/>
      <c r="Q126" s="60"/>
      <c r="R126" s="64"/>
      <c r="S126" s="60"/>
      <c r="T126" s="64"/>
      <c r="U126" s="60"/>
      <c r="V126" s="64"/>
      <c r="W126" s="60"/>
      <c r="X126" s="64"/>
      <c r="Y126" s="60"/>
      <c r="Z126" s="64"/>
      <c r="AA126" s="60"/>
      <c r="AB126" s="64"/>
      <c r="AC126" s="60"/>
      <c r="AD126" s="64"/>
      <c r="AE126" s="60"/>
      <c r="AF126" s="64"/>
    </row>
    <row r="127" spans="1:32" x14ac:dyDescent="0.25">
      <c r="A127" s="60"/>
      <c r="B127" s="64"/>
      <c r="C127" s="60"/>
      <c r="D127" s="64"/>
      <c r="E127" s="60"/>
      <c r="F127" s="64"/>
      <c r="G127" s="60"/>
      <c r="H127" s="64"/>
      <c r="I127" s="60"/>
      <c r="J127" s="64"/>
      <c r="K127" s="60"/>
      <c r="L127" s="64"/>
      <c r="M127" s="60"/>
      <c r="N127" s="64"/>
      <c r="O127" s="60"/>
      <c r="P127" s="64"/>
      <c r="Q127" s="60"/>
      <c r="R127" s="64"/>
      <c r="S127" s="60"/>
      <c r="T127" s="64"/>
      <c r="U127" s="60"/>
      <c r="V127" s="64"/>
      <c r="W127" s="60"/>
      <c r="X127" s="64"/>
      <c r="Y127" s="60"/>
      <c r="Z127" s="64"/>
      <c r="AA127" s="60"/>
      <c r="AB127" s="64"/>
      <c r="AC127" s="60"/>
      <c r="AD127" s="64"/>
      <c r="AE127" s="60"/>
      <c r="AF127" s="64"/>
    </row>
    <row r="128" spans="1:32" x14ac:dyDescent="0.25">
      <c r="A128" s="60"/>
      <c r="B128" s="64"/>
      <c r="C128" s="60"/>
      <c r="D128" s="64"/>
      <c r="E128" s="60"/>
      <c r="F128" s="64"/>
      <c r="G128" s="60"/>
      <c r="H128" s="64"/>
      <c r="I128" s="60"/>
      <c r="J128" s="64"/>
      <c r="K128" s="60"/>
      <c r="L128" s="64"/>
      <c r="M128" s="60"/>
      <c r="N128" s="64"/>
      <c r="O128" s="60"/>
      <c r="P128" s="64"/>
      <c r="Q128" s="60"/>
      <c r="R128" s="64"/>
      <c r="S128" s="60"/>
      <c r="T128" s="64"/>
      <c r="U128" s="60"/>
      <c r="V128" s="64"/>
      <c r="W128" s="60"/>
      <c r="X128" s="64"/>
      <c r="Y128" s="60"/>
      <c r="Z128" s="64"/>
      <c r="AA128" s="60"/>
      <c r="AB128" s="64"/>
      <c r="AC128" s="60"/>
      <c r="AD128" s="64"/>
      <c r="AE128" s="60"/>
      <c r="AF128" s="64"/>
    </row>
    <row r="129" spans="1:32" x14ac:dyDescent="0.25">
      <c r="A129" s="60"/>
      <c r="B129" s="64"/>
      <c r="C129" s="60"/>
      <c r="D129" s="64"/>
      <c r="E129" s="60"/>
      <c r="F129" s="64"/>
      <c r="G129" s="60"/>
      <c r="H129" s="64"/>
      <c r="I129" s="60"/>
      <c r="J129" s="64"/>
      <c r="K129" s="60"/>
      <c r="L129" s="64"/>
      <c r="M129" s="60"/>
      <c r="N129" s="64"/>
      <c r="O129" s="60"/>
      <c r="P129" s="64"/>
      <c r="Q129" s="60"/>
      <c r="R129" s="64"/>
      <c r="S129" s="60"/>
      <c r="T129" s="64"/>
      <c r="U129" s="60"/>
      <c r="V129" s="64"/>
      <c r="W129" s="60"/>
      <c r="X129" s="64"/>
      <c r="Y129" s="60"/>
      <c r="Z129" s="64"/>
      <c r="AA129" s="60"/>
      <c r="AB129" s="64"/>
      <c r="AC129" s="60"/>
      <c r="AD129" s="64"/>
      <c r="AE129" s="60"/>
      <c r="AF129" s="64"/>
    </row>
    <row r="130" spans="1:32" x14ac:dyDescent="0.25">
      <c r="A130" s="60"/>
      <c r="B130" s="64"/>
      <c r="C130" s="60"/>
      <c r="D130" s="64"/>
      <c r="E130" s="60"/>
      <c r="F130" s="64"/>
      <c r="G130" s="60"/>
      <c r="H130" s="64"/>
      <c r="I130" s="60"/>
      <c r="J130" s="64"/>
      <c r="K130" s="60"/>
      <c r="L130" s="64"/>
      <c r="M130" s="60"/>
      <c r="N130" s="64"/>
      <c r="O130" s="60"/>
      <c r="P130" s="64"/>
      <c r="Q130" s="60"/>
      <c r="R130" s="64"/>
      <c r="S130" s="60"/>
      <c r="T130" s="64"/>
      <c r="U130" s="60"/>
      <c r="V130" s="64"/>
      <c r="W130" s="60"/>
      <c r="X130" s="64"/>
      <c r="Y130" s="60"/>
      <c r="Z130" s="64"/>
      <c r="AA130" s="60"/>
      <c r="AB130" s="64"/>
      <c r="AC130" s="60"/>
      <c r="AD130" s="64"/>
      <c r="AE130" s="60"/>
      <c r="AF130" s="64"/>
    </row>
    <row r="131" spans="1:32" x14ac:dyDescent="0.25">
      <c r="A131" s="60"/>
      <c r="B131" s="64"/>
      <c r="C131" s="60"/>
      <c r="D131" s="64"/>
      <c r="E131" s="60"/>
      <c r="F131" s="64"/>
      <c r="G131" s="60"/>
      <c r="H131" s="64"/>
      <c r="I131" s="60"/>
      <c r="J131" s="64"/>
      <c r="K131" s="60"/>
      <c r="L131" s="64"/>
      <c r="M131" s="60"/>
      <c r="N131" s="64"/>
      <c r="O131" s="60"/>
      <c r="P131" s="64"/>
      <c r="Q131" s="60"/>
      <c r="R131" s="64"/>
      <c r="S131" s="60"/>
      <c r="T131" s="64"/>
      <c r="U131" s="60"/>
      <c r="V131" s="64"/>
      <c r="W131" s="60"/>
      <c r="X131" s="64"/>
      <c r="Y131" s="60"/>
      <c r="Z131" s="64"/>
      <c r="AA131" s="60"/>
      <c r="AB131" s="64"/>
      <c r="AC131" s="60"/>
      <c r="AD131" s="64"/>
      <c r="AE131" s="60"/>
      <c r="AF131" s="64"/>
    </row>
    <row r="132" spans="1:32" x14ac:dyDescent="0.25">
      <c r="A132" s="60"/>
      <c r="B132" s="64"/>
      <c r="C132" s="60"/>
      <c r="D132" s="64"/>
      <c r="E132" s="60"/>
      <c r="F132" s="64"/>
      <c r="G132" s="60"/>
      <c r="H132" s="64"/>
      <c r="I132" s="60"/>
      <c r="J132" s="64"/>
      <c r="K132" s="60"/>
      <c r="L132" s="64"/>
      <c r="M132" s="60"/>
      <c r="N132" s="64"/>
      <c r="O132" s="60"/>
      <c r="P132" s="64"/>
      <c r="Q132" s="60"/>
      <c r="R132" s="64"/>
      <c r="S132" s="60"/>
      <c r="T132" s="64"/>
      <c r="U132" s="60"/>
      <c r="V132" s="64"/>
      <c r="W132" s="60"/>
      <c r="X132" s="64"/>
      <c r="Y132" s="60"/>
      <c r="Z132" s="64"/>
      <c r="AA132" s="60"/>
      <c r="AB132" s="64"/>
      <c r="AC132" s="60"/>
      <c r="AD132" s="64"/>
      <c r="AE132" s="60"/>
      <c r="AF132" s="64"/>
    </row>
    <row r="133" spans="1:32" x14ac:dyDescent="0.25">
      <c r="A133" s="60"/>
      <c r="B133" s="64"/>
      <c r="C133" s="60"/>
      <c r="D133" s="64"/>
      <c r="E133" s="60"/>
      <c r="F133" s="64"/>
      <c r="G133" s="60"/>
      <c r="H133" s="64"/>
      <c r="I133" s="60"/>
      <c r="J133" s="64"/>
      <c r="K133" s="60"/>
      <c r="L133" s="64"/>
      <c r="M133" s="60"/>
      <c r="N133" s="64"/>
      <c r="O133" s="60"/>
      <c r="P133" s="64"/>
      <c r="Q133" s="60"/>
      <c r="R133" s="64"/>
      <c r="S133" s="60"/>
      <c r="T133" s="64"/>
      <c r="U133" s="60"/>
      <c r="V133" s="64"/>
      <c r="W133" s="60"/>
      <c r="X133" s="64"/>
      <c r="Y133" s="60"/>
      <c r="Z133" s="64"/>
      <c r="AA133" s="60"/>
      <c r="AB133" s="64"/>
      <c r="AC133" s="60"/>
      <c r="AD133" s="64"/>
      <c r="AE133" s="60"/>
      <c r="AF133" s="64"/>
    </row>
    <row r="134" spans="1:32" x14ac:dyDescent="0.25">
      <c r="A134" s="60"/>
      <c r="B134" s="64"/>
      <c r="C134" s="60"/>
      <c r="D134" s="64"/>
      <c r="E134" s="60"/>
      <c r="F134" s="64"/>
      <c r="G134" s="60"/>
      <c r="H134" s="64"/>
      <c r="I134" s="60"/>
      <c r="J134" s="64"/>
      <c r="K134" s="60"/>
      <c r="L134" s="64"/>
      <c r="M134" s="60"/>
      <c r="N134" s="64"/>
      <c r="O134" s="60"/>
      <c r="P134" s="64"/>
      <c r="Q134" s="60"/>
      <c r="R134" s="64"/>
      <c r="S134" s="60"/>
      <c r="T134" s="64"/>
      <c r="U134" s="60"/>
      <c r="V134" s="64"/>
      <c r="W134" s="60"/>
      <c r="X134" s="64"/>
      <c r="Y134" s="60"/>
      <c r="Z134" s="64"/>
      <c r="AA134" s="60"/>
      <c r="AB134" s="64"/>
      <c r="AC134" s="60"/>
      <c r="AD134" s="64"/>
      <c r="AE134" s="60"/>
      <c r="AF134" s="64"/>
    </row>
    <row r="135" spans="1:32" x14ac:dyDescent="0.25">
      <c r="A135" s="60"/>
      <c r="B135" s="64"/>
      <c r="C135" s="60"/>
      <c r="D135" s="64"/>
      <c r="E135" s="60"/>
      <c r="F135" s="64"/>
      <c r="G135" s="60"/>
      <c r="H135" s="64"/>
      <c r="I135" s="60"/>
      <c r="J135" s="64"/>
      <c r="K135" s="60"/>
      <c r="L135" s="64"/>
      <c r="M135" s="60"/>
      <c r="N135" s="64"/>
      <c r="O135" s="60"/>
      <c r="P135" s="64"/>
      <c r="Q135" s="60"/>
      <c r="R135" s="64"/>
      <c r="S135" s="60"/>
      <c r="T135" s="64"/>
      <c r="U135" s="60"/>
      <c r="V135" s="64"/>
      <c r="W135" s="60"/>
      <c r="X135" s="64"/>
      <c r="Y135" s="60"/>
      <c r="Z135" s="64"/>
      <c r="AA135" s="60"/>
      <c r="AB135" s="64"/>
      <c r="AC135" s="60"/>
      <c r="AD135" s="64"/>
      <c r="AE135" s="60"/>
      <c r="AF135" s="64"/>
    </row>
    <row r="136" spans="1:32" x14ac:dyDescent="0.25">
      <c r="A136" s="60"/>
      <c r="B136" s="64"/>
      <c r="C136" s="60"/>
      <c r="D136" s="64"/>
      <c r="E136" s="60"/>
      <c r="F136" s="64"/>
      <c r="G136" s="60"/>
      <c r="H136" s="64"/>
      <c r="I136" s="60"/>
      <c r="J136" s="64"/>
      <c r="K136" s="60"/>
      <c r="L136" s="64"/>
      <c r="M136" s="60"/>
      <c r="N136" s="64"/>
      <c r="O136" s="60"/>
      <c r="P136" s="64"/>
      <c r="Q136" s="60"/>
      <c r="R136" s="64"/>
      <c r="S136" s="60"/>
      <c r="T136" s="64"/>
      <c r="U136" s="60"/>
      <c r="V136" s="64"/>
      <c r="W136" s="60"/>
      <c r="X136" s="64"/>
      <c r="Y136" s="60"/>
      <c r="Z136" s="64"/>
      <c r="AA136" s="60"/>
      <c r="AB136" s="64"/>
      <c r="AC136" s="60"/>
      <c r="AD136" s="64"/>
      <c r="AE136" s="60"/>
      <c r="AF136" s="64"/>
    </row>
    <row r="137" spans="1:32" x14ac:dyDescent="0.25">
      <c r="A137" s="60"/>
      <c r="B137" s="64"/>
      <c r="C137" s="60"/>
      <c r="D137" s="64"/>
      <c r="E137" s="60"/>
      <c r="F137" s="64"/>
      <c r="G137" s="60"/>
      <c r="H137" s="64"/>
      <c r="I137" s="60"/>
      <c r="J137" s="64"/>
      <c r="K137" s="60"/>
      <c r="L137" s="64"/>
      <c r="M137" s="60"/>
      <c r="N137" s="64"/>
      <c r="O137" s="60"/>
      <c r="P137" s="64"/>
      <c r="Q137" s="60"/>
      <c r="R137" s="64"/>
      <c r="S137" s="60"/>
      <c r="T137" s="64"/>
      <c r="U137" s="60"/>
      <c r="V137" s="64"/>
      <c r="W137" s="60"/>
      <c r="X137" s="64"/>
      <c r="Y137" s="60"/>
      <c r="Z137" s="64"/>
      <c r="AA137" s="60"/>
      <c r="AB137" s="64"/>
      <c r="AC137" s="60"/>
      <c r="AD137" s="64"/>
      <c r="AE137" s="60"/>
      <c r="AF137" s="64"/>
    </row>
    <row r="138" spans="1:32" x14ac:dyDescent="0.25">
      <c r="A138" s="60"/>
      <c r="B138" s="64"/>
      <c r="C138" s="60"/>
      <c r="D138" s="64"/>
      <c r="E138" s="60"/>
      <c r="F138" s="64"/>
      <c r="G138" s="60"/>
      <c r="H138" s="64"/>
      <c r="I138" s="60"/>
      <c r="J138" s="64"/>
      <c r="K138" s="60"/>
      <c r="L138" s="64"/>
      <c r="M138" s="60"/>
      <c r="N138" s="64"/>
      <c r="O138" s="60"/>
      <c r="P138" s="64"/>
      <c r="Q138" s="60"/>
      <c r="R138" s="64"/>
      <c r="S138" s="60"/>
      <c r="T138" s="64"/>
      <c r="U138" s="60"/>
      <c r="V138" s="64"/>
      <c r="W138" s="60"/>
      <c r="X138" s="64"/>
      <c r="Y138" s="60"/>
      <c r="Z138" s="64"/>
      <c r="AA138" s="60"/>
      <c r="AB138" s="64"/>
      <c r="AC138" s="60"/>
      <c r="AD138" s="64"/>
      <c r="AE138" s="60"/>
      <c r="AF138" s="64"/>
    </row>
    <row r="139" spans="1:32" x14ac:dyDescent="0.25">
      <c r="A139" s="60"/>
      <c r="B139" s="64"/>
      <c r="C139" s="60"/>
      <c r="D139" s="64"/>
      <c r="E139" s="60"/>
      <c r="F139" s="64"/>
      <c r="G139" s="60"/>
      <c r="H139" s="64"/>
      <c r="I139" s="60"/>
      <c r="J139" s="64"/>
      <c r="K139" s="60"/>
      <c r="L139" s="64"/>
      <c r="M139" s="60"/>
      <c r="N139" s="64"/>
      <c r="O139" s="60"/>
      <c r="P139" s="64"/>
      <c r="Q139" s="60"/>
      <c r="R139" s="64"/>
      <c r="S139" s="60"/>
      <c r="T139" s="64"/>
      <c r="U139" s="60"/>
      <c r="V139" s="64"/>
      <c r="W139" s="60"/>
      <c r="X139" s="64"/>
      <c r="Y139" s="60"/>
      <c r="Z139" s="64"/>
      <c r="AA139" s="60"/>
      <c r="AB139" s="64"/>
      <c r="AC139" s="60"/>
      <c r="AD139" s="64"/>
      <c r="AE139" s="60"/>
      <c r="AF139" s="64"/>
    </row>
    <row r="140" spans="1:32" x14ac:dyDescent="0.25">
      <c r="A140" s="60"/>
      <c r="B140" s="64"/>
      <c r="C140" s="60"/>
      <c r="D140" s="64"/>
      <c r="E140" s="60"/>
      <c r="F140" s="64"/>
      <c r="G140" s="60"/>
      <c r="H140" s="64"/>
      <c r="I140" s="60"/>
      <c r="J140" s="64"/>
      <c r="K140" s="60"/>
      <c r="L140" s="64"/>
      <c r="M140" s="60"/>
      <c r="N140" s="64"/>
      <c r="O140" s="60"/>
      <c r="P140" s="64"/>
      <c r="Q140" s="60"/>
      <c r="R140" s="64"/>
      <c r="S140" s="60"/>
      <c r="T140" s="64"/>
      <c r="U140" s="60"/>
      <c r="V140" s="64"/>
      <c r="W140" s="60"/>
      <c r="X140" s="64"/>
      <c r="Y140" s="60"/>
      <c r="Z140" s="64"/>
      <c r="AA140" s="60"/>
      <c r="AB140" s="64"/>
      <c r="AC140" s="60"/>
      <c r="AD140" s="64"/>
      <c r="AE140" s="60"/>
      <c r="AF140" s="64"/>
    </row>
    <row r="141" spans="1:32" x14ac:dyDescent="0.25">
      <c r="A141" s="60"/>
      <c r="B141" s="64"/>
      <c r="C141" s="60"/>
      <c r="D141" s="64"/>
      <c r="E141" s="60"/>
      <c r="F141" s="64"/>
      <c r="G141" s="60"/>
      <c r="H141" s="64"/>
      <c r="I141" s="60"/>
      <c r="J141" s="64"/>
      <c r="K141" s="60"/>
      <c r="L141" s="64"/>
      <c r="M141" s="60"/>
      <c r="N141" s="64"/>
      <c r="O141" s="60"/>
      <c r="P141" s="64"/>
      <c r="Q141" s="60"/>
      <c r="R141" s="64"/>
      <c r="S141" s="60"/>
      <c r="T141" s="64"/>
      <c r="U141" s="60"/>
      <c r="V141" s="64"/>
      <c r="W141" s="60"/>
      <c r="X141" s="64"/>
      <c r="Y141" s="60"/>
      <c r="Z141" s="64"/>
      <c r="AA141" s="60"/>
      <c r="AB141" s="64"/>
      <c r="AC141" s="60"/>
      <c r="AD141" s="64"/>
      <c r="AE141" s="60"/>
      <c r="AF141" s="64"/>
    </row>
    <row r="142" spans="1:32" x14ac:dyDescent="0.25">
      <c r="A142" s="60"/>
      <c r="B142" s="64"/>
      <c r="C142" s="60"/>
      <c r="D142" s="64"/>
      <c r="E142" s="60"/>
      <c r="F142" s="64"/>
      <c r="G142" s="60"/>
      <c r="H142" s="64"/>
      <c r="I142" s="60"/>
      <c r="J142" s="64"/>
      <c r="K142" s="60"/>
      <c r="L142" s="64"/>
      <c r="M142" s="60"/>
      <c r="N142" s="64"/>
      <c r="O142" s="60"/>
      <c r="P142" s="64"/>
      <c r="Q142" s="60"/>
      <c r="R142" s="64"/>
      <c r="S142" s="60"/>
      <c r="T142" s="64"/>
      <c r="U142" s="60"/>
      <c r="V142" s="64"/>
      <c r="W142" s="60"/>
      <c r="X142" s="64"/>
      <c r="Y142" s="60"/>
      <c r="Z142" s="64"/>
      <c r="AA142" s="60"/>
      <c r="AB142" s="64"/>
      <c r="AC142" s="60"/>
      <c r="AD142" s="64"/>
      <c r="AE142" s="60"/>
      <c r="AF142" s="64"/>
    </row>
    <row r="143" spans="1:32" x14ac:dyDescent="0.25">
      <c r="A143" s="60"/>
      <c r="B143" s="64"/>
      <c r="C143" s="60"/>
      <c r="D143" s="64"/>
      <c r="E143" s="60"/>
      <c r="F143" s="64"/>
      <c r="G143" s="60"/>
      <c r="H143" s="64"/>
      <c r="I143" s="60"/>
      <c r="J143" s="64"/>
      <c r="K143" s="60"/>
      <c r="L143" s="64"/>
      <c r="M143" s="60"/>
      <c r="N143" s="64"/>
      <c r="O143" s="60"/>
      <c r="P143" s="64"/>
      <c r="Q143" s="60"/>
      <c r="R143" s="64"/>
      <c r="S143" s="60"/>
      <c r="T143" s="64"/>
      <c r="U143" s="60"/>
      <c r="V143" s="64"/>
      <c r="W143" s="60"/>
      <c r="X143" s="64"/>
      <c r="Y143" s="60"/>
      <c r="Z143" s="64"/>
      <c r="AA143" s="60"/>
      <c r="AB143" s="64"/>
      <c r="AC143" s="60"/>
      <c r="AD143" s="64"/>
      <c r="AE143" s="60"/>
      <c r="AF143" s="64"/>
    </row>
    <row r="144" spans="1:32" x14ac:dyDescent="0.25">
      <c r="A144" s="60"/>
      <c r="B144" s="64"/>
      <c r="C144" s="60"/>
      <c r="D144" s="64"/>
      <c r="E144" s="60"/>
      <c r="F144" s="64"/>
      <c r="G144" s="60"/>
      <c r="H144" s="64"/>
      <c r="I144" s="60"/>
      <c r="J144" s="64"/>
      <c r="K144" s="60"/>
      <c r="L144" s="64"/>
      <c r="M144" s="60"/>
      <c r="N144" s="64"/>
      <c r="O144" s="60"/>
      <c r="P144" s="64"/>
      <c r="Q144" s="60"/>
      <c r="R144" s="64"/>
      <c r="S144" s="60"/>
      <c r="T144" s="64"/>
      <c r="U144" s="60"/>
      <c r="V144" s="64"/>
      <c r="W144" s="60"/>
      <c r="X144" s="64"/>
      <c r="Y144" s="60"/>
      <c r="Z144" s="64"/>
      <c r="AA144" s="60"/>
      <c r="AB144" s="64"/>
      <c r="AC144" s="60"/>
      <c r="AD144" s="64"/>
      <c r="AE144" s="60"/>
      <c r="AF144" s="64"/>
    </row>
    <row r="145" spans="1:32" x14ac:dyDescent="0.25">
      <c r="A145" s="60"/>
      <c r="B145" s="64"/>
      <c r="C145" s="60"/>
      <c r="D145" s="64"/>
      <c r="E145" s="60"/>
      <c r="F145" s="64"/>
      <c r="G145" s="60"/>
      <c r="H145" s="64"/>
      <c r="I145" s="60"/>
      <c r="J145" s="64"/>
      <c r="K145" s="60"/>
      <c r="L145" s="64"/>
      <c r="M145" s="60"/>
      <c r="N145" s="64"/>
      <c r="O145" s="60"/>
      <c r="P145" s="64"/>
      <c r="Q145" s="60"/>
      <c r="R145" s="64"/>
      <c r="S145" s="60"/>
      <c r="T145" s="64"/>
      <c r="U145" s="60"/>
      <c r="V145" s="64"/>
      <c r="W145" s="60"/>
      <c r="X145" s="64"/>
      <c r="Y145" s="60"/>
      <c r="Z145" s="64"/>
      <c r="AA145" s="60"/>
      <c r="AB145" s="64"/>
      <c r="AC145" s="60"/>
      <c r="AD145" s="64"/>
      <c r="AE145" s="60"/>
      <c r="AF145" s="64"/>
    </row>
    <row r="146" spans="1:32" x14ac:dyDescent="0.25">
      <c r="A146" s="60"/>
      <c r="B146" s="64"/>
      <c r="C146" s="60"/>
      <c r="D146" s="64"/>
      <c r="E146" s="60"/>
      <c r="F146" s="64"/>
      <c r="G146" s="60"/>
      <c r="H146" s="64"/>
      <c r="I146" s="60"/>
      <c r="J146" s="64"/>
      <c r="K146" s="60"/>
      <c r="L146" s="64"/>
      <c r="M146" s="60"/>
      <c r="N146" s="64"/>
      <c r="O146" s="60"/>
      <c r="P146" s="64"/>
      <c r="Q146" s="60"/>
      <c r="R146" s="64"/>
      <c r="S146" s="60"/>
      <c r="T146" s="64"/>
      <c r="U146" s="60"/>
      <c r="V146" s="64"/>
      <c r="W146" s="60"/>
      <c r="X146" s="64"/>
      <c r="Y146" s="60"/>
      <c r="Z146" s="64"/>
      <c r="AA146" s="60"/>
      <c r="AB146" s="64"/>
      <c r="AC146" s="60"/>
      <c r="AD146" s="64"/>
      <c r="AE146" s="60"/>
      <c r="AF146" s="64"/>
    </row>
    <row r="147" spans="1:32" x14ac:dyDescent="0.25">
      <c r="A147" s="60"/>
      <c r="B147" s="64"/>
      <c r="C147" s="60"/>
      <c r="D147" s="64"/>
      <c r="E147" s="60"/>
      <c r="F147" s="64"/>
      <c r="G147" s="60"/>
      <c r="H147" s="64"/>
      <c r="I147" s="60"/>
      <c r="J147" s="64"/>
      <c r="K147" s="60"/>
      <c r="L147" s="64"/>
      <c r="M147" s="60"/>
      <c r="N147" s="64"/>
      <c r="O147" s="60"/>
      <c r="P147" s="64"/>
      <c r="Q147" s="60"/>
      <c r="R147" s="64"/>
      <c r="S147" s="60"/>
      <c r="T147" s="64"/>
      <c r="U147" s="60"/>
      <c r="V147" s="64"/>
      <c r="W147" s="60"/>
      <c r="X147" s="64"/>
      <c r="Y147" s="60"/>
      <c r="Z147" s="64"/>
      <c r="AA147" s="60"/>
      <c r="AB147" s="64"/>
      <c r="AC147" s="60"/>
      <c r="AD147" s="64"/>
      <c r="AE147" s="60"/>
      <c r="AF147" s="64"/>
    </row>
    <row r="148" spans="1:32" x14ac:dyDescent="0.25">
      <c r="A148" s="60"/>
      <c r="B148" s="64"/>
      <c r="C148" s="60"/>
      <c r="D148" s="64"/>
      <c r="E148" s="60"/>
      <c r="F148" s="64"/>
      <c r="G148" s="60"/>
      <c r="H148" s="64"/>
      <c r="I148" s="60"/>
      <c r="J148" s="64"/>
      <c r="K148" s="60"/>
      <c r="L148" s="64"/>
      <c r="M148" s="60"/>
      <c r="N148" s="64"/>
      <c r="O148" s="60"/>
      <c r="P148" s="64"/>
      <c r="Q148" s="60"/>
      <c r="R148" s="64"/>
      <c r="S148" s="60"/>
      <c r="T148" s="64"/>
      <c r="U148" s="60"/>
      <c r="V148" s="64"/>
      <c r="W148" s="60"/>
      <c r="X148" s="64"/>
      <c r="Y148" s="60"/>
      <c r="Z148" s="64"/>
      <c r="AA148" s="60"/>
      <c r="AB148" s="64"/>
      <c r="AC148" s="60"/>
      <c r="AD148" s="64"/>
      <c r="AE148" s="60"/>
      <c r="AF148" s="64"/>
    </row>
    <row r="149" spans="1:32" x14ac:dyDescent="0.25">
      <c r="A149" s="60"/>
      <c r="B149" s="64"/>
      <c r="C149" s="60"/>
      <c r="D149" s="64"/>
      <c r="E149" s="60"/>
      <c r="F149" s="64"/>
      <c r="G149" s="60"/>
      <c r="H149" s="64"/>
      <c r="I149" s="60"/>
      <c r="J149" s="64"/>
      <c r="K149" s="60"/>
      <c r="L149" s="64"/>
      <c r="M149" s="60"/>
      <c r="N149" s="64"/>
      <c r="O149" s="60"/>
      <c r="P149" s="64"/>
      <c r="Q149" s="60"/>
      <c r="R149" s="64"/>
      <c r="S149" s="60"/>
      <c r="T149" s="64"/>
      <c r="U149" s="60"/>
      <c r="V149" s="64"/>
      <c r="W149" s="60"/>
      <c r="X149" s="64"/>
      <c r="Y149" s="60"/>
      <c r="Z149" s="64"/>
      <c r="AA149" s="60"/>
      <c r="AB149" s="64"/>
      <c r="AC149" s="60"/>
      <c r="AD149" s="64"/>
      <c r="AE149" s="60"/>
      <c r="AF149" s="64"/>
    </row>
    <row r="150" spans="1:32" x14ac:dyDescent="0.25">
      <c r="A150" s="60"/>
      <c r="B150" s="64"/>
      <c r="C150" s="60"/>
      <c r="D150" s="64"/>
      <c r="E150" s="60"/>
      <c r="F150" s="64"/>
      <c r="G150" s="60"/>
      <c r="H150" s="64"/>
      <c r="I150" s="60"/>
      <c r="J150" s="64"/>
      <c r="K150" s="60"/>
      <c r="L150" s="64"/>
      <c r="M150" s="60"/>
      <c r="N150" s="64"/>
      <c r="O150" s="60"/>
      <c r="P150" s="64"/>
      <c r="Q150" s="60"/>
      <c r="R150" s="64"/>
      <c r="S150" s="60"/>
      <c r="T150" s="64"/>
      <c r="U150" s="60"/>
      <c r="V150" s="64"/>
      <c r="W150" s="60"/>
      <c r="X150" s="64"/>
      <c r="Y150" s="60"/>
      <c r="Z150" s="64"/>
      <c r="AA150" s="60"/>
      <c r="AB150" s="64"/>
      <c r="AC150" s="60"/>
      <c r="AD150" s="64"/>
      <c r="AE150" s="60"/>
      <c r="AF150" s="64"/>
    </row>
    <row r="151" spans="1:32" x14ac:dyDescent="0.25">
      <c r="A151" s="60"/>
      <c r="B151" s="64"/>
      <c r="C151" s="60"/>
      <c r="D151" s="64"/>
      <c r="E151" s="60"/>
      <c r="F151" s="64"/>
      <c r="G151" s="60"/>
      <c r="H151" s="64"/>
      <c r="I151" s="60"/>
      <c r="J151" s="64"/>
      <c r="K151" s="60"/>
      <c r="L151" s="64"/>
      <c r="M151" s="60"/>
      <c r="N151" s="64"/>
      <c r="O151" s="60"/>
      <c r="P151" s="64"/>
      <c r="Q151" s="60"/>
      <c r="R151" s="64"/>
      <c r="S151" s="60"/>
      <c r="T151" s="64"/>
      <c r="U151" s="60"/>
      <c r="V151" s="64"/>
      <c r="W151" s="60"/>
      <c r="X151" s="64"/>
      <c r="Y151" s="60"/>
      <c r="Z151" s="64"/>
      <c r="AA151" s="60"/>
      <c r="AB151" s="64"/>
      <c r="AC151" s="60"/>
      <c r="AD151" s="64"/>
      <c r="AE151" s="60"/>
      <c r="AF151" s="64"/>
    </row>
    <row r="152" spans="1:32" x14ac:dyDescent="0.25">
      <c r="A152" s="60"/>
      <c r="B152" s="64"/>
      <c r="C152" s="60"/>
      <c r="D152" s="64"/>
      <c r="E152" s="60"/>
      <c r="F152" s="64"/>
      <c r="G152" s="60"/>
      <c r="H152" s="64"/>
      <c r="I152" s="60"/>
      <c r="J152" s="64"/>
      <c r="K152" s="60"/>
      <c r="L152" s="64"/>
      <c r="M152" s="60"/>
      <c r="N152" s="64"/>
      <c r="O152" s="60"/>
      <c r="P152" s="64"/>
      <c r="Q152" s="60"/>
      <c r="R152" s="64"/>
      <c r="S152" s="60"/>
      <c r="T152" s="64"/>
      <c r="U152" s="60"/>
      <c r="V152" s="64"/>
      <c r="W152" s="60"/>
      <c r="X152" s="64"/>
      <c r="Y152" s="60"/>
      <c r="Z152" s="64"/>
      <c r="AA152" s="60"/>
      <c r="AB152" s="64"/>
      <c r="AC152" s="60"/>
      <c r="AD152" s="64"/>
      <c r="AE152" s="60"/>
      <c r="AF152" s="64"/>
    </row>
    <row r="153" spans="1:32" x14ac:dyDescent="0.25">
      <c r="A153" s="60"/>
      <c r="B153" s="64"/>
      <c r="C153" s="60"/>
      <c r="D153" s="64"/>
      <c r="E153" s="60"/>
      <c r="F153" s="64"/>
      <c r="G153" s="60"/>
      <c r="H153" s="64"/>
      <c r="I153" s="60"/>
      <c r="J153" s="64"/>
      <c r="K153" s="60"/>
      <c r="L153" s="64"/>
      <c r="M153" s="60"/>
      <c r="N153" s="64"/>
      <c r="O153" s="60"/>
      <c r="P153" s="64"/>
      <c r="Q153" s="60"/>
      <c r="R153" s="64"/>
      <c r="S153" s="60"/>
      <c r="T153" s="64"/>
      <c r="U153" s="60"/>
      <c r="V153" s="64"/>
      <c r="W153" s="60"/>
      <c r="X153" s="64"/>
      <c r="Y153" s="60"/>
      <c r="Z153" s="64"/>
      <c r="AA153" s="60"/>
      <c r="AB153" s="64"/>
      <c r="AC153" s="60"/>
      <c r="AD153" s="64"/>
      <c r="AE153" s="60"/>
      <c r="AF153" s="64"/>
    </row>
    <row r="154" spans="1:32" x14ac:dyDescent="0.25">
      <c r="A154" s="60"/>
      <c r="B154" s="64"/>
      <c r="C154" s="60"/>
      <c r="D154" s="64"/>
      <c r="E154" s="60"/>
      <c r="F154" s="64"/>
      <c r="G154" s="60"/>
      <c r="H154" s="64"/>
      <c r="I154" s="60"/>
      <c r="J154" s="64"/>
      <c r="K154" s="60"/>
      <c r="L154" s="64"/>
      <c r="M154" s="60"/>
      <c r="N154" s="64"/>
      <c r="O154" s="60"/>
      <c r="P154" s="64"/>
      <c r="Q154" s="60"/>
      <c r="R154" s="64"/>
      <c r="S154" s="60"/>
      <c r="T154" s="64"/>
      <c r="U154" s="60"/>
      <c r="V154" s="64"/>
      <c r="W154" s="60"/>
      <c r="X154" s="64"/>
      <c r="Y154" s="60"/>
      <c r="Z154" s="64"/>
      <c r="AA154" s="60"/>
      <c r="AB154" s="64"/>
      <c r="AC154" s="60"/>
      <c r="AD154" s="64"/>
      <c r="AE154" s="60"/>
      <c r="AF154" s="64"/>
    </row>
    <row r="155" spans="1:32" x14ac:dyDescent="0.25">
      <c r="A155" s="60"/>
      <c r="B155" s="64"/>
      <c r="C155" s="60"/>
      <c r="D155" s="64"/>
      <c r="E155" s="60"/>
      <c r="F155" s="64"/>
      <c r="G155" s="60"/>
      <c r="H155" s="64"/>
      <c r="I155" s="60"/>
      <c r="J155" s="64"/>
      <c r="K155" s="60"/>
      <c r="L155" s="64"/>
      <c r="M155" s="60"/>
      <c r="N155" s="64"/>
      <c r="O155" s="60"/>
      <c r="P155" s="64"/>
      <c r="Q155" s="60"/>
      <c r="R155" s="64"/>
      <c r="S155" s="60"/>
      <c r="T155" s="64"/>
      <c r="U155" s="60"/>
      <c r="V155" s="64"/>
      <c r="W155" s="60"/>
      <c r="X155" s="64"/>
      <c r="Y155" s="60"/>
      <c r="Z155" s="64"/>
      <c r="AA155" s="60"/>
      <c r="AB155" s="64"/>
      <c r="AC155" s="60"/>
      <c r="AD155" s="64"/>
      <c r="AE155" s="60"/>
      <c r="AF155" s="64"/>
    </row>
    <row r="156" spans="1:32" x14ac:dyDescent="0.25">
      <c r="A156" s="60"/>
      <c r="B156" s="64"/>
      <c r="C156" s="60"/>
      <c r="D156" s="64"/>
      <c r="E156" s="60"/>
      <c r="F156" s="64"/>
      <c r="G156" s="60"/>
      <c r="H156" s="64"/>
      <c r="I156" s="60"/>
      <c r="J156" s="64"/>
      <c r="K156" s="60"/>
      <c r="L156" s="64"/>
      <c r="M156" s="60"/>
      <c r="N156" s="64"/>
      <c r="O156" s="60"/>
      <c r="P156" s="64"/>
      <c r="Q156" s="60"/>
      <c r="R156" s="64"/>
      <c r="S156" s="60"/>
      <c r="T156" s="64"/>
      <c r="U156" s="60"/>
      <c r="V156" s="64"/>
      <c r="W156" s="60"/>
      <c r="X156" s="64"/>
      <c r="Y156" s="60"/>
      <c r="Z156" s="64"/>
      <c r="AA156" s="60"/>
      <c r="AB156" s="64"/>
      <c r="AC156" s="60"/>
      <c r="AD156" s="64"/>
      <c r="AE156" s="60"/>
      <c r="AF156" s="64"/>
    </row>
    <row r="157" spans="1:32" x14ac:dyDescent="0.25">
      <c r="A157" s="60"/>
      <c r="B157" s="64"/>
      <c r="C157" s="60"/>
      <c r="D157" s="64"/>
      <c r="E157" s="60"/>
      <c r="F157" s="64"/>
      <c r="G157" s="60"/>
      <c r="H157" s="64"/>
      <c r="I157" s="60"/>
      <c r="J157" s="64"/>
      <c r="K157" s="60"/>
      <c r="L157" s="64"/>
      <c r="M157" s="60"/>
      <c r="N157" s="64"/>
      <c r="O157" s="60"/>
      <c r="P157" s="64"/>
      <c r="Q157" s="60"/>
      <c r="R157" s="64"/>
      <c r="S157" s="60"/>
      <c r="T157" s="64"/>
      <c r="U157" s="60"/>
      <c r="V157" s="64"/>
      <c r="W157" s="60"/>
      <c r="X157" s="64"/>
      <c r="Y157" s="60"/>
      <c r="Z157" s="64"/>
      <c r="AA157" s="60"/>
      <c r="AB157" s="64"/>
      <c r="AC157" s="60"/>
      <c r="AD157" s="64"/>
      <c r="AE157" s="60"/>
      <c r="AF157" s="64"/>
    </row>
    <row r="158" spans="1:32" x14ac:dyDescent="0.25">
      <c r="A158" s="60"/>
      <c r="B158" s="64"/>
      <c r="C158" s="60"/>
      <c r="D158" s="64"/>
      <c r="E158" s="60"/>
      <c r="F158" s="64"/>
      <c r="G158" s="60"/>
      <c r="H158" s="64"/>
      <c r="I158" s="60"/>
      <c r="J158" s="64"/>
      <c r="K158" s="60"/>
      <c r="L158" s="64"/>
      <c r="M158" s="60"/>
      <c r="N158" s="64"/>
      <c r="O158" s="60"/>
      <c r="P158" s="64"/>
      <c r="Q158" s="60"/>
      <c r="R158" s="64"/>
      <c r="S158" s="60"/>
      <c r="T158" s="64"/>
      <c r="U158" s="60"/>
      <c r="V158" s="64"/>
      <c r="W158" s="60"/>
      <c r="X158" s="64"/>
      <c r="Y158" s="60"/>
      <c r="Z158" s="64"/>
      <c r="AA158" s="60"/>
      <c r="AB158" s="64"/>
      <c r="AC158" s="60"/>
      <c r="AD158" s="64"/>
      <c r="AE158" s="60"/>
      <c r="AF158" s="64"/>
    </row>
    <row r="159" spans="1:32" x14ac:dyDescent="0.25">
      <c r="A159" s="60"/>
      <c r="B159" s="64"/>
      <c r="C159" s="60"/>
      <c r="D159" s="64"/>
      <c r="E159" s="60"/>
      <c r="F159" s="64"/>
      <c r="G159" s="60"/>
      <c r="H159" s="64"/>
      <c r="I159" s="60"/>
      <c r="J159" s="64"/>
      <c r="K159" s="60"/>
      <c r="L159" s="64"/>
      <c r="M159" s="60"/>
      <c r="N159" s="64"/>
      <c r="O159" s="60"/>
      <c r="P159" s="64"/>
      <c r="Q159" s="60"/>
      <c r="R159" s="64"/>
      <c r="S159" s="60"/>
      <c r="T159" s="64"/>
      <c r="U159" s="60"/>
      <c r="V159" s="64"/>
      <c r="W159" s="60"/>
      <c r="X159" s="64"/>
      <c r="Y159" s="60"/>
      <c r="Z159" s="64"/>
      <c r="AA159" s="60"/>
      <c r="AB159" s="64"/>
      <c r="AC159" s="60"/>
      <c r="AD159" s="64"/>
      <c r="AE159" s="60"/>
      <c r="AF159" s="64"/>
    </row>
    <row r="160" spans="1:32" x14ac:dyDescent="0.25">
      <c r="A160" s="60"/>
      <c r="B160" s="64"/>
      <c r="C160" s="60"/>
      <c r="D160" s="64"/>
      <c r="E160" s="60"/>
      <c r="F160" s="64"/>
      <c r="G160" s="60"/>
      <c r="H160" s="64"/>
      <c r="I160" s="60"/>
      <c r="J160" s="64"/>
      <c r="K160" s="60"/>
      <c r="L160" s="64"/>
      <c r="M160" s="60"/>
      <c r="N160" s="64"/>
      <c r="O160" s="60"/>
      <c r="P160" s="64"/>
      <c r="Q160" s="60"/>
      <c r="R160" s="64"/>
      <c r="S160" s="60"/>
      <c r="T160" s="64"/>
      <c r="U160" s="60"/>
      <c r="V160" s="64"/>
      <c r="W160" s="60"/>
      <c r="X160" s="64"/>
      <c r="Y160" s="60"/>
      <c r="Z160" s="64"/>
      <c r="AA160" s="60"/>
      <c r="AB160" s="64"/>
      <c r="AC160" s="60"/>
      <c r="AD160" s="64"/>
      <c r="AE160" s="60"/>
      <c r="AF160" s="64"/>
    </row>
    <row r="161" spans="1:32" x14ac:dyDescent="0.25">
      <c r="A161" s="60"/>
      <c r="B161" s="64"/>
      <c r="C161" s="60"/>
      <c r="D161" s="64"/>
      <c r="E161" s="60"/>
      <c r="F161" s="64"/>
      <c r="G161" s="60"/>
      <c r="H161" s="64"/>
      <c r="I161" s="60"/>
      <c r="J161" s="64"/>
      <c r="K161" s="60"/>
      <c r="L161" s="64"/>
      <c r="M161" s="60"/>
      <c r="N161" s="64"/>
      <c r="O161" s="60"/>
      <c r="P161" s="64"/>
      <c r="Q161" s="60"/>
      <c r="R161" s="64"/>
      <c r="S161" s="60"/>
      <c r="T161" s="64"/>
      <c r="U161" s="60"/>
      <c r="V161" s="64"/>
      <c r="W161" s="60"/>
      <c r="X161" s="64"/>
      <c r="Y161" s="60"/>
      <c r="Z161" s="64"/>
      <c r="AA161" s="60"/>
      <c r="AB161" s="64"/>
      <c r="AC161" s="60"/>
      <c r="AD161" s="64"/>
      <c r="AE161" s="60"/>
      <c r="AF161" s="64"/>
    </row>
    <row r="162" spans="1:32" x14ac:dyDescent="0.25">
      <c r="A162" s="60"/>
      <c r="B162" s="64"/>
      <c r="C162" s="60"/>
      <c r="D162" s="64"/>
      <c r="E162" s="60"/>
      <c r="F162" s="64"/>
      <c r="G162" s="60"/>
      <c r="H162" s="64"/>
      <c r="I162" s="60"/>
      <c r="J162" s="64"/>
      <c r="K162" s="60"/>
      <c r="L162" s="64"/>
      <c r="M162" s="60"/>
      <c r="N162" s="64"/>
      <c r="O162" s="60"/>
      <c r="P162" s="64"/>
      <c r="Q162" s="60"/>
      <c r="R162" s="64"/>
      <c r="S162" s="60"/>
      <c r="T162" s="64"/>
      <c r="U162" s="60"/>
      <c r="V162" s="64"/>
      <c r="W162" s="60"/>
      <c r="X162" s="64"/>
      <c r="Y162" s="60"/>
      <c r="Z162" s="64"/>
      <c r="AA162" s="60"/>
      <c r="AB162" s="64"/>
      <c r="AC162" s="60"/>
      <c r="AD162" s="64"/>
      <c r="AE162" s="60"/>
      <c r="AF162" s="64"/>
    </row>
    <row r="163" spans="1:32" x14ac:dyDescent="0.25">
      <c r="A163" s="60"/>
      <c r="B163" s="64"/>
      <c r="C163" s="60"/>
      <c r="D163" s="64"/>
      <c r="E163" s="60"/>
      <c r="F163" s="64"/>
      <c r="G163" s="60"/>
      <c r="H163" s="64"/>
      <c r="I163" s="60"/>
      <c r="J163" s="64"/>
      <c r="K163" s="60"/>
      <c r="L163" s="64"/>
      <c r="M163" s="60"/>
      <c r="N163" s="64"/>
      <c r="O163" s="60"/>
      <c r="P163" s="64"/>
      <c r="Q163" s="60"/>
      <c r="R163" s="64"/>
      <c r="S163" s="60"/>
      <c r="T163" s="64"/>
      <c r="U163" s="60"/>
      <c r="V163" s="64"/>
      <c r="W163" s="60"/>
      <c r="X163" s="64"/>
      <c r="Y163" s="60"/>
      <c r="Z163" s="64"/>
      <c r="AA163" s="60"/>
      <c r="AB163" s="64"/>
      <c r="AC163" s="60"/>
      <c r="AD163" s="64"/>
      <c r="AE163" s="60"/>
      <c r="AF163" s="64"/>
    </row>
    <row r="164" spans="1:32" x14ac:dyDescent="0.25">
      <c r="A164" s="60"/>
      <c r="B164" s="64"/>
      <c r="C164" s="60"/>
      <c r="D164" s="64"/>
      <c r="E164" s="60"/>
      <c r="F164" s="64"/>
      <c r="G164" s="60"/>
      <c r="H164" s="64"/>
      <c r="I164" s="60"/>
      <c r="J164" s="64"/>
      <c r="K164" s="60"/>
      <c r="L164" s="64"/>
      <c r="M164" s="60"/>
      <c r="N164" s="64"/>
      <c r="O164" s="60"/>
      <c r="P164" s="64"/>
      <c r="Q164" s="60"/>
      <c r="R164" s="64"/>
      <c r="S164" s="60"/>
      <c r="T164" s="64"/>
      <c r="U164" s="60"/>
      <c r="V164" s="64"/>
      <c r="W164" s="60"/>
      <c r="X164" s="64"/>
      <c r="Y164" s="60"/>
      <c r="Z164" s="64"/>
      <c r="AA164" s="60"/>
      <c r="AB164" s="64"/>
      <c r="AC164" s="60"/>
      <c r="AD164" s="64"/>
      <c r="AE164" s="60"/>
      <c r="AF164" s="64"/>
    </row>
    <row r="165" spans="1:32" x14ac:dyDescent="0.25">
      <c r="A165" s="60"/>
      <c r="B165" s="64"/>
      <c r="C165" s="60"/>
      <c r="D165" s="64"/>
      <c r="E165" s="60"/>
      <c r="F165" s="64"/>
      <c r="G165" s="60"/>
      <c r="H165" s="64"/>
      <c r="I165" s="60"/>
      <c r="J165" s="64"/>
      <c r="K165" s="60"/>
      <c r="L165" s="64"/>
      <c r="M165" s="60"/>
      <c r="N165" s="64"/>
      <c r="O165" s="60"/>
      <c r="P165" s="64"/>
      <c r="Q165" s="60"/>
      <c r="R165" s="64"/>
      <c r="S165" s="60"/>
      <c r="T165" s="64"/>
      <c r="U165" s="60"/>
      <c r="V165" s="64"/>
      <c r="W165" s="60"/>
      <c r="X165" s="64"/>
      <c r="Y165" s="60"/>
      <c r="Z165" s="64"/>
      <c r="AA165" s="60"/>
      <c r="AB165" s="64"/>
      <c r="AC165" s="60"/>
      <c r="AD165" s="64"/>
      <c r="AE165" s="60"/>
      <c r="AF165" s="64"/>
    </row>
    <row r="166" spans="1:32" x14ac:dyDescent="0.25">
      <c r="A166" s="60"/>
      <c r="B166" s="64"/>
      <c r="C166" s="60"/>
      <c r="D166" s="64"/>
      <c r="E166" s="60"/>
      <c r="F166" s="64"/>
      <c r="G166" s="60"/>
      <c r="H166" s="64"/>
      <c r="I166" s="60"/>
      <c r="J166" s="64"/>
      <c r="K166" s="60"/>
      <c r="L166" s="64"/>
      <c r="M166" s="60"/>
      <c r="N166" s="64"/>
      <c r="O166" s="60"/>
      <c r="P166" s="64"/>
      <c r="Q166" s="60"/>
      <c r="R166" s="64"/>
      <c r="S166" s="60"/>
      <c r="T166" s="64"/>
      <c r="U166" s="60"/>
      <c r="V166" s="64"/>
      <c r="W166" s="60"/>
      <c r="X166" s="64"/>
      <c r="Y166" s="60"/>
      <c r="Z166" s="64"/>
      <c r="AA166" s="60"/>
      <c r="AB166" s="64"/>
      <c r="AC166" s="60"/>
      <c r="AD166" s="64"/>
      <c r="AE166" s="60"/>
      <c r="AF166" s="64"/>
    </row>
    <row r="167" spans="1:32" x14ac:dyDescent="0.25">
      <c r="A167" s="60"/>
      <c r="B167" s="64"/>
      <c r="C167" s="60"/>
      <c r="D167" s="64"/>
      <c r="E167" s="60"/>
      <c r="F167" s="64"/>
      <c r="G167" s="60"/>
      <c r="H167" s="64"/>
      <c r="I167" s="60"/>
      <c r="J167" s="64"/>
      <c r="K167" s="60"/>
      <c r="L167" s="64"/>
      <c r="M167" s="60"/>
      <c r="N167" s="64"/>
      <c r="O167" s="60"/>
      <c r="P167" s="64"/>
      <c r="Q167" s="60"/>
      <c r="R167" s="64"/>
      <c r="S167" s="60"/>
      <c r="T167" s="64"/>
      <c r="U167" s="60"/>
      <c r="V167" s="64"/>
      <c r="W167" s="60"/>
      <c r="X167" s="64"/>
      <c r="Y167" s="60"/>
      <c r="Z167" s="64"/>
      <c r="AA167" s="60"/>
      <c r="AB167" s="64"/>
      <c r="AC167" s="60"/>
      <c r="AD167" s="64"/>
      <c r="AE167" s="60"/>
      <c r="AF167" s="64"/>
    </row>
    <row r="168" spans="1:32" x14ac:dyDescent="0.25">
      <c r="A168" s="60"/>
      <c r="B168" s="64"/>
      <c r="C168" s="60"/>
      <c r="D168" s="64"/>
      <c r="E168" s="60"/>
      <c r="F168" s="64"/>
      <c r="G168" s="60"/>
      <c r="H168" s="64"/>
      <c r="I168" s="60"/>
      <c r="J168" s="64"/>
      <c r="K168" s="60"/>
      <c r="L168" s="64"/>
      <c r="M168" s="60"/>
      <c r="N168" s="64"/>
      <c r="O168" s="60"/>
      <c r="P168" s="64"/>
      <c r="Q168" s="60"/>
      <c r="R168" s="64"/>
      <c r="S168" s="60"/>
      <c r="T168" s="64"/>
      <c r="U168" s="60"/>
      <c r="V168" s="64"/>
      <c r="W168" s="60"/>
      <c r="X168" s="64"/>
      <c r="Y168" s="60"/>
      <c r="Z168" s="64"/>
      <c r="AA168" s="60"/>
      <c r="AB168" s="64"/>
      <c r="AC168" s="60"/>
      <c r="AD168" s="64"/>
      <c r="AE168" s="60"/>
      <c r="AF168" s="64"/>
    </row>
    <row r="169" spans="1:32" x14ac:dyDescent="0.25">
      <c r="A169" s="60"/>
      <c r="B169" s="64"/>
      <c r="C169" s="60"/>
      <c r="D169" s="64"/>
      <c r="E169" s="60"/>
      <c r="F169" s="64"/>
      <c r="G169" s="60"/>
      <c r="H169" s="64"/>
      <c r="I169" s="60"/>
      <c r="J169" s="64"/>
      <c r="K169" s="60"/>
      <c r="L169" s="64"/>
      <c r="M169" s="60"/>
      <c r="N169" s="64"/>
      <c r="O169" s="60"/>
      <c r="P169" s="64"/>
      <c r="Q169" s="60"/>
      <c r="R169" s="64"/>
      <c r="S169" s="60"/>
      <c r="T169" s="64"/>
      <c r="U169" s="60"/>
      <c r="V169" s="64"/>
      <c r="W169" s="60"/>
      <c r="X169" s="64"/>
      <c r="Y169" s="60"/>
      <c r="Z169" s="64"/>
      <c r="AA169" s="60"/>
      <c r="AB169" s="64"/>
      <c r="AC169" s="60"/>
      <c r="AD169" s="64"/>
      <c r="AE169" s="60"/>
      <c r="AF169" s="64"/>
    </row>
    <row r="170" spans="1:32" x14ac:dyDescent="0.25">
      <c r="A170" s="60"/>
      <c r="B170" s="64"/>
      <c r="C170" s="60"/>
      <c r="D170" s="64"/>
      <c r="E170" s="60"/>
      <c r="F170" s="64"/>
      <c r="G170" s="60"/>
      <c r="H170" s="64"/>
      <c r="I170" s="60"/>
      <c r="J170" s="64"/>
      <c r="K170" s="60"/>
      <c r="L170" s="64"/>
      <c r="M170" s="60"/>
      <c r="N170" s="64"/>
      <c r="O170" s="60"/>
      <c r="P170" s="64"/>
      <c r="Q170" s="60"/>
      <c r="R170" s="64"/>
      <c r="S170" s="60"/>
      <c r="T170" s="64"/>
      <c r="U170" s="60"/>
      <c r="V170" s="64"/>
      <c r="W170" s="60"/>
      <c r="X170" s="64"/>
      <c r="Y170" s="60"/>
      <c r="Z170" s="64"/>
      <c r="AA170" s="60"/>
      <c r="AB170" s="64"/>
      <c r="AC170" s="60"/>
      <c r="AD170" s="64"/>
      <c r="AE170" s="60"/>
      <c r="AF170" s="64"/>
    </row>
    <row r="171" spans="1:32" x14ac:dyDescent="0.25">
      <c r="A171" s="60"/>
      <c r="B171" s="64"/>
      <c r="C171" s="60"/>
      <c r="D171" s="64"/>
      <c r="E171" s="60"/>
      <c r="F171" s="64"/>
      <c r="G171" s="60"/>
      <c r="H171" s="64"/>
      <c r="I171" s="60"/>
      <c r="J171" s="64"/>
      <c r="K171" s="60"/>
      <c r="L171" s="64"/>
      <c r="M171" s="60"/>
      <c r="N171" s="64"/>
      <c r="O171" s="60"/>
      <c r="P171" s="64"/>
      <c r="Q171" s="60"/>
      <c r="R171" s="64"/>
      <c r="S171" s="60"/>
      <c r="T171" s="64"/>
      <c r="U171" s="60"/>
      <c r="V171" s="64"/>
      <c r="W171" s="60"/>
      <c r="X171" s="64"/>
      <c r="Y171" s="60"/>
      <c r="Z171" s="64"/>
      <c r="AA171" s="60"/>
      <c r="AB171" s="64"/>
      <c r="AC171" s="60"/>
      <c r="AD171" s="64"/>
      <c r="AE171" s="60"/>
      <c r="AF171" s="64"/>
    </row>
    <row r="172" spans="1:32" x14ac:dyDescent="0.25">
      <c r="A172" s="60"/>
      <c r="B172" s="64"/>
      <c r="C172" s="60"/>
      <c r="D172" s="64"/>
      <c r="E172" s="60"/>
      <c r="F172" s="64"/>
      <c r="G172" s="60"/>
      <c r="H172" s="64"/>
      <c r="I172" s="60"/>
      <c r="J172" s="64"/>
      <c r="K172" s="60"/>
      <c r="L172" s="64"/>
      <c r="M172" s="60"/>
      <c r="N172" s="64"/>
      <c r="O172" s="60"/>
      <c r="P172" s="64"/>
      <c r="Q172" s="60"/>
      <c r="R172" s="64"/>
      <c r="S172" s="60"/>
      <c r="T172" s="64"/>
      <c r="U172" s="60"/>
      <c r="V172" s="64"/>
      <c r="W172" s="60"/>
      <c r="X172" s="64"/>
      <c r="Y172" s="60"/>
      <c r="Z172" s="64"/>
      <c r="AA172" s="60"/>
      <c r="AB172" s="64"/>
      <c r="AC172" s="60"/>
      <c r="AD172" s="64"/>
      <c r="AE172" s="60"/>
      <c r="AF172" s="64"/>
    </row>
    <row r="173" spans="1:32" x14ac:dyDescent="0.25">
      <c r="A173" s="60"/>
      <c r="B173" s="64"/>
      <c r="C173" s="60"/>
      <c r="D173" s="64"/>
      <c r="E173" s="60"/>
      <c r="F173" s="64"/>
      <c r="G173" s="60"/>
      <c r="H173" s="64"/>
      <c r="I173" s="60"/>
      <c r="J173" s="64"/>
      <c r="K173" s="60"/>
      <c r="L173" s="64"/>
      <c r="M173" s="60"/>
      <c r="N173" s="64"/>
      <c r="O173" s="60"/>
      <c r="P173" s="64"/>
      <c r="Q173" s="60"/>
      <c r="R173" s="64"/>
      <c r="S173" s="60"/>
      <c r="T173" s="64"/>
      <c r="U173" s="60"/>
      <c r="V173" s="64"/>
      <c r="W173" s="60"/>
      <c r="X173" s="64"/>
      <c r="Y173" s="60"/>
      <c r="Z173" s="64"/>
      <c r="AA173" s="60"/>
      <c r="AB173" s="64"/>
      <c r="AC173" s="60"/>
      <c r="AD173" s="64"/>
      <c r="AE173" s="60"/>
      <c r="AF173" s="64"/>
    </row>
    <row r="174" spans="1:32" x14ac:dyDescent="0.25">
      <c r="A174" s="60"/>
      <c r="B174" s="64"/>
      <c r="C174" s="60"/>
      <c r="D174" s="64"/>
      <c r="E174" s="60"/>
      <c r="F174" s="64"/>
      <c r="G174" s="60"/>
      <c r="H174" s="64"/>
      <c r="I174" s="60"/>
      <c r="J174" s="64"/>
      <c r="K174" s="60"/>
      <c r="L174" s="64"/>
      <c r="M174" s="60"/>
      <c r="N174" s="64"/>
      <c r="O174" s="60"/>
      <c r="P174" s="64"/>
      <c r="Q174" s="60"/>
      <c r="R174" s="64"/>
      <c r="S174" s="60"/>
      <c r="T174" s="64"/>
      <c r="U174" s="60"/>
      <c r="V174" s="64"/>
      <c r="W174" s="60"/>
      <c r="X174" s="64"/>
      <c r="Y174" s="60"/>
      <c r="Z174" s="64"/>
      <c r="AA174" s="60"/>
      <c r="AB174" s="64"/>
      <c r="AC174" s="60"/>
      <c r="AD174" s="64"/>
      <c r="AE174" s="60"/>
      <c r="AF174" s="64"/>
    </row>
    <row r="175" spans="1:32" x14ac:dyDescent="0.25">
      <c r="A175" s="60"/>
      <c r="B175" s="64"/>
      <c r="C175" s="60"/>
      <c r="D175" s="64"/>
      <c r="E175" s="60"/>
      <c r="F175" s="64"/>
      <c r="G175" s="60"/>
      <c r="H175" s="64"/>
      <c r="I175" s="60"/>
      <c r="J175" s="64"/>
      <c r="K175" s="60"/>
      <c r="L175" s="64"/>
      <c r="M175" s="60"/>
      <c r="N175" s="64"/>
      <c r="O175" s="60"/>
      <c r="P175" s="64"/>
      <c r="Q175" s="60"/>
      <c r="R175" s="64"/>
      <c r="S175" s="60"/>
      <c r="T175" s="64"/>
      <c r="U175" s="60"/>
      <c r="V175" s="64"/>
      <c r="W175" s="60"/>
      <c r="X175" s="64"/>
      <c r="Y175" s="60"/>
      <c r="Z175" s="64"/>
      <c r="AA175" s="60"/>
      <c r="AB175" s="64"/>
      <c r="AC175" s="60"/>
      <c r="AD175" s="64"/>
      <c r="AE175" s="60"/>
      <c r="AF175" s="64"/>
    </row>
    <row r="176" spans="1:32" x14ac:dyDescent="0.25">
      <c r="A176" s="60"/>
      <c r="B176" s="64"/>
      <c r="C176" s="60"/>
      <c r="D176" s="64"/>
      <c r="E176" s="60"/>
      <c r="F176" s="64"/>
      <c r="G176" s="60"/>
      <c r="H176" s="64"/>
      <c r="I176" s="60"/>
      <c r="J176" s="64"/>
      <c r="K176" s="60"/>
      <c r="L176" s="64"/>
      <c r="M176" s="60"/>
      <c r="N176" s="64"/>
      <c r="O176" s="60"/>
      <c r="P176" s="64"/>
      <c r="Q176" s="60"/>
      <c r="R176" s="64"/>
      <c r="S176" s="60"/>
      <c r="T176" s="64"/>
      <c r="U176" s="60"/>
      <c r="V176" s="64"/>
      <c r="W176" s="60"/>
      <c r="X176" s="64"/>
      <c r="Y176" s="60"/>
      <c r="Z176" s="64"/>
      <c r="AA176" s="60"/>
      <c r="AB176" s="64"/>
      <c r="AC176" s="60"/>
      <c r="AD176" s="64"/>
      <c r="AE176" s="60"/>
      <c r="AF176" s="64"/>
    </row>
    <row r="177" spans="1:32" x14ac:dyDescent="0.25">
      <c r="A177" s="60"/>
      <c r="B177" s="64"/>
      <c r="C177" s="60"/>
      <c r="D177" s="64"/>
      <c r="E177" s="60"/>
      <c r="F177" s="64"/>
      <c r="G177" s="60"/>
      <c r="H177" s="64"/>
      <c r="I177" s="60"/>
      <c r="J177" s="64"/>
      <c r="K177" s="60"/>
      <c r="L177" s="64"/>
      <c r="M177" s="60"/>
      <c r="N177" s="64"/>
      <c r="O177" s="60"/>
      <c r="P177" s="64"/>
      <c r="Q177" s="60"/>
      <c r="R177" s="64"/>
      <c r="S177" s="60"/>
      <c r="T177" s="64"/>
      <c r="U177" s="60"/>
      <c r="V177" s="64"/>
      <c r="W177" s="60"/>
      <c r="X177" s="64"/>
      <c r="Y177" s="60"/>
      <c r="Z177" s="64"/>
      <c r="AA177" s="60"/>
      <c r="AB177" s="64"/>
      <c r="AC177" s="60"/>
      <c r="AD177" s="64"/>
      <c r="AE177" s="60"/>
      <c r="AF177" s="64"/>
    </row>
    <row r="178" spans="1:32" x14ac:dyDescent="0.25">
      <c r="A178" s="60"/>
      <c r="B178" s="64"/>
      <c r="C178" s="60"/>
      <c r="D178" s="64"/>
      <c r="E178" s="60"/>
      <c r="F178" s="64"/>
      <c r="G178" s="60"/>
      <c r="H178" s="64"/>
      <c r="I178" s="60"/>
      <c r="J178" s="64"/>
      <c r="K178" s="60"/>
      <c r="L178" s="64"/>
      <c r="M178" s="60"/>
      <c r="N178" s="64"/>
      <c r="O178" s="60"/>
      <c r="P178" s="64"/>
      <c r="Q178" s="60"/>
      <c r="R178" s="64"/>
      <c r="S178" s="60"/>
      <c r="T178" s="64"/>
      <c r="U178" s="60"/>
      <c r="V178" s="64"/>
      <c r="W178" s="60"/>
      <c r="X178" s="64"/>
      <c r="Y178" s="60"/>
      <c r="Z178" s="64"/>
      <c r="AA178" s="60"/>
      <c r="AB178" s="64"/>
      <c r="AC178" s="60"/>
      <c r="AD178" s="64"/>
      <c r="AE178" s="60"/>
      <c r="AF178" s="64"/>
    </row>
    <row r="179" spans="1:32" x14ac:dyDescent="0.25">
      <c r="A179" s="60"/>
      <c r="B179" s="64"/>
      <c r="C179" s="60"/>
      <c r="D179" s="64"/>
      <c r="E179" s="60"/>
      <c r="F179" s="64"/>
      <c r="G179" s="60"/>
      <c r="H179" s="64"/>
      <c r="I179" s="60"/>
      <c r="J179" s="64"/>
      <c r="K179" s="60"/>
      <c r="L179" s="64"/>
      <c r="M179" s="60"/>
      <c r="N179" s="64"/>
      <c r="O179" s="60"/>
      <c r="P179" s="64"/>
      <c r="Q179" s="60"/>
      <c r="R179" s="64"/>
      <c r="S179" s="60"/>
      <c r="T179" s="64"/>
      <c r="U179" s="60"/>
      <c r="V179" s="64"/>
      <c r="W179" s="60"/>
      <c r="X179" s="64"/>
      <c r="Y179" s="60"/>
      <c r="Z179" s="64"/>
      <c r="AA179" s="60"/>
      <c r="AB179" s="64"/>
      <c r="AC179" s="60"/>
      <c r="AD179" s="64"/>
      <c r="AE179" s="60"/>
      <c r="AF179" s="64"/>
    </row>
    <row r="180" spans="1:32" x14ac:dyDescent="0.25">
      <c r="A180" s="60"/>
      <c r="B180" s="64"/>
      <c r="C180" s="60"/>
      <c r="D180" s="64"/>
      <c r="E180" s="60"/>
      <c r="F180" s="64"/>
      <c r="G180" s="60"/>
      <c r="H180" s="64"/>
      <c r="I180" s="60"/>
      <c r="J180" s="64"/>
      <c r="K180" s="60"/>
      <c r="L180" s="64"/>
      <c r="M180" s="60"/>
      <c r="N180" s="64"/>
      <c r="O180" s="60"/>
      <c r="P180" s="64"/>
      <c r="Q180" s="60"/>
      <c r="R180" s="64"/>
      <c r="S180" s="60"/>
      <c r="T180" s="64"/>
      <c r="U180" s="60"/>
      <c r="V180" s="64"/>
      <c r="W180" s="60"/>
      <c r="X180" s="64"/>
      <c r="Y180" s="60"/>
      <c r="Z180" s="64"/>
      <c r="AA180" s="60"/>
      <c r="AB180" s="64"/>
      <c r="AC180" s="60"/>
      <c r="AD180" s="64"/>
      <c r="AE180" s="60"/>
      <c r="AF180" s="64"/>
    </row>
    <row r="181" spans="1:32" x14ac:dyDescent="0.25">
      <c r="A181" s="60"/>
      <c r="B181" s="64"/>
      <c r="C181" s="60"/>
      <c r="D181" s="64"/>
      <c r="E181" s="60"/>
      <c r="F181" s="64"/>
      <c r="G181" s="60"/>
      <c r="H181" s="64"/>
      <c r="I181" s="60"/>
      <c r="J181" s="64"/>
      <c r="K181" s="60"/>
      <c r="L181" s="64"/>
      <c r="M181" s="60"/>
      <c r="N181" s="64"/>
      <c r="O181" s="60"/>
      <c r="P181" s="64"/>
      <c r="Q181" s="60"/>
      <c r="R181" s="64"/>
      <c r="S181" s="60"/>
      <c r="T181" s="64"/>
      <c r="U181" s="60"/>
      <c r="V181" s="64"/>
      <c r="W181" s="60"/>
      <c r="X181" s="64"/>
      <c r="Y181" s="60"/>
      <c r="Z181" s="64"/>
      <c r="AA181" s="60"/>
      <c r="AB181" s="64"/>
      <c r="AC181" s="60"/>
      <c r="AD181" s="64"/>
      <c r="AE181" s="60"/>
      <c r="AF181" s="64"/>
    </row>
    <row r="182" spans="1:32" x14ac:dyDescent="0.25">
      <c r="A182" s="60"/>
      <c r="B182" s="64"/>
      <c r="C182" s="60"/>
      <c r="D182" s="64"/>
      <c r="E182" s="60"/>
      <c r="F182" s="64"/>
      <c r="G182" s="60"/>
      <c r="H182" s="64"/>
      <c r="I182" s="60"/>
      <c r="J182" s="64"/>
      <c r="K182" s="60"/>
      <c r="L182" s="64"/>
      <c r="M182" s="60"/>
      <c r="N182" s="64"/>
      <c r="O182" s="60"/>
      <c r="P182" s="64"/>
      <c r="Q182" s="60"/>
      <c r="R182" s="64"/>
      <c r="S182" s="60"/>
      <c r="T182" s="64"/>
      <c r="U182" s="60"/>
      <c r="V182" s="64"/>
      <c r="W182" s="60"/>
      <c r="X182" s="64"/>
      <c r="Y182" s="60"/>
      <c r="Z182" s="64"/>
      <c r="AA182" s="60"/>
      <c r="AB182" s="64"/>
      <c r="AC182" s="60"/>
      <c r="AD182" s="64"/>
      <c r="AE182" s="60"/>
      <c r="AF182" s="64"/>
    </row>
    <row r="183" spans="1:32" x14ac:dyDescent="0.25">
      <c r="A183" s="60"/>
      <c r="B183" s="64"/>
      <c r="C183" s="60"/>
      <c r="D183" s="64"/>
      <c r="E183" s="60"/>
      <c r="F183" s="64"/>
      <c r="G183" s="60"/>
      <c r="H183" s="64"/>
      <c r="I183" s="60"/>
      <c r="J183" s="64"/>
      <c r="K183" s="60"/>
      <c r="L183" s="64"/>
      <c r="M183" s="60"/>
      <c r="N183" s="64"/>
      <c r="O183" s="60"/>
      <c r="P183" s="64"/>
      <c r="Q183" s="60"/>
      <c r="R183" s="64"/>
      <c r="S183" s="60"/>
      <c r="T183" s="64"/>
      <c r="U183" s="60"/>
      <c r="V183" s="64"/>
      <c r="W183" s="60"/>
      <c r="X183" s="64"/>
      <c r="Y183" s="60"/>
      <c r="Z183" s="64"/>
      <c r="AA183" s="60"/>
      <c r="AB183" s="64"/>
      <c r="AC183" s="60"/>
      <c r="AD183" s="64"/>
      <c r="AE183" s="60"/>
      <c r="AF183" s="64"/>
    </row>
    <row r="184" spans="1:32" x14ac:dyDescent="0.25">
      <c r="A184" s="60"/>
      <c r="B184" s="64"/>
      <c r="C184" s="60"/>
      <c r="D184" s="64"/>
      <c r="E184" s="60"/>
      <c r="F184" s="64"/>
      <c r="G184" s="60"/>
      <c r="H184" s="64"/>
      <c r="I184" s="60"/>
      <c r="J184" s="64"/>
      <c r="K184" s="60"/>
      <c r="L184" s="64"/>
      <c r="M184" s="60"/>
      <c r="N184" s="64"/>
      <c r="O184" s="60"/>
      <c r="P184" s="64"/>
      <c r="Q184" s="60"/>
      <c r="R184" s="64"/>
      <c r="S184" s="60"/>
      <c r="T184" s="64"/>
      <c r="U184" s="60"/>
      <c r="V184" s="64"/>
      <c r="W184" s="60"/>
      <c r="X184" s="64"/>
      <c r="Y184" s="60"/>
      <c r="Z184" s="64"/>
      <c r="AA184" s="60"/>
      <c r="AB184" s="64"/>
      <c r="AC184" s="60"/>
      <c r="AD184" s="64"/>
      <c r="AE184" s="60"/>
      <c r="AF184" s="64"/>
    </row>
    <row r="185" spans="1:32" x14ac:dyDescent="0.25">
      <c r="A185" s="60"/>
      <c r="B185" s="64"/>
      <c r="C185" s="60"/>
      <c r="D185" s="64"/>
      <c r="E185" s="60"/>
      <c r="F185" s="64"/>
      <c r="G185" s="60"/>
      <c r="H185" s="64"/>
      <c r="I185" s="60"/>
      <c r="J185" s="64"/>
      <c r="K185" s="60"/>
      <c r="L185" s="64"/>
      <c r="M185" s="60"/>
      <c r="N185" s="64"/>
      <c r="O185" s="60"/>
      <c r="P185" s="64"/>
      <c r="Q185" s="60"/>
      <c r="R185" s="64"/>
      <c r="S185" s="60"/>
      <c r="T185" s="64"/>
      <c r="U185" s="60"/>
      <c r="V185" s="64"/>
      <c r="W185" s="60"/>
      <c r="X185" s="64"/>
      <c r="Y185" s="60"/>
      <c r="Z185" s="64"/>
      <c r="AA185" s="60"/>
      <c r="AB185" s="64"/>
      <c r="AC185" s="60"/>
      <c r="AD185" s="64"/>
      <c r="AE185" s="60"/>
      <c r="AF185" s="64"/>
    </row>
    <row r="186" spans="1:32" x14ac:dyDescent="0.25">
      <c r="A186" s="60"/>
      <c r="B186" s="64"/>
      <c r="C186" s="60"/>
      <c r="D186" s="64"/>
      <c r="E186" s="60"/>
      <c r="F186" s="64"/>
      <c r="G186" s="60"/>
      <c r="H186" s="64"/>
      <c r="I186" s="60"/>
      <c r="J186" s="64"/>
      <c r="K186" s="60"/>
      <c r="L186" s="64"/>
      <c r="M186" s="60"/>
      <c r="N186" s="64"/>
      <c r="O186" s="60"/>
      <c r="P186" s="64"/>
      <c r="Q186" s="60"/>
      <c r="R186" s="64"/>
      <c r="S186" s="60"/>
      <c r="T186" s="64"/>
      <c r="U186" s="60"/>
      <c r="V186" s="64"/>
      <c r="W186" s="60"/>
      <c r="X186" s="64"/>
      <c r="Y186" s="60"/>
      <c r="Z186" s="64"/>
      <c r="AA186" s="60"/>
      <c r="AB186" s="64"/>
      <c r="AC186" s="60"/>
      <c r="AD186" s="64"/>
      <c r="AE186" s="60"/>
      <c r="AF186" s="64"/>
    </row>
    <row r="187" spans="1:32" x14ac:dyDescent="0.25">
      <c r="A187" s="60"/>
      <c r="B187" s="64"/>
      <c r="C187" s="60"/>
      <c r="D187" s="64"/>
      <c r="E187" s="60"/>
      <c r="F187" s="64"/>
      <c r="G187" s="60"/>
      <c r="H187" s="64"/>
      <c r="I187" s="60"/>
      <c r="J187" s="64"/>
      <c r="K187" s="60"/>
      <c r="L187" s="64"/>
      <c r="M187" s="60"/>
      <c r="N187" s="64"/>
      <c r="O187" s="60"/>
      <c r="P187" s="64"/>
      <c r="Q187" s="60"/>
      <c r="R187" s="64"/>
      <c r="S187" s="60"/>
      <c r="T187" s="64"/>
      <c r="U187" s="60"/>
      <c r="V187" s="64"/>
      <c r="W187" s="60"/>
      <c r="X187" s="64"/>
      <c r="Y187" s="60"/>
      <c r="Z187" s="64"/>
      <c r="AA187" s="60"/>
      <c r="AB187" s="64"/>
      <c r="AC187" s="60"/>
      <c r="AD187" s="64"/>
      <c r="AE187" s="60"/>
      <c r="AF187" s="64"/>
    </row>
    <row r="188" spans="1:32" x14ac:dyDescent="0.25">
      <c r="A188" s="60"/>
      <c r="B188" s="64"/>
      <c r="C188" s="60"/>
      <c r="D188" s="64"/>
      <c r="E188" s="60"/>
      <c r="F188" s="64"/>
      <c r="G188" s="60"/>
      <c r="H188" s="64"/>
      <c r="I188" s="60"/>
      <c r="J188" s="64"/>
      <c r="K188" s="60"/>
      <c r="L188" s="64"/>
      <c r="M188" s="60"/>
      <c r="N188" s="64"/>
      <c r="O188" s="60"/>
      <c r="P188" s="64"/>
      <c r="Q188" s="60"/>
      <c r="R188" s="64"/>
      <c r="S188" s="60"/>
      <c r="T188" s="64"/>
      <c r="U188" s="60"/>
      <c r="V188" s="64"/>
      <c r="W188" s="60"/>
      <c r="X188" s="64"/>
      <c r="Y188" s="60"/>
      <c r="Z188" s="64"/>
      <c r="AA188" s="60"/>
      <c r="AB188" s="64"/>
      <c r="AC188" s="60"/>
      <c r="AD188" s="64"/>
      <c r="AE188" s="60"/>
      <c r="AF188" s="64"/>
    </row>
    <row r="189" spans="1:32" x14ac:dyDescent="0.25">
      <c r="A189" s="60"/>
      <c r="B189" s="64"/>
      <c r="C189" s="60"/>
      <c r="D189" s="64"/>
      <c r="E189" s="60"/>
      <c r="F189" s="64"/>
      <c r="G189" s="60"/>
      <c r="H189" s="64"/>
      <c r="I189" s="60"/>
      <c r="J189" s="64"/>
      <c r="K189" s="60"/>
      <c r="L189" s="64"/>
      <c r="M189" s="60"/>
      <c r="N189" s="64"/>
      <c r="O189" s="60"/>
      <c r="P189" s="64"/>
      <c r="Q189" s="60"/>
      <c r="R189" s="64"/>
      <c r="S189" s="60"/>
      <c r="T189" s="64"/>
      <c r="U189" s="60"/>
      <c r="V189" s="64"/>
      <c r="W189" s="60"/>
      <c r="X189" s="64"/>
      <c r="Y189" s="60"/>
      <c r="Z189" s="64"/>
      <c r="AA189" s="60"/>
      <c r="AB189" s="64"/>
      <c r="AC189" s="60"/>
      <c r="AD189" s="64"/>
      <c r="AE189" s="60"/>
      <c r="AF189" s="64"/>
    </row>
    <row r="190" spans="1:32" x14ac:dyDescent="0.25">
      <c r="A190" s="60"/>
      <c r="B190" s="64"/>
      <c r="C190" s="60"/>
      <c r="D190" s="64"/>
      <c r="E190" s="60"/>
      <c r="F190" s="64"/>
      <c r="G190" s="60"/>
      <c r="H190" s="64"/>
      <c r="I190" s="60"/>
      <c r="J190" s="64"/>
      <c r="K190" s="60"/>
      <c r="L190" s="64"/>
      <c r="M190" s="60"/>
      <c r="N190" s="64"/>
      <c r="O190" s="60"/>
      <c r="P190" s="64"/>
      <c r="Q190" s="60"/>
      <c r="R190" s="64"/>
      <c r="S190" s="60"/>
      <c r="T190" s="64"/>
      <c r="U190" s="60"/>
      <c r="V190" s="64"/>
      <c r="W190" s="60"/>
      <c r="X190" s="64"/>
      <c r="Y190" s="60"/>
      <c r="Z190" s="64"/>
      <c r="AA190" s="60"/>
      <c r="AB190" s="64"/>
      <c r="AC190" s="60"/>
      <c r="AD190" s="64"/>
      <c r="AE190" s="60"/>
      <c r="AF190" s="64"/>
    </row>
    <row r="191" spans="1:32" x14ac:dyDescent="0.25">
      <c r="A191" s="60"/>
      <c r="B191" s="64"/>
      <c r="C191" s="60"/>
      <c r="D191" s="64"/>
      <c r="E191" s="60"/>
      <c r="F191" s="64"/>
      <c r="G191" s="60"/>
      <c r="H191" s="64"/>
      <c r="I191" s="60"/>
      <c r="J191" s="64"/>
      <c r="K191" s="60"/>
      <c r="L191" s="64"/>
      <c r="M191" s="60"/>
      <c r="N191" s="64"/>
      <c r="O191" s="60"/>
      <c r="P191" s="64"/>
      <c r="Q191" s="60"/>
      <c r="R191" s="64"/>
      <c r="S191" s="60"/>
      <c r="T191" s="64"/>
      <c r="U191" s="60"/>
      <c r="V191" s="64"/>
      <c r="W191" s="60"/>
      <c r="X191" s="64"/>
      <c r="Y191" s="60"/>
      <c r="Z191" s="64"/>
      <c r="AA191" s="60"/>
      <c r="AB191" s="64"/>
      <c r="AC191" s="60"/>
      <c r="AD191" s="64"/>
      <c r="AE191" s="60"/>
      <c r="AF191" s="64"/>
    </row>
    <row r="192" spans="1:32" x14ac:dyDescent="0.25">
      <c r="A192" s="60"/>
      <c r="B192" s="64"/>
      <c r="C192" s="60"/>
      <c r="D192" s="64"/>
      <c r="E192" s="60"/>
      <c r="F192" s="64"/>
      <c r="G192" s="60"/>
      <c r="H192" s="64"/>
      <c r="I192" s="60"/>
      <c r="J192" s="64"/>
      <c r="K192" s="60"/>
      <c r="L192" s="64"/>
      <c r="M192" s="60"/>
      <c r="N192" s="64"/>
      <c r="O192" s="60"/>
      <c r="P192" s="64"/>
      <c r="Q192" s="60"/>
      <c r="R192" s="64"/>
      <c r="S192" s="60"/>
      <c r="T192" s="64"/>
      <c r="U192" s="60"/>
      <c r="V192" s="64"/>
      <c r="W192" s="60"/>
      <c r="X192" s="64"/>
      <c r="Y192" s="60"/>
      <c r="Z192" s="64"/>
      <c r="AA192" s="60"/>
      <c r="AB192" s="64"/>
      <c r="AC192" s="60"/>
      <c r="AD192" s="64"/>
      <c r="AE192" s="60"/>
      <c r="AF192" s="64"/>
    </row>
    <row r="193" spans="1:32" x14ac:dyDescent="0.25">
      <c r="A193" s="60"/>
      <c r="B193" s="64"/>
      <c r="C193" s="60"/>
      <c r="D193" s="64"/>
      <c r="E193" s="60"/>
      <c r="F193" s="64"/>
      <c r="G193" s="60"/>
      <c r="H193" s="64"/>
      <c r="I193" s="60"/>
      <c r="J193" s="64"/>
      <c r="K193" s="60"/>
      <c r="L193" s="64"/>
      <c r="M193" s="60"/>
      <c r="N193" s="64"/>
      <c r="O193" s="60"/>
      <c r="P193" s="64"/>
      <c r="Q193" s="60"/>
      <c r="R193" s="64"/>
      <c r="S193" s="60"/>
      <c r="T193" s="64"/>
      <c r="U193" s="60"/>
      <c r="V193" s="64"/>
      <c r="W193" s="60"/>
      <c r="X193" s="64"/>
      <c r="Y193" s="60"/>
      <c r="Z193" s="64"/>
      <c r="AA193" s="60"/>
      <c r="AB193" s="64"/>
      <c r="AC193" s="60"/>
      <c r="AD193" s="64"/>
      <c r="AE193" s="60"/>
      <c r="AF193" s="64"/>
    </row>
    <row r="194" spans="1:32" x14ac:dyDescent="0.25">
      <c r="A194" s="60"/>
      <c r="B194" s="64"/>
      <c r="C194" s="60"/>
      <c r="D194" s="64"/>
      <c r="E194" s="60"/>
      <c r="F194" s="64"/>
      <c r="G194" s="60"/>
      <c r="H194" s="64"/>
      <c r="I194" s="60"/>
      <c r="J194" s="64"/>
      <c r="K194" s="60"/>
      <c r="L194" s="64"/>
      <c r="M194" s="60"/>
      <c r="N194" s="64"/>
      <c r="O194" s="60"/>
      <c r="P194" s="64"/>
      <c r="Q194" s="60"/>
      <c r="R194" s="64"/>
      <c r="S194" s="60"/>
      <c r="T194" s="64"/>
      <c r="U194" s="60"/>
      <c r="V194" s="64"/>
      <c r="W194" s="60"/>
      <c r="X194" s="64"/>
      <c r="Y194" s="60"/>
      <c r="Z194" s="64"/>
      <c r="AA194" s="60"/>
      <c r="AB194" s="64"/>
      <c r="AC194" s="60"/>
      <c r="AD194" s="64"/>
      <c r="AE194" s="60"/>
      <c r="AF194" s="64"/>
    </row>
    <row r="195" spans="1:32" x14ac:dyDescent="0.25">
      <c r="A195" s="60"/>
      <c r="B195" s="64"/>
      <c r="C195" s="60"/>
      <c r="D195" s="64"/>
      <c r="E195" s="60"/>
      <c r="F195" s="64"/>
      <c r="G195" s="60"/>
      <c r="H195" s="64"/>
      <c r="I195" s="60"/>
      <c r="J195" s="64"/>
      <c r="K195" s="60"/>
      <c r="L195" s="64"/>
      <c r="M195" s="60"/>
      <c r="N195" s="64"/>
      <c r="O195" s="60"/>
      <c r="P195" s="64"/>
      <c r="Q195" s="60"/>
      <c r="R195" s="64"/>
      <c r="S195" s="60"/>
      <c r="T195" s="64"/>
      <c r="U195" s="60"/>
      <c r="V195" s="64"/>
      <c r="W195" s="60"/>
      <c r="X195" s="64"/>
      <c r="Y195" s="60"/>
      <c r="Z195" s="64"/>
      <c r="AA195" s="60"/>
      <c r="AB195" s="64"/>
      <c r="AC195" s="60"/>
      <c r="AD195" s="64"/>
      <c r="AE195" s="60"/>
      <c r="AF195" s="64"/>
    </row>
    <row r="196" spans="1:32" x14ac:dyDescent="0.25">
      <c r="A196" s="60"/>
      <c r="B196" s="64"/>
      <c r="C196" s="60"/>
      <c r="D196" s="64"/>
      <c r="E196" s="60"/>
      <c r="F196" s="64"/>
      <c r="G196" s="60"/>
      <c r="H196" s="64"/>
      <c r="I196" s="60"/>
      <c r="J196" s="64"/>
      <c r="K196" s="60"/>
      <c r="L196" s="64"/>
      <c r="M196" s="60"/>
      <c r="N196" s="64"/>
      <c r="O196" s="60"/>
      <c r="P196" s="64"/>
      <c r="Q196" s="60"/>
      <c r="R196" s="64"/>
      <c r="S196" s="60"/>
      <c r="T196" s="64"/>
      <c r="U196" s="60"/>
      <c r="V196" s="64"/>
      <c r="W196" s="60"/>
      <c r="X196" s="64"/>
      <c r="Y196" s="60"/>
      <c r="Z196" s="64"/>
      <c r="AA196" s="60"/>
      <c r="AB196" s="64"/>
      <c r="AC196" s="60"/>
      <c r="AD196" s="64"/>
      <c r="AE196" s="60"/>
      <c r="AF196" s="64"/>
    </row>
    <row r="197" spans="1:32" x14ac:dyDescent="0.25">
      <c r="A197" s="60"/>
      <c r="B197" s="64"/>
      <c r="C197" s="60"/>
      <c r="D197" s="64"/>
      <c r="E197" s="60"/>
      <c r="F197" s="64"/>
      <c r="G197" s="60"/>
      <c r="H197" s="64"/>
      <c r="I197" s="60"/>
      <c r="J197" s="64"/>
      <c r="K197" s="60"/>
      <c r="L197" s="64"/>
      <c r="M197" s="60"/>
      <c r="N197" s="64"/>
      <c r="O197" s="60"/>
      <c r="P197" s="64"/>
      <c r="Q197" s="60"/>
      <c r="R197" s="64"/>
      <c r="S197" s="60"/>
      <c r="T197" s="64"/>
      <c r="U197" s="60"/>
      <c r="V197" s="64"/>
      <c r="W197" s="60"/>
      <c r="X197" s="64"/>
      <c r="Y197" s="60"/>
      <c r="Z197" s="64"/>
      <c r="AA197" s="60"/>
      <c r="AB197" s="64"/>
      <c r="AC197" s="60"/>
      <c r="AD197" s="64"/>
      <c r="AE197" s="60"/>
      <c r="AF197" s="64"/>
    </row>
    <row r="198" spans="1:32" x14ac:dyDescent="0.25">
      <c r="A198" s="60"/>
      <c r="B198" s="64"/>
      <c r="C198" s="60"/>
      <c r="D198" s="64"/>
      <c r="E198" s="60"/>
      <c r="F198" s="64"/>
      <c r="G198" s="60"/>
      <c r="H198" s="64"/>
      <c r="I198" s="60"/>
      <c r="J198" s="64"/>
      <c r="K198" s="60"/>
      <c r="L198" s="64"/>
      <c r="M198" s="60"/>
      <c r="N198" s="64"/>
      <c r="O198" s="60"/>
      <c r="P198" s="64"/>
      <c r="Q198" s="60"/>
      <c r="R198" s="64"/>
      <c r="S198" s="60"/>
      <c r="T198" s="64"/>
      <c r="U198" s="60"/>
      <c r="V198" s="64"/>
      <c r="W198" s="60"/>
      <c r="X198" s="64"/>
      <c r="Y198" s="60"/>
      <c r="Z198" s="64"/>
      <c r="AA198" s="60"/>
      <c r="AB198" s="64"/>
      <c r="AC198" s="60"/>
      <c r="AD198" s="64"/>
      <c r="AE198" s="60"/>
      <c r="AF198" s="64"/>
    </row>
    <row r="199" spans="1:32" x14ac:dyDescent="0.25">
      <c r="A199" s="60"/>
      <c r="B199" s="64"/>
      <c r="C199" s="60"/>
      <c r="D199" s="64"/>
      <c r="E199" s="60"/>
      <c r="F199" s="64"/>
      <c r="G199" s="60"/>
      <c r="H199" s="64"/>
      <c r="I199" s="60"/>
      <c r="J199" s="64"/>
      <c r="K199" s="60"/>
      <c r="L199" s="64"/>
      <c r="M199" s="60"/>
      <c r="N199" s="64"/>
      <c r="O199" s="60"/>
      <c r="P199" s="64"/>
      <c r="Q199" s="60"/>
      <c r="R199" s="64"/>
      <c r="S199" s="60"/>
      <c r="T199" s="64"/>
      <c r="U199" s="60"/>
      <c r="V199" s="64"/>
      <c r="W199" s="60"/>
      <c r="X199" s="64"/>
      <c r="Y199" s="60"/>
      <c r="Z199" s="64"/>
      <c r="AA199" s="60"/>
      <c r="AB199" s="64"/>
      <c r="AC199" s="60"/>
      <c r="AD199" s="64"/>
      <c r="AE199" s="60"/>
      <c r="AF199" s="64"/>
    </row>
    <row r="200" spans="1:32" x14ac:dyDescent="0.25">
      <c r="A200" s="60"/>
      <c r="B200" s="64"/>
      <c r="C200" s="60"/>
      <c r="D200" s="64"/>
      <c r="E200" s="60"/>
      <c r="F200" s="64"/>
      <c r="G200" s="60"/>
      <c r="H200" s="64"/>
      <c r="I200" s="60"/>
      <c r="J200" s="64"/>
      <c r="K200" s="60"/>
      <c r="L200" s="64"/>
      <c r="M200" s="60"/>
      <c r="N200" s="64"/>
      <c r="O200" s="60"/>
      <c r="P200" s="64"/>
      <c r="Q200" s="60"/>
      <c r="R200" s="64"/>
      <c r="S200" s="60"/>
      <c r="T200" s="64"/>
      <c r="U200" s="60"/>
      <c r="V200" s="64"/>
      <c r="W200" s="60"/>
      <c r="X200" s="64"/>
      <c r="Y200" s="60"/>
      <c r="Z200" s="64"/>
      <c r="AA200" s="60"/>
      <c r="AB200" s="64"/>
      <c r="AC200" s="60"/>
      <c r="AD200" s="64"/>
      <c r="AE200" s="60"/>
      <c r="AF200" s="64"/>
    </row>
    <row r="201" spans="1:32" x14ac:dyDescent="0.25">
      <c r="A201" s="60"/>
      <c r="B201" s="64"/>
      <c r="C201" s="60"/>
      <c r="D201" s="64"/>
      <c r="E201" s="60"/>
      <c r="F201" s="64"/>
      <c r="G201" s="60"/>
      <c r="H201" s="64"/>
      <c r="I201" s="60"/>
      <c r="J201" s="64"/>
      <c r="K201" s="60"/>
      <c r="L201" s="64"/>
      <c r="M201" s="60"/>
      <c r="N201" s="64"/>
      <c r="O201" s="60"/>
      <c r="P201" s="64"/>
      <c r="Q201" s="60"/>
      <c r="R201" s="64"/>
      <c r="S201" s="60"/>
      <c r="T201" s="64"/>
      <c r="U201" s="60"/>
      <c r="V201" s="64"/>
      <c r="W201" s="60"/>
      <c r="X201" s="64"/>
      <c r="Y201" s="60"/>
      <c r="Z201" s="64"/>
      <c r="AA201" s="60"/>
      <c r="AB201" s="64"/>
      <c r="AC201" s="60"/>
      <c r="AD201" s="64"/>
      <c r="AE201" s="60"/>
      <c r="AF201" s="64"/>
    </row>
    <row r="202" spans="1:32" x14ac:dyDescent="0.25">
      <c r="A202" s="60"/>
      <c r="B202" s="64"/>
      <c r="C202" s="60"/>
      <c r="D202" s="64"/>
      <c r="E202" s="60"/>
      <c r="F202" s="64"/>
      <c r="G202" s="60"/>
      <c r="H202" s="64"/>
      <c r="I202" s="60"/>
      <c r="J202" s="64"/>
      <c r="K202" s="60"/>
      <c r="L202" s="64"/>
      <c r="M202" s="60"/>
      <c r="N202" s="64"/>
      <c r="O202" s="60"/>
      <c r="P202" s="64"/>
      <c r="Q202" s="60"/>
      <c r="R202" s="64"/>
      <c r="S202" s="60"/>
      <c r="T202" s="64"/>
      <c r="U202" s="60"/>
      <c r="V202" s="64"/>
      <c r="W202" s="60"/>
      <c r="X202" s="64"/>
      <c r="Y202" s="60"/>
      <c r="Z202" s="64"/>
      <c r="AA202" s="60"/>
      <c r="AB202" s="64"/>
      <c r="AC202" s="60"/>
      <c r="AD202" s="64"/>
      <c r="AE202" s="60"/>
      <c r="AF202" s="64"/>
    </row>
    <row r="203" spans="1:32" x14ac:dyDescent="0.25">
      <c r="A203" s="60"/>
      <c r="B203" s="64"/>
      <c r="C203" s="60"/>
      <c r="D203" s="64"/>
      <c r="E203" s="60"/>
      <c r="F203" s="64"/>
      <c r="G203" s="60"/>
      <c r="H203" s="64"/>
      <c r="I203" s="60"/>
      <c r="J203" s="64"/>
      <c r="K203" s="60"/>
      <c r="L203" s="64"/>
      <c r="M203" s="60"/>
      <c r="N203" s="64"/>
      <c r="O203" s="60"/>
      <c r="P203" s="64"/>
      <c r="Q203" s="60"/>
      <c r="R203" s="64"/>
      <c r="S203" s="60"/>
      <c r="T203" s="64"/>
      <c r="U203" s="60"/>
      <c r="V203" s="64"/>
      <c r="W203" s="60"/>
      <c r="X203" s="64"/>
      <c r="Y203" s="60"/>
      <c r="Z203" s="64"/>
      <c r="AA203" s="60"/>
      <c r="AB203" s="64"/>
      <c r="AC203" s="60"/>
      <c r="AD203" s="64"/>
      <c r="AE203" s="60"/>
      <c r="AF203" s="64"/>
    </row>
    <row r="204" spans="1:32" x14ac:dyDescent="0.25">
      <c r="A204" s="60"/>
      <c r="B204" s="64"/>
      <c r="C204" s="60"/>
      <c r="D204" s="64"/>
      <c r="E204" s="60"/>
      <c r="F204" s="64"/>
      <c r="G204" s="60"/>
      <c r="H204" s="64"/>
      <c r="I204" s="60"/>
      <c r="J204" s="64"/>
      <c r="K204" s="60"/>
      <c r="L204" s="64"/>
      <c r="M204" s="60"/>
      <c r="N204" s="64"/>
      <c r="O204" s="60"/>
      <c r="P204" s="64"/>
      <c r="Q204" s="60"/>
      <c r="R204" s="64"/>
      <c r="S204" s="60"/>
      <c r="T204" s="64"/>
      <c r="U204" s="60"/>
      <c r="V204" s="64"/>
      <c r="W204" s="60"/>
      <c r="X204" s="64"/>
      <c r="Y204" s="60"/>
      <c r="Z204" s="64"/>
      <c r="AA204" s="60"/>
      <c r="AB204" s="64"/>
      <c r="AC204" s="60"/>
      <c r="AD204" s="64"/>
      <c r="AE204" s="60"/>
      <c r="AF204" s="64"/>
    </row>
    <row r="205" spans="1:32" x14ac:dyDescent="0.25">
      <c r="A205" s="60"/>
      <c r="B205" s="64"/>
      <c r="C205" s="60"/>
      <c r="D205" s="64"/>
      <c r="E205" s="60"/>
      <c r="F205" s="64"/>
      <c r="G205" s="60"/>
      <c r="H205" s="64"/>
      <c r="I205" s="60"/>
      <c r="J205" s="64"/>
      <c r="K205" s="60"/>
      <c r="L205" s="64"/>
      <c r="M205" s="60"/>
      <c r="N205" s="64"/>
      <c r="O205" s="60"/>
      <c r="P205" s="64"/>
      <c r="Q205" s="60"/>
      <c r="R205" s="64"/>
      <c r="S205" s="60"/>
      <c r="T205" s="64"/>
      <c r="U205" s="60"/>
      <c r="V205" s="64"/>
      <c r="W205" s="60"/>
      <c r="X205" s="64"/>
      <c r="Y205" s="60"/>
      <c r="Z205" s="64"/>
      <c r="AA205" s="60"/>
      <c r="AB205" s="64"/>
      <c r="AC205" s="60"/>
      <c r="AD205" s="64"/>
      <c r="AE205" s="60"/>
      <c r="AF205" s="64"/>
    </row>
    <row r="206" spans="1:32" x14ac:dyDescent="0.25">
      <c r="A206" s="60"/>
      <c r="B206" s="64"/>
      <c r="C206" s="60"/>
      <c r="D206" s="64"/>
      <c r="E206" s="60"/>
      <c r="F206" s="64"/>
      <c r="G206" s="60"/>
      <c r="H206" s="64"/>
      <c r="I206" s="60"/>
      <c r="J206" s="64"/>
      <c r="K206" s="60"/>
      <c r="L206" s="64"/>
      <c r="M206" s="60"/>
      <c r="N206" s="64"/>
      <c r="O206" s="60"/>
      <c r="P206" s="64"/>
      <c r="Q206" s="60"/>
      <c r="R206" s="64"/>
      <c r="S206" s="60"/>
      <c r="T206" s="64"/>
      <c r="U206" s="60"/>
      <c r="V206" s="64"/>
      <c r="W206" s="60"/>
      <c r="X206" s="64"/>
      <c r="Y206" s="60"/>
      <c r="Z206" s="64"/>
      <c r="AA206" s="60"/>
      <c r="AB206" s="64"/>
      <c r="AC206" s="60"/>
      <c r="AD206" s="64"/>
      <c r="AE206" s="60"/>
      <c r="AF206" s="64"/>
    </row>
    <row r="207" spans="1:32" x14ac:dyDescent="0.25">
      <c r="A207" s="60"/>
      <c r="B207" s="64"/>
      <c r="C207" s="60"/>
      <c r="D207" s="64"/>
      <c r="E207" s="60"/>
      <c r="F207" s="64"/>
      <c r="G207" s="60"/>
      <c r="H207" s="64"/>
      <c r="I207" s="60"/>
      <c r="J207" s="64"/>
      <c r="K207" s="60"/>
      <c r="L207" s="64"/>
      <c r="M207" s="60"/>
      <c r="N207" s="64"/>
      <c r="O207" s="60"/>
      <c r="P207" s="64"/>
      <c r="Q207" s="60"/>
      <c r="R207" s="64"/>
      <c r="S207" s="60"/>
      <c r="T207" s="64"/>
      <c r="U207" s="60"/>
      <c r="V207" s="64"/>
      <c r="W207" s="60"/>
      <c r="X207" s="64"/>
      <c r="Y207" s="60"/>
      <c r="Z207" s="64"/>
      <c r="AA207" s="60"/>
      <c r="AB207" s="64"/>
      <c r="AC207" s="60"/>
      <c r="AD207" s="64"/>
      <c r="AE207" s="60"/>
      <c r="AF207" s="64"/>
    </row>
    <row r="208" spans="1:32" x14ac:dyDescent="0.25">
      <c r="A208" s="60"/>
      <c r="B208" s="64"/>
      <c r="C208" s="60"/>
      <c r="D208" s="64"/>
      <c r="E208" s="60"/>
      <c r="F208" s="64"/>
      <c r="G208" s="60"/>
      <c r="H208" s="64"/>
      <c r="I208" s="60"/>
      <c r="J208" s="64"/>
      <c r="K208" s="60"/>
      <c r="L208" s="64"/>
      <c r="M208" s="60"/>
      <c r="N208" s="64"/>
      <c r="O208" s="60"/>
      <c r="P208" s="64"/>
      <c r="Q208" s="60"/>
      <c r="R208" s="64"/>
      <c r="S208" s="60"/>
      <c r="T208" s="64"/>
      <c r="U208" s="60"/>
      <c r="V208" s="64"/>
      <c r="W208" s="60"/>
      <c r="X208" s="64"/>
      <c r="Y208" s="60"/>
      <c r="Z208" s="64"/>
      <c r="AA208" s="60"/>
      <c r="AB208" s="64"/>
      <c r="AC208" s="60"/>
      <c r="AD208" s="64"/>
      <c r="AE208" s="60"/>
      <c r="AF208" s="64"/>
    </row>
    <row r="209" spans="1:32" x14ac:dyDescent="0.25">
      <c r="A209" s="60"/>
      <c r="B209" s="64"/>
      <c r="C209" s="60"/>
      <c r="D209" s="64"/>
      <c r="E209" s="60"/>
      <c r="F209" s="64"/>
      <c r="G209" s="60"/>
      <c r="H209" s="64"/>
      <c r="I209" s="60"/>
      <c r="J209" s="64"/>
      <c r="K209" s="60"/>
      <c r="L209" s="64"/>
      <c r="M209" s="60"/>
      <c r="N209" s="64"/>
      <c r="O209" s="60"/>
      <c r="P209" s="64"/>
      <c r="Q209" s="60"/>
      <c r="R209" s="64"/>
      <c r="S209" s="60"/>
      <c r="T209" s="64"/>
      <c r="U209" s="60"/>
      <c r="V209" s="64"/>
      <c r="W209" s="60"/>
      <c r="X209" s="64"/>
      <c r="Y209" s="60"/>
      <c r="Z209" s="64"/>
      <c r="AA209" s="60"/>
      <c r="AB209" s="64"/>
      <c r="AC209" s="60"/>
      <c r="AD209" s="64"/>
      <c r="AE209" s="60"/>
      <c r="AF209" s="64"/>
    </row>
    <row r="210" spans="1:32" x14ac:dyDescent="0.25">
      <c r="A210" s="60"/>
      <c r="B210" s="64"/>
      <c r="C210" s="60"/>
      <c r="D210" s="64"/>
      <c r="E210" s="60"/>
      <c r="F210" s="64"/>
      <c r="G210" s="60"/>
      <c r="H210" s="64"/>
      <c r="I210" s="60"/>
      <c r="J210" s="64"/>
      <c r="K210" s="60"/>
      <c r="L210" s="64"/>
      <c r="M210" s="60"/>
      <c r="N210" s="64"/>
      <c r="O210" s="60"/>
      <c r="P210" s="64"/>
      <c r="Q210" s="60"/>
      <c r="R210" s="64"/>
      <c r="S210" s="60"/>
      <c r="T210" s="64"/>
      <c r="U210" s="60"/>
      <c r="V210" s="64"/>
      <c r="W210" s="60"/>
      <c r="X210" s="64"/>
      <c r="Y210" s="60"/>
      <c r="Z210" s="64"/>
      <c r="AA210" s="60"/>
      <c r="AB210" s="64"/>
      <c r="AC210" s="60"/>
      <c r="AD210" s="64"/>
      <c r="AE210" s="60"/>
      <c r="AF210" s="64"/>
    </row>
    <row r="211" spans="1:32" x14ac:dyDescent="0.25">
      <c r="A211" s="60"/>
      <c r="B211" s="64"/>
      <c r="C211" s="60"/>
      <c r="D211" s="64"/>
      <c r="E211" s="60"/>
      <c r="F211" s="64"/>
      <c r="G211" s="60"/>
      <c r="H211" s="64"/>
      <c r="I211" s="60"/>
      <c r="J211" s="64"/>
      <c r="K211" s="60"/>
      <c r="L211" s="64"/>
      <c r="M211" s="60"/>
      <c r="N211" s="64"/>
      <c r="O211" s="60"/>
      <c r="P211" s="64"/>
      <c r="Q211" s="60"/>
      <c r="R211" s="64"/>
      <c r="S211" s="60"/>
      <c r="T211" s="64"/>
      <c r="U211" s="60"/>
      <c r="V211" s="64"/>
      <c r="W211" s="60"/>
      <c r="X211" s="64"/>
      <c r="Y211" s="60"/>
      <c r="Z211" s="64"/>
      <c r="AA211" s="60"/>
      <c r="AB211" s="64"/>
      <c r="AC211" s="60"/>
      <c r="AD211" s="64"/>
      <c r="AE211" s="60"/>
      <c r="AF211" s="64"/>
    </row>
    <row r="212" spans="1:32" x14ac:dyDescent="0.25">
      <c r="A212" s="60"/>
      <c r="B212" s="64"/>
      <c r="C212" s="60"/>
      <c r="D212" s="64"/>
      <c r="E212" s="60"/>
      <c r="F212" s="64"/>
      <c r="G212" s="60"/>
      <c r="H212" s="64"/>
      <c r="I212" s="60"/>
      <c r="J212" s="64"/>
      <c r="K212" s="60"/>
      <c r="L212" s="64"/>
      <c r="M212" s="60"/>
      <c r="N212" s="64"/>
      <c r="O212" s="60"/>
      <c r="P212" s="64"/>
      <c r="Q212" s="60"/>
      <c r="R212" s="64"/>
      <c r="S212" s="60"/>
      <c r="T212" s="64"/>
      <c r="U212" s="60"/>
      <c r="V212" s="64"/>
      <c r="W212" s="60"/>
      <c r="X212" s="64"/>
      <c r="Y212" s="60"/>
      <c r="Z212" s="64"/>
      <c r="AA212" s="60"/>
      <c r="AB212" s="64"/>
      <c r="AC212" s="60"/>
      <c r="AD212" s="64"/>
      <c r="AE212" s="60"/>
      <c r="AF212" s="64"/>
    </row>
    <row r="213" spans="1:32" x14ac:dyDescent="0.25">
      <c r="A213" s="60"/>
      <c r="B213" s="64"/>
      <c r="C213" s="60"/>
      <c r="D213" s="64"/>
      <c r="E213" s="60"/>
      <c r="F213" s="64"/>
      <c r="G213" s="60"/>
      <c r="H213" s="64"/>
      <c r="I213" s="60"/>
      <c r="J213" s="64"/>
      <c r="K213" s="60"/>
      <c r="L213" s="64"/>
      <c r="M213" s="60"/>
      <c r="N213" s="64"/>
      <c r="O213" s="60"/>
      <c r="P213" s="64"/>
      <c r="Q213" s="60"/>
      <c r="R213" s="64"/>
      <c r="S213" s="60"/>
      <c r="T213" s="64"/>
      <c r="U213" s="60"/>
      <c r="V213" s="64"/>
      <c r="W213" s="60"/>
      <c r="X213" s="64"/>
      <c r="Y213" s="60"/>
      <c r="Z213" s="64"/>
      <c r="AA213" s="60"/>
      <c r="AB213" s="64"/>
      <c r="AC213" s="60"/>
      <c r="AD213" s="64"/>
      <c r="AE213" s="60"/>
      <c r="AF213" s="64"/>
    </row>
    <row r="214" spans="1:32" x14ac:dyDescent="0.25">
      <c r="A214" s="60"/>
      <c r="B214" s="64"/>
      <c r="C214" s="60"/>
      <c r="D214" s="64"/>
      <c r="E214" s="60"/>
      <c r="F214" s="64"/>
      <c r="G214" s="60"/>
      <c r="H214" s="64"/>
      <c r="I214" s="60"/>
      <c r="J214" s="64"/>
      <c r="K214" s="60"/>
      <c r="L214" s="64"/>
      <c r="M214" s="60"/>
      <c r="N214" s="64"/>
      <c r="O214" s="60"/>
      <c r="P214" s="64"/>
      <c r="Q214" s="60"/>
      <c r="R214" s="64"/>
      <c r="S214" s="60"/>
      <c r="T214" s="64"/>
      <c r="U214" s="60"/>
      <c r="V214" s="64"/>
      <c r="W214" s="60"/>
      <c r="X214" s="64"/>
      <c r="Y214" s="60"/>
      <c r="Z214" s="64"/>
      <c r="AA214" s="60"/>
      <c r="AB214" s="64"/>
      <c r="AC214" s="60"/>
      <c r="AD214" s="64"/>
      <c r="AE214" s="60"/>
      <c r="AF214" s="64"/>
    </row>
    <row r="215" spans="1:32" x14ac:dyDescent="0.25">
      <c r="A215" s="60"/>
      <c r="B215" s="64"/>
      <c r="C215" s="60"/>
      <c r="D215" s="64"/>
      <c r="E215" s="60"/>
      <c r="F215" s="64"/>
      <c r="G215" s="60"/>
      <c r="H215" s="64"/>
      <c r="I215" s="60"/>
      <c r="J215" s="64"/>
      <c r="K215" s="60"/>
      <c r="L215" s="64"/>
      <c r="M215" s="60"/>
      <c r="N215" s="64"/>
      <c r="O215" s="60"/>
      <c r="P215" s="64"/>
      <c r="Q215" s="60"/>
      <c r="R215" s="64"/>
      <c r="S215" s="60"/>
      <c r="T215" s="64"/>
      <c r="U215" s="60"/>
      <c r="V215" s="64"/>
      <c r="W215" s="60"/>
      <c r="X215" s="64"/>
      <c r="Y215" s="60"/>
      <c r="Z215" s="64"/>
      <c r="AA215" s="60"/>
      <c r="AB215" s="64"/>
      <c r="AC215" s="60"/>
      <c r="AD215" s="64"/>
      <c r="AE215" s="60"/>
      <c r="AF215" s="64"/>
    </row>
    <row r="216" spans="1:32" x14ac:dyDescent="0.25">
      <c r="A216" s="60"/>
      <c r="B216" s="64"/>
      <c r="C216" s="60"/>
      <c r="D216" s="64"/>
      <c r="E216" s="60"/>
      <c r="F216" s="64"/>
      <c r="G216" s="60"/>
      <c r="H216" s="64"/>
      <c r="I216" s="60"/>
      <c r="J216" s="64"/>
      <c r="K216" s="60"/>
      <c r="L216" s="64"/>
      <c r="M216" s="60"/>
      <c r="N216" s="64"/>
      <c r="O216" s="60"/>
      <c r="P216" s="64"/>
      <c r="Q216" s="60"/>
      <c r="R216" s="64"/>
      <c r="S216" s="60"/>
      <c r="T216" s="64"/>
      <c r="U216" s="60"/>
      <c r="V216" s="64"/>
      <c r="W216" s="60"/>
      <c r="X216" s="64"/>
      <c r="Y216" s="60"/>
      <c r="Z216" s="64"/>
      <c r="AA216" s="60"/>
      <c r="AB216" s="64"/>
      <c r="AC216" s="60"/>
      <c r="AD216" s="64"/>
      <c r="AE216" s="60"/>
      <c r="AF216" s="64"/>
    </row>
    <row r="217" spans="1:32" x14ac:dyDescent="0.25">
      <c r="A217" s="60"/>
      <c r="B217" s="64"/>
      <c r="C217" s="60"/>
      <c r="D217" s="64"/>
      <c r="E217" s="60"/>
      <c r="F217" s="64"/>
      <c r="G217" s="60"/>
      <c r="H217" s="64"/>
      <c r="I217" s="60"/>
      <c r="J217" s="64"/>
      <c r="K217" s="60"/>
      <c r="L217" s="64"/>
      <c r="M217" s="60"/>
      <c r="N217" s="64"/>
      <c r="O217" s="60"/>
      <c r="P217" s="64"/>
      <c r="Q217" s="60"/>
      <c r="R217" s="64"/>
      <c r="S217" s="60"/>
      <c r="T217" s="64"/>
      <c r="U217" s="60"/>
      <c r="V217" s="64"/>
      <c r="W217" s="60"/>
      <c r="X217" s="64"/>
      <c r="Y217" s="60"/>
      <c r="Z217" s="64"/>
      <c r="AA217" s="60"/>
      <c r="AB217" s="64"/>
      <c r="AC217" s="60"/>
      <c r="AD217" s="64"/>
      <c r="AE217" s="60"/>
      <c r="AF217" s="64"/>
    </row>
    <row r="218" spans="1:32" x14ac:dyDescent="0.25">
      <c r="A218" s="60"/>
      <c r="B218" s="64"/>
      <c r="C218" s="60"/>
      <c r="D218" s="64"/>
      <c r="E218" s="60"/>
      <c r="F218" s="64"/>
      <c r="G218" s="60"/>
      <c r="H218" s="64"/>
      <c r="I218" s="60"/>
      <c r="J218" s="64"/>
      <c r="K218" s="60"/>
      <c r="L218" s="64"/>
      <c r="M218" s="60"/>
      <c r="N218" s="64"/>
      <c r="O218" s="60"/>
      <c r="P218" s="64"/>
      <c r="Q218" s="60"/>
      <c r="R218" s="64"/>
      <c r="S218" s="60"/>
      <c r="T218" s="64"/>
      <c r="U218" s="60"/>
      <c r="V218" s="64"/>
      <c r="W218" s="60"/>
      <c r="X218" s="64"/>
      <c r="Y218" s="60"/>
      <c r="Z218" s="64"/>
      <c r="AA218" s="60"/>
      <c r="AB218" s="64"/>
      <c r="AC218" s="60"/>
      <c r="AD218" s="64"/>
      <c r="AE218" s="60"/>
      <c r="AF218" s="64"/>
    </row>
    <row r="219" spans="1:32" x14ac:dyDescent="0.25">
      <c r="A219" s="60"/>
      <c r="B219" s="64"/>
      <c r="C219" s="60"/>
      <c r="D219" s="64"/>
      <c r="E219" s="60"/>
      <c r="F219" s="64"/>
      <c r="G219" s="60"/>
      <c r="H219" s="64"/>
      <c r="I219" s="60"/>
      <c r="J219" s="64"/>
      <c r="K219" s="60"/>
      <c r="L219" s="64"/>
      <c r="M219" s="60"/>
      <c r="N219" s="64"/>
      <c r="O219" s="60"/>
      <c r="P219" s="64"/>
      <c r="Q219" s="60"/>
      <c r="R219" s="64"/>
      <c r="S219" s="60"/>
      <c r="T219" s="64"/>
      <c r="U219" s="60"/>
      <c r="V219" s="64"/>
      <c r="W219" s="60"/>
      <c r="X219" s="64"/>
      <c r="Y219" s="60"/>
      <c r="Z219" s="64"/>
      <c r="AA219" s="60"/>
      <c r="AB219" s="64"/>
      <c r="AC219" s="60"/>
      <c r="AD219" s="64"/>
      <c r="AE219" s="60"/>
      <c r="AF219" s="64"/>
    </row>
    <row r="220" spans="1:32" x14ac:dyDescent="0.25">
      <c r="A220" s="60"/>
      <c r="B220" s="64"/>
      <c r="C220" s="60"/>
      <c r="D220" s="64"/>
      <c r="E220" s="60"/>
      <c r="F220" s="64"/>
      <c r="G220" s="60"/>
      <c r="H220" s="64"/>
      <c r="I220" s="60"/>
      <c r="J220" s="64"/>
      <c r="K220" s="60"/>
      <c r="L220" s="64"/>
      <c r="M220" s="60"/>
      <c r="N220" s="64"/>
      <c r="O220" s="60"/>
      <c r="P220" s="64"/>
      <c r="Q220" s="60"/>
      <c r="R220" s="64"/>
      <c r="S220" s="60"/>
      <c r="T220" s="64"/>
      <c r="U220" s="60"/>
      <c r="V220" s="64"/>
      <c r="W220" s="60"/>
      <c r="X220" s="64"/>
      <c r="Y220" s="60"/>
      <c r="Z220" s="64"/>
      <c r="AA220" s="60"/>
      <c r="AB220" s="64"/>
      <c r="AC220" s="60"/>
      <c r="AD220" s="64"/>
      <c r="AE220" s="60"/>
      <c r="AF220" s="64"/>
    </row>
    <row r="221" spans="1:32" x14ac:dyDescent="0.25">
      <c r="A221" s="60"/>
      <c r="B221" s="64"/>
      <c r="C221" s="60"/>
      <c r="D221" s="64"/>
      <c r="E221" s="60"/>
      <c r="F221" s="64"/>
      <c r="G221" s="60"/>
      <c r="H221" s="64"/>
      <c r="I221" s="60"/>
      <c r="J221" s="64"/>
      <c r="K221" s="60"/>
      <c r="L221" s="64"/>
      <c r="M221" s="60"/>
      <c r="N221" s="64"/>
      <c r="O221" s="60"/>
      <c r="P221" s="64"/>
      <c r="Q221" s="60"/>
      <c r="R221" s="64"/>
      <c r="S221" s="60"/>
      <c r="T221" s="64"/>
      <c r="U221" s="60"/>
      <c r="V221" s="64"/>
      <c r="W221" s="60"/>
      <c r="X221" s="64"/>
      <c r="Y221" s="60"/>
      <c r="Z221" s="64"/>
      <c r="AA221" s="60"/>
      <c r="AB221" s="64"/>
      <c r="AC221" s="60"/>
      <c r="AD221" s="64"/>
      <c r="AE221" s="60"/>
      <c r="AF221" s="64"/>
    </row>
    <row r="222" spans="1:32" x14ac:dyDescent="0.25">
      <c r="A222" s="60"/>
      <c r="B222" s="64"/>
      <c r="C222" s="60"/>
      <c r="D222" s="64"/>
      <c r="E222" s="60"/>
      <c r="F222" s="64"/>
      <c r="G222" s="60"/>
      <c r="H222" s="64"/>
      <c r="I222" s="60"/>
      <c r="J222" s="64"/>
      <c r="K222" s="60"/>
      <c r="L222" s="64"/>
      <c r="M222" s="60"/>
      <c r="N222" s="64"/>
      <c r="O222" s="60"/>
      <c r="P222" s="64"/>
      <c r="Q222" s="60"/>
      <c r="R222" s="64"/>
      <c r="S222" s="60"/>
      <c r="T222" s="64"/>
      <c r="U222" s="60"/>
      <c r="V222" s="64"/>
      <c r="W222" s="60"/>
      <c r="X222" s="64"/>
      <c r="Y222" s="60"/>
      <c r="Z222" s="64"/>
      <c r="AA222" s="60"/>
      <c r="AB222" s="64"/>
      <c r="AC222" s="60"/>
      <c r="AD222" s="64"/>
      <c r="AE222" s="60"/>
      <c r="AF222" s="64"/>
    </row>
    <row r="223" spans="1:32" x14ac:dyDescent="0.25">
      <c r="A223" s="60"/>
      <c r="B223" s="64"/>
      <c r="C223" s="60"/>
      <c r="D223" s="64"/>
      <c r="E223" s="60"/>
      <c r="F223" s="64"/>
      <c r="G223" s="60"/>
      <c r="H223" s="64"/>
      <c r="I223" s="60"/>
      <c r="J223" s="64"/>
      <c r="K223" s="60"/>
      <c r="L223" s="64"/>
      <c r="M223" s="60"/>
      <c r="N223" s="64"/>
      <c r="O223" s="60"/>
      <c r="P223" s="64"/>
      <c r="Q223" s="60"/>
      <c r="R223" s="64"/>
      <c r="S223" s="60"/>
      <c r="T223" s="64"/>
      <c r="U223" s="60"/>
      <c r="V223" s="64"/>
      <c r="W223" s="60"/>
      <c r="X223" s="64"/>
      <c r="Y223" s="60"/>
      <c r="Z223" s="64"/>
      <c r="AA223" s="60"/>
      <c r="AB223" s="64"/>
      <c r="AC223" s="60"/>
      <c r="AD223" s="64"/>
      <c r="AE223" s="60"/>
      <c r="AF223" s="64"/>
    </row>
    <row r="224" spans="1:32" x14ac:dyDescent="0.25">
      <c r="A224" s="60"/>
      <c r="B224" s="64"/>
      <c r="C224" s="60"/>
      <c r="D224" s="64"/>
      <c r="E224" s="60"/>
      <c r="F224" s="64"/>
      <c r="G224" s="60"/>
      <c r="H224" s="64"/>
      <c r="I224" s="60"/>
      <c r="J224" s="64"/>
      <c r="K224" s="60"/>
      <c r="L224" s="64"/>
      <c r="M224" s="60"/>
      <c r="N224" s="64"/>
      <c r="O224" s="60"/>
      <c r="P224" s="64"/>
      <c r="Q224" s="60"/>
      <c r="R224" s="64"/>
      <c r="S224" s="60"/>
      <c r="T224" s="64"/>
      <c r="U224" s="60"/>
      <c r="V224" s="64"/>
      <c r="W224" s="60"/>
      <c r="X224" s="64"/>
      <c r="Y224" s="60"/>
      <c r="Z224" s="64"/>
      <c r="AA224" s="60"/>
      <c r="AB224" s="64"/>
      <c r="AC224" s="60"/>
      <c r="AD224" s="64"/>
      <c r="AE224" s="60"/>
      <c r="AF224" s="64"/>
    </row>
    <row r="225" spans="1:32" x14ac:dyDescent="0.25">
      <c r="A225" s="60"/>
      <c r="B225" s="64"/>
      <c r="C225" s="60"/>
      <c r="D225" s="64"/>
      <c r="E225" s="60"/>
      <c r="F225" s="64"/>
      <c r="G225" s="60"/>
      <c r="H225" s="64"/>
      <c r="I225" s="60"/>
      <c r="J225" s="64"/>
      <c r="K225" s="60"/>
      <c r="L225" s="64"/>
      <c r="M225" s="60"/>
      <c r="N225" s="64"/>
      <c r="O225" s="60"/>
      <c r="P225" s="64"/>
      <c r="Q225" s="60"/>
      <c r="R225" s="64"/>
      <c r="S225" s="60"/>
      <c r="T225" s="64"/>
      <c r="U225" s="60"/>
      <c r="V225" s="64"/>
      <c r="W225" s="60"/>
      <c r="X225" s="64"/>
      <c r="Y225" s="60"/>
      <c r="Z225" s="64"/>
      <c r="AA225" s="60"/>
      <c r="AB225" s="64"/>
      <c r="AC225" s="60"/>
      <c r="AD225" s="64"/>
      <c r="AE225" s="60"/>
      <c r="AF225" s="64"/>
    </row>
    <row r="226" spans="1:32" x14ac:dyDescent="0.25">
      <c r="A226" s="60"/>
      <c r="B226" s="64"/>
      <c r="C226" s="60"/>
      <c r="D226" s="64"/>
      <c r="E226" s="60"/>
      <c r="F226" s="64"/>
      <c r="G226" s="60"/>
      <c r="H226" s="64"/>
      <c r="I226" s="60"/>
      <c r="J226" s="64"/>
      <c r="K226" s="60"/>
      <c r="L226" s="64"/>
      <c r="M226" s="60"/>
      <c r="N226" s="64"/>
      <c r="O226" s="60"/>
      <c r="P226" s="64"/>
      <c r="Q226" s="60"/>
      <c r="R226" s="64"/>
      <c r="S226" s="60"/>
      <c r="T226" s="64"/>
      <c r="U226" s="60"/>
      <c r="V226" s="64"/>
      <c r="W226" s="60"/>
      <c r="X226" s="64"/>
      <c r="Y226" s="60"/>
      <c r="Z226" s="64"/>
      <c r="AA226" s="60"/>
      <c r="AB226" s="64"/>
      <c r="AC226" s="60"/>
      <c r="AD226" s="64"/>
      <c r="AE226" s="60"/>
      <c r="AF226" s="64"/>
    </row>
    <row r="227" spans="1:32" x14ac:dyDescent="0.25">
      <c r="A227" s="60"/>
      <c r="B227" s="64"/>
      <c r="C227" s="60"/>
      <c r="D227" s="64"/>
      <c r="E227" s="60"/>
      <c r="F227" s="64"/>
      <c r="G227" s="60"/>
      <c r="H227" s="64"/>
      <c r="I227" s="60"/>
      <c r="J227" s="64"/>
      <c r="K227" s="60"/>
      <c r="L227" s="64"/>
      <c r="M227" s="60"/>
      <c r="N227" s="64"/>
      <c r="O227" s="60"/>
      <c r="P227" s="64"/>
      <c r="Q227" s="60"/>
      <c r="R227" s="64"/>
      <c r="S227" s="60"/>
      <c r="T227" s="64"/>
      <c r="U227" s="60"/>
      <c r="V227" s="64"/>
      <c r="W227" s="60"/>
      <c r="X227" s="64"/>
      <c r="Y227" s="60"/>
      <c r="Z227" s="64"/>
      <c r="AA227" s="60"/>
      <c r="AB227" s="64"/>
      <c r="AC227" s="60"/>
      <c r="AD227" s="64"/>
      <c r="AE227" s="60"/>
      <c r="AF227" s="64"/>
    </row>
    <row r="228" spans="1:32" x14ac:dyDescent="0.25">
      <c r="A228" s="60"/>
      <c r="B228" s="64"/>
      <c r="C228" s="60"/>
      <c r="D228" s="64"/>
      <c r="E228" s="60"/>
      <c r="F228" s="64"/>
      <c r="G228" s="60"/>
      <c r="H228" s="64"/>
      <c r="I228" s="60"/>
      <c r="J228" s="64"/>
      <c r="K228" s="60"/>
      <c r="L228" s="64"/>
      <c r="M228" s="60"/>
      <c r="N228" s="64"/>
      <c r="O228" s="60"/>
      <c r="P228" s="64"/>
      <c r="Q228" s="60"/>
      <c r="R228" s="64"/>
      <c r="S228" s="60"/>
      <c r="T228" s="64"/>
      <c r="U228" s="60"/>
      <c r="V228" s="64"/>
      <c r="W228" s="60"/>
      <c r="X228" s="64"/>
      <c r="Y228" s="60"/>
      <c r="Z228" s="64"/>
      <c r="AA228" s="60"/>
      <c r="AB228" s="64"/>
      <c r="AC228" s="60"/>
      <c r="AD228" s="64"/>
      <c r="AE228" s="60"/>
      <c r="AF228" s="64"/>
    </row>
    <row r="229" spans="1:32" x14ac:dyDescent="0.25">
      <c r="A229" s="60"/>
      <c r="B229" s="64"/>
      <c r="C229" s="60"/>
      <c r="D229" s="64"/>
      <c r="E229" s="60"/>
      <c r="F229" s="64"/>
      <c r="G229" s="60"/>
      <c r="H229" s="64"/>
      <c r="I229" s="60"/>
      <c r="J229" s="64"/>
      <c r="K229" s="60"/>
      <c r="L229" s="64"/>
      <c r="M229" s="60"/>
      <c r="N229" s="64"/>
      <c r="O229" s="60"/>
      <c r="P229" s="64"/>
      <c r="Q229" s="60"/>
      <c r="R229" s="64"/>
      <c r="S229" s="60"/>
      <c r="T229" s="64"/>
      <c r="U229" s="60"/>
      <c r="V229" s="64"/>
      <c r="W229" s="60"/>
      <c r="X229" s="64"/>
      <c r="Y229" s="60"/>
      <c r="Z229" s="64"/>
      <c r="AA229" s="60"/>
      <c r="AB229" s="64"/>
      <c r="AC229" s="60"/>
      <c r="AD229" s="64"/>
      <c r="AE229" s="60"/>
      <c r="AF229" s="64"/>
    </row>
    <row r="230" spans="1:32" x14ac:dyDescent="0.25">
      <c r="A230" s="60"/>
      <c r="B230" s="64"/>
      <c r="C230" s="60"/>
      <c r="D230" s="64"/>
      <c r="E230" s="60"/>
      <c r="F230" s="64"/>
      <c r="G230" s="60"/>
      <c r="H230" s="64"/>
      <c r="I230" s="60"/>
      <c r="J230" s="64"/>
      <c r="K230" s="60"/>
      <c r="L230" s="64"/>
      <c r="M230" s="60"/>
      <c r="N230" s="64"/>
      <c r="O230" s="60"/>
      <c r="P230" s="64"/>
      <c r="Q230" s="60"/>
      <c r="R230" s="64"/>
      <c r="S230" s="60"/>
      <c r="T230" s="64"/>
      <c r="U230" s="60"/>
      <c r="V230" s="64"/>
      <c r="W230" s="60"/>
      <c r="X230" s="64"/>
      <c r="Y230" s="60"/>
      <c r="Z230" s="64"/>
      <c r="AA230" s="60"/>
      <c r="AB230" s="64"/>
      <c r="AC230" s="60"/>
      <c r="AD230" s="64"/>
      <c r="AE230" s="60"/>
      <c r="AF230" s="64"/>
    </row>
    <row r="231" spans="1:32" x14ac:dyDescent="0.25">
      <c r="A231" s="60"/>
      <c r="B231" s="64"/>
      <c r="C231" s="60"/>
      <c r="D231" s="64"/>
      <c r="E231" s="60"/>
      <c r="F231" s="64"/>
      <c r="G231" s="60"/>
      <c r="H231" s="64"/>
      <c r="I231" s="60"/>
      <c r="J231" s="64"/>
      <c r="K231" s="60"/>
      <c r="L231" s="64"/>
      <c r="M231" s="60"/>
      <c r="N231" s="64"/>
      <c r="O231" s="60"/>
      <c r="P231" s="64"/>
      <c r="Q231" s="60"/>
      <c r="R231" s="64"/>
      <c r="S231" s="60"/>
      <c r="T231" s="64"/>
      <c r="U231" s="60"/>
      <c r="V231" s="64"/>
      <c r="W231" s="60"/>
      <c r="X231" s="64"/>
      <c r="Y231" s="60"/>
      <c r="Z231" s="64"/>
      <c r="AA231" s="60"/>
      <c r="AB231" s="64"/>
      <c r="AC231" s="60"/>
      <c r="AD231" s="64"/>
      <c r="AE231" s="60"/>
      <c r="AF231" s="64"/>
    </row>
    <row r="232" spans="1:32" x14ac:dyDescent="0.25">
      <c r="A232" s="60"/>
      <c r="B232" s="64"/>
      <c r="C232" s="60"/>
      <c r="D232" s="64"/>
      <c r="E232" s="60"/>
      <c r="F232" s="64"/>
      <c r="G232" s="60"/>
      <c r="H232" s="64"/>
      <c r="I232" s="60"/>
      <c r="J232" s="64"/>
      <c r="K232" s="60"/>
      <c r="L232" s="64"/>
      <c r="M232" s="60"/>
      <c r="N232" s="64"/>
      <c r="O232" s="60"/>
      <c r="P232" s="64"/>
      <c r="Q232" s="60"/>
      <c r="R232" s="64"/>
      <c r="S232" s="60"/>
      <c r="T232" s="64"/>
      <c r="U232" s="60"/>
      <c r="V232" s="64"/>
      <c r="W232" s="60"/>
      <c r="X232" s="64"/>
      <c r="Y232" s="60"/>
      <c r="Z232" s="64"/>
      <c r="AA232" s="60"/>
      <c r="AB232" s="64"/>
      <c r="AC232" s="60"/>
      <c r="AD232" s="64"/>
      <c r="AE232" s="60"/>
      <c r="AF232" s="64"/>
    </row>
    <row r="233" spans="1:32" x14ac:dyDescent="0.25">
      <c r="A233" s="60"/>
      <c r="B233" s="64"/>
      <c r="C233" s="60"/>
      <c r="D233" s="64"/>
      <c r="E233" s="60"/>
      <c r="F233" s="64"/>
      <c r="G233" s="60"/>
      <c r="H233" s="64"/>
      <c r="I233" s="60"/>
      <c r="J233" s="64"/>
      <c r="K233" s="60"/>
      <c r="L233" s="64"/>
      <c r="M233" s="60"/>
      <c r="N233" s="64"/>
      <c r="O233" s="60"/>
      <c r="P233" s="64"/>
      <c r="Q233" s="60"/>
      <c r="R233" s="64"/>
      <c r="S233" s="60"/>
      <c r="T233" s="64"/>
      <c r="U233" s="60"/>
      <c r="V233" s="64"/>
      <c r="W233" s="60"/>
      <c r="X233" s="64"/>
      <c r="Y233" s="60"/>
      <c r="Z233" s="64"/>
      <c r="AA233" s="60"/>
      <c r="AB233" s="64"/>
      <c r="AC233" s="60"/>
      <c r="AD233" s="64"/>
      <c r="AE233" s="60"/>
      <c r="AF233" s="64"/>
    </row>
    <row r="234" spans="1:32" x14ac:dyDescent="0.25">
      <c r="A234" s="60"/>
      <c r="B234" s="64"/>
      <c r="C234" s="60"/>
      <c r="D234" s="64"/>
      <c r="E234" s="60"/>
      <c r="F234" s="64"/>
      <c r="G234" s="60"/>
      <c r="H234" s="64"/>
      <c r="I234" s="60"/>
      <c r="J234" s="64"/>
      <c r="K234" s="60"/>
      <c r="L234" s="64"/>
      <c r="M234" s="60"/>
      <c r="N234" s="64"/>
      <c r="O234" s="60"/>
      <c r="P234" s="64"/>
      <c r="Q234" s="60"/>
      <c r="R234" s="64"/>
      <c r="S234" s="60"/>
      <c r="T234" s="64"/>
      <c r="U234" s="60"/>
      <c r="V234" s="64"/>
      <c r="W234" s="60"/>
      <c r="X234" s="64"/>
      <c r="Y234" s="60"/>
      <c r="Z234" s="64"/>
      <c r="AA234" s="60"/>
      <c r="AB234" s="64"/>
      <c r="AC234" s="60"/>
      <c r="AD234" s="64"/>
      <c r="AE234" s="60"/>
      <c r="AF234" s="64"/>
    </row>
    <row r="235" spans="1:32" x14ac:dyDescent="0.25">
      <c r="A235" s="60"/>
      <c r="B235" s="64"/>
      <c r="C235" s="60"/>
      <c r="D235" s="64"/>
      <c r="E235" s="60"/>
      <c r="F235" s="64"/>
      <c r="G235" s="60"/>
      <c r="H235" s="64"/>
      <c r="I235" s="60"/>
      <c r="J235" s="64"/>
      <c r="K235" s="60"/>
      <c r="L235" s="64"/>
      <c r="M235" s="60"/>
      <c r="N235" s="64"/>
      <c r="O235" s="60"/>
      <c r="P235" s="64"/>
      <c r="Q235" s="60"/>
      <c r="R235" s="64"/>
      <c r="S235" s="60"/>
      <c r="T235" s="64"/>
      <c r="U235" s="60"/>
      <c r="V235" s="64"/>
      <c r="W235" s="60"/>
      <c r="X235" s="64"/>
      <c r="Y235" s="60"/>
      <c r="Z235" s="64"/>
      <c r="AA235" s="60"/>
      <c r="AB235" s="64"/>
      <c r="AC235" s="60"/>
      <c r="AD235" s="64"/>
      <c r="AE235" s="60"/>
      <c r="AF235" s="64"/>
    </row>
    <row r="236" spans="1:32" x14ac:dyDescent="0.25">
      <c r="A236" s="60"/>
      <c r="B236" s="64"/>
      <c r="C236" s="60"/>
      <c r="D236" s="64"/>
      <c r="E236" s="60"/>
      <c r="F236" s="64"/>
      <c r="G236" s="60"/>
      <c r="H236" s="64"/>
      <c r="I236" s="60"/>
      <c r="J236" s="64"/>
      <c r="K236" s="60"/>
      <c r="L236" s="64"/>
      <c r="M236" s="60"/>
      <c r="N236" s="64"/>
      <c r="O236" s="60"/>
      <c r="P236" s="64"/>
      <c r="Q236" s="60"/>
      <c r="R236" s="64"/>
      <c r="S236" s="60"/>
      <c r="T236" s="64"/>
      <c r="U236" s="60"/>
      <c r="V236" s="64"/>
      <c r="W236" s="60"/>
      <c r="X236" s="64"/>
      <c r="Y236" s="60"/>
      <c r="Z236" s="64"/>
      <c r="AA236" s="60"/>
      <c r="AB236" s="64"/>
      <c r="AC236" s="60"/>
      <c r="AD236" s="64"/>
      <c r="AE236" s="60"/>
      <c r="AF236" s="64"/>
    </row>
    <row r="237" spans="1:32" x14ac:dyDescent="0.25">
      <c r="A237" s="60"/>
      <c r="B237" s="64"/>
      <c r="C237" s="60"/>
      <c r="D237" s="64"/>
      <c r="E237" s="60"/>
      <c r="F237" s="64"/>
      <c r="G237" s="60"/>
      <c r="H237" s="64"/>
      <c r="I237" s="60"/>
      <c r="J237" s="64"/>
      <c r="K237" s="60"/>
      <c r="L237" s="64"/>
      <c r="M237" s="60"/>
      <c r="N237" s="64"/>
      <c r="O237" s="60"/>
      <c r="P237" s="64"/>
      <c r="Q237" s="60"/>
      <c r="R237" s="64"/>
      <c r="S237" s="60"/>
      <c r="T237" s="64"/>
      <c r="U237" s="60"/>
      <c r="V237" s="64"/>
      <c r="W237" s="60"/>
      <c r="X237" s="64"/>
      <c r="Y237" s="60"/>
      <c r="Z237" s="64"/>
      <c r="AA237" s="60"/>
      <c r="AB237" s="64"/>
      <c r="AC237" s="60"/>
      <c r="AD237" s="64"/>
      <c r="AE237" s="60"/>
      <c r="AF237" s="64"/>
    </row>
    <row r="238" spans="1:32" x14ac:dyDescent="0.25">
      <c r="A238" s="60"/>
      <c r="B238" s="64"/>
      <c r="C238" s="60"/>
      <c r="D238" s="64"/>
      <c r="E238" s="60"/>
      <c r="F238" s="64"/>
      <c r="G238" s="60"/>
      <c r="H238" s="64"/>
      <c r="I238" s="60"/>
      <c r="J238" s="64"/>
      <c r="K238" s="60"/>
      <c r="L238" s="64"/>
      <c r="M238" s="60"/>
      <c r="N238" s="64"/>
      <c r="O238" s="60"/>
      <c r="P238" s="64"/>
      <c r="Q238" s="60"/>
      <c r="R238" s="64"/>
      <c r="S238" s="60"/>
      <c r="T238" s="64"/>
      <c r="U238" s="60"/>
      <c r="V238" s="64"/>
      <c r="W238" s="60"/>
      <c r="X238" s="64"/>
      <c r="Y238" s="60"/>
      <c r="Z238" s="64"/>
      <c r="AA238" s="60"/>
      <c r="AB238" s="64"/>
      <c r="AC238" s="60"/>
      <c r="AD238" s="64"/>
      <c r="AE238" s="60"/>
      <c r="AF238" s="64"/>
    </row>
    <row r="239" spans="1:32" x14ac:dyDescent="0.25">
      <c r="A239" s="60"/>
      <c r="B239" s="64"/>
      <c r="C239" s="60"/>
      <c r="D239" s="64"/>
      <c r="E239" s="60"/>
      <c r="F239" s="64"/>
      <c r="G239" s="60"/>
      <c r="H239" s="64"/>
      <c r="I239" s="60"/>
      <c r="J239" s="64"/>
      <c r="K239" s="60"/>
      <c r="L239" s="64"/>
      <c r="M239" s="60"/>
      <c r="N239" s="64"/>
      <c r="O239" s="60"/>
      <c r="P239" s="64"/>
      <c r="Q239" s="60"/>
      <c r="R239" s="64"/>
      <c r="S239" s="60"/>
      <c r="T239" s="64"/>
      <c r="U239" s="60"/>
      <c r="V239" s="64"/>
      <c r="W239" s="60"/>
      <c r="X239" s="64"/>
      <c r="Y239" s="60"/>
      <c r="Z239" s="64"/>
      <c r="AA239" s="60"/>
      <c r="AB239" s="64"/>
      <c r="AC239" s="60"/>
      <c r="AD239" s="64"/>
      <c r="AE239" s="60"/>
      <c r="AF239" s="64"/>
    </row>
    <row r="240" spans="1:32" x14ac:dyDescent="0.25">
      <c r="A240" s="60"/>
      <c r="B240" s="64"/>
      <c r="C240" s="60"/>
      <c r="D240" s="64"/>
      <c r="E240" s="60"/>
      <c r="F240" s="64"/>
      <c r="G240" s="60"/>
      <c r="H240" s="64"/>
      <c r="I240" s="60"/>
      <c r="J240" s="64"/>
      <c r="K240" s="60"/>
      <c r="L240" s="64"/>
      <c r="M240" s="60"/>
      <c r="N240" s="64"/>
      <c r="O240" s="60"/>
      <c r="P240" s="64"/>
      <c r="Q240" s="60"/>
      <c r="R240" s="64"/>
      <c r="S240" s="60"/>
      <c r="T240" s="64"/>
      <c r="U240" s="60"/>
      <c r="V240" s="64"/>
      <c r="W240" s="60"/>
      <c r="X240" s="64"/>
      <c r="Y240" s="60"/>
      <c r="Z240" s="64"/>
      <c r="AA240" s="60"/>
      <c r="AB240" s="64"/>
      <c r="AC240" s="60"/>
      <c r="AD240" s="64"/>
      <c r="AE240" s="60"/>
      <c r="AF240" s="64"/>
    </row>
    <row r="241" spans="1:32" x14ac:dyDescent="0.25">
      <c r="A241" s="60"/>
      <c r="B241" s="64"/>
      <c r="C241" s="60"/>
      <c r="D241" s="64"/>
      <c r="E241" s="60"/>
      <c r="F241" s="64"/>
      <c r="G241" s="60"/>
      <c r="H241" s="64"/>
      <c r="I241" s="60"/>
      <c r="J241" s="64"/>
      <c r="K241" s="60"/>
      <c r="L241" s="64"/>
      <c r="M241" s="60"/>
      <c r="N241" s="64"/>
      <c r="O241" s="60"/>
      <c r="P241" s="64"/>
      <c r="Q241" s="60"/>
      <c r="R241" s="64"/>
      <c r="S241" s="60"/>
      <c r="T241" s="64"/>
      <c r="U241" s="60"/>
      <c r="V241" s="64"/>
      <c r="W241" s="60"/>
      <c r="X241" s="64"/>
      <c r="Y241" s="60"/>
      <c r="Z241" s="64"/>
      <c r="AA241" s="60"/>
      <c r="AB241" s="64"/>
      <c r="AC241" s="60"/>
      <c r="AD241" s="64"/>
      <c r="AE241" s="60"/>
      <c r="AF241" s="64"/>
    </row>
    <row r="242" spans="1:32" x14ac:dyDescent="0.25">
      <c r="A242" s="60"/>
      <c r="B242" s="64"/>
      <c r="C242" s="60"/>
      <c r="D242" s="64"/>
      <c r="E242" s="60"/>
      <c r="F242" s="64"/>
      <c r="G242" s="60"/>
      <c r="H242" s="64"/>
      <c r="I242" s="60"/>
      <c r="J242" s="64"/>
      <c r="K242" s="60"/>
      <c r="L242" s="64"/>
      <c r="M242" s="60"/>
      <c r="N242" s="64"/>
      <c r="O242" s="60"/>
      <c r="P242" s="64"/>
      <c r="Q242" s="60"/>
      <c r="R242" s="64"/>
      <c r="S242" s="60"/>
      <c r="T242" s="64"/>
      <c r="U242" s="60"/>
      <c r="V242" s="64"/>
      <c r="W242" s="60"/>
      <c r="X242" s="64"/>
      <c r="Y242" s="60"/>
      <c r="Z242" s="64"/>
      <c r="AA242" s="60"/>
      <c r="AB242" s="64"/>
      <c r="AC242" s="60"/>
      <c r="AD242" s="64"/>
      <c r="AE242" s="60"/>
      <c r="AF242" s="64"/>
    </row>
    <row r="243" spans="1:32" x14ac:dyDescent="0.25">
      <c r="A243" s="60"/>
      <c r="B243" s="64"/>
      <c r="C243" s="60"/>
      <c r="D243" s="64"/>
      <c r="E243" s="60"/>
      <c r="F243" s="64"/>
      <c r="G243" s="60"/>
      <c r="H243" s="64"/>
      <c r="I243" s="60"/>
      <c r="J243" s="64"/>
      <c r="K243" s="60"/>
      <c r="L243" s="64"/>
      <c r="M243" s="60"/>
      <c r="N243" s="64"/>
      <c r="O243" s="60"/>
      <c r="P243" s="64"/>
      <c r="Q243" s="60"/>
      <c r="R243" s="64"/>
      <c r="S243" s="60"/>
      <c r="T243" s="64"/>
      <c r="U243" s="60"/>
      <c r="V243" s="64"/>
      <c r="W243" s="60"/>
      <c r="X243" s="64"/>
      <c r="Y243" s="60"/>
      <c r="Z243" s="64"/>
      <c r="AA243" s="60"/>
      <c r="AB243" s="64"/>
      <c r="AC243" s="60"/>
      <c r="AD243" s="64"/>
      <c r="AE243" s="60"/>
      <c r="AF243" s="64"/>
    </row>
    <row r="244" spans="1:32" x14ac:dyDescent="0.25">
      <c r="A244" s="60"/>
      <c r="B244" s="64"/>
      <c r="C244" s="60"/>
      <c r="D244" s="64"/>
      <c r="E244" s="60"/>
      <c r="F244" s="64"/>
      <c r="G244" s="60"/>
      <c r="H244" s="64"/>
      <c r="I244" s="60"/>
      <c r="J244" s="64"/>
      <c r="K244" s="60"/>
      <c r="L244" s="64"/>
      <c r="M244" s="60"/>
      <c r="N244" s="64"/>
      <c r="O244" s="60"/>
      <c r="P244" s="64"/>
      <c r="Q244" s="60"/>
      <c r="R244" s="64"/>
      <c r="S244" s="60"/>
      <c r="T244" s="64"/>
      <c r="U244" s="60"/>
      <c r="V244" s="64"/>
      <c r="W244" s="60"/>
      <c r="X244" s="64"/>
      <c r="Y244" s="60"/>
      <c r="Z244" s="64"/>
      <c r="AA244" s="60"/>
      <c r="AB244" s="64"/>
      <c r="AC244" s="60"/>
      <c r="AD244" s="64"/>
      <c r="AE244" s="60"/>
      <c r="AF244" s="64"/>
    </row>
    <row r="245" spans="1:32" x14ac:dyDescent="0.25">
      <c r="A245" s="60"/>
      <c r="B245" s="64"/>
      <c r="C245" s="60"/>
      <c r="D245" s="64"/>
      <c r="E245" s="60"/>
      <c r="F245" s="64"/>
      <c r="G245" s="60"/>
      <c r="H245" s="64"/>
      <c r="I245" s="60"/>
      <c r="J245" s="64"/>
      <c r="K245" s="60"/>
      <c r="L245" s="64"/>
      <c r="M245" s="60"/>
      <c r="N245" s="64"/>
      <c r="O245" s="60"/>
      <c r="P245" s="64"/>
      <c r="Q245" s="60"/>
      <c r="R245" s="64"/>
      <c r="S245" s="60"/>
      <c r="T245" s="64"/>
      <c r="U245" s="60"/>
      <c r="V245" s="64"/>
      <c r="W245" s="60"/>
      <c r="X245" s="64"/>
      <c r="Y245" s="60"/>
      <c r="Z245" s="64"/>
      <c r="AA245" s="60"/>
      <c r="AB245" s="64"/>
      <c r="AC245" s="60"/>
      <c r="AD245" s="64"/>
      <c r="AE245" s="60"/>
      <c r="AF245" s="64"/>
    </row>
    <row r="246" spans="1:32" x14ac:dyDescent="0.25">
      <c r="A246" s="60"/>
      <c r="B246" s="64"/>
      <c r="C246" s="60"/>
      <c r="D246" s="64"/>
      <c r="E246" s="60"/>
      <c r="F246" s="64"/>
      <c r="G246" s="60"/>
      <c r="H246" s="64"/>
      <c r="I246" s="60"/>
      <c r="J246" s="64"/>
      <c r="K246" s="60"/>
      <c r="L246" s="64"/>
      <c r="M246" s="60"/>
      <c r="N246" s="64"/>
      <c r="O246" s="60"/>
      <c r="P246" s="64"/>
      <c r="Q246" s="60"/>
      <c r="R246" s="64"/>
      <c r="S246" s="60"/>
      <c r="T246" s="64"/>
      <c r="U246" s="60"/>
      <c r="V246" s="64"/>
      <c r="W246" s="60"/>
      <c r="X246" s="64"/>
      <c r="Y246" s="60"/>
      <c r="Z246" s="64"/>
      <c r="AA246" s="60"/>
      <c r="AB246" s="64"/>
      <c r="AC246" s="60"/>
      <c r="AD246" s="64"/>
      <c r="AE246" s="60"/>
      <c r="AF246" s="64"/>
    </row>
    <row r="247" spans="1:32" x14ac:dyDescent="0.25">
      <c r="A247" s="60"/>
      <c r="B247" s="64"/>
      <c r="C247" s="60"/>
      <c r="D247" s="64"/>
      <c r="E247" s="60"/>
      <c r="F247" s="64"/>
      <c r="G247" s="60"/>
      <c r="H247" s="64"/>
      <c r="I247" s="60"/>
      <c r="J247" s="64"/>
      <c r="K247" s="60"/>
      <c r="L247" s="64"/>
      <c r="M247" s="60"/>
      <c r="N247" s="64"/>
      <c r="O247" s="60"/>
      <c r="P247" s="64"/>
      <c r="Q247" s="60"/>
      <c r="R247" s="64"/>
      <c r="S247" s="60"/>
      <c r="T247" s="64"/>
      <c r="U247" s="60"/>
      <c r="V247" s="64"/>
      <c r="W247" s="60"/>
      <c r="X247" s="64"/>
      <c r="Y247" s="60"/>
      <c r="Z247" s="64"/>
      <c r="AA247" s="60"/>
      <c r="AB247" s="64"/>
      <c r="AC247" s="60"/>
      <c r="AD247" s="64"/>
      <c r="AE247" s="60"/>
      <c r="AF247" s="64"/>
    </row>
    <row r="248" spans="1:32" x14ac:dyDescent="0.25">
      <c r="A248" s="60"/>
      <c r="B248" s="64"/>
      <c r="C248" s="60"/>
      <c r="D248" s="64"/>
      <c r="E248" s="60"/>
      <c r="F248" s="64"/>
      <c r="G248" s="60"/>
      <c r="H248" s="64"/>
      <c r="I248" s="60"/>
      <c r="J248" s="64"/>
      <c r="K248" s="60"/>
      <c r="L248" s="64"/>
      <c r="M248" s="60"/>
      <c r="N248" s="64"/>
      <c r="O248" s="60"/>
      <c r="P248" s="64"/>
      <c r="Q248" s="60"/>
      <c r="R248" s="64"/>
      <c r="S248" s="60"/>
      <c r="T248" s="64"/>
      <c r="U248" s="60"/>
      <c r="V248" s="64"/>
      <c r="W248" s="60"/>
      <c r="X248" s="64"/>
      <c r="Y248" s="60"/>
      <c r="Z248" s="64"/>
      <c r="AA248" s="60"/>
      <c r="AB248" s="64"/>
      <c r="AC248" s="60"/>
      <c r="AD248" s="64"/>
      <c r="AE248" s="60"/>
      <c r="AF248" s="64"/>
    </row>
    <row r="249" spans="1:32" x14ac:dyDescent="0.25">
      <c r="A249" s="60"/>
      <c r="B249" s="64"/>
      <c r="C249" s="60"/>
      <c r="D249" s="64"/>
      <c r="E249" s="60"/>
      <c r="F249" s="64"/>
      <c r="G249" s="60"/>
      <c r="H249" s="64"/>
      <c r="I249" s="60"/>
      <c r="J249" s="64"/>
      <c r="K249" s="60"/>
      <c r="L249" s="64"/>
      <c r="M249" s="60"/>
      <c r="N249" s="64"/>
      <c r="O249" s="60"/>
      <c r="P249" s="64"/>
      <c r="Q249" s="60"/>
      <c r="R249" s="64"/>
      <c r="S249" s="60"/>
      <c r="T249" s="64"/>
      <c r="U249" s="60"/>
      <c r="V249" s="64"/>
      <c r="W249" s="60"/>
      <c r="X249" s="64"/>
      <c r="Y249" s="60"/>
      <c r="Z249" s="64"/>
      <c r="AA249" s="60"/>
      <c r="AB249" s="64"/>
      <c r="AC249" s="60"/>
      <c r="AD249" s="64"/>
      <c r="AE249" s="60"/>
      <c r="AF249" s="64"/>
    </row>
    <row r="250" spans="1:32" x14ac:dyDescent="0.25">
      <c r="A250" s="60"/>
      <c r="B250" s="64"/>
      <c r="C250" s="60"/>
      <c r="D250" s="64"/>
      <c r="E250" s="60"/>
      <c r="F250" s="64"/>
      <c r="G250" s="60"/>
      <c r="H250" s="64"/>
      <c r="I250" s="60"/>
      <c r="J250" s="64"/>
      <c r="K250" s="60"/>
      <c r="L250" s="64"/>
      <c r="M250" s="60"/>
      <c r="N250" s="64"/>
      <c r="O250" s="60"/>
      <c r="P250" s="64"/>
      <c r="Q250" s="60"/>
      <c r="R250" s="64"/>
      <c r="S250" s="60"/>
      <c r="T250" s="64"/>
      <c r="U250" s="60"/>
      <c r="V250" s="64"/>
      <c r="W250" s="60"/>
      <c r="X250" s="64"/>
      <c r="Y250" s="60"/>
      <c r="Z250" s="64"/>
      <c r="AA250" s="60"/>
      <c r="AB250" s="64"/>
      <c r="AC250" s="60"/>
      <c r="AD250" s="64"/>
      <c r="AE250" s="60"/>
      <c r="AF250" s="64"/>
    </row>
    <row r="251" spans="1:32" x14ac:dyDescent="0.25">
      <c r="A251" s="60"/>
      <c r="B251" s="64"/>
      <c r="C251" s="60"/>
      <c r="D251" s="64"/>
      <c r="E251" s="60"/>
      <c r="F251" s="64"/>
      <c r="G251" s="60"/>
      <c r="H251" s="64"/>
      <c r="I251" s="60"/>
      <c r="J251" s="64"/>
      <c r="K251" s="60"/>
      <c r="L251" s="64"/>
      <c r="M251" s="60"/>
      <c r="N251" s="64"/>
      <c r="O251" s="60"/>
      <c r="P251" s="64"/>
      <c r="Q251" s="60"/>
      <c r="R251" s="64"/>
      <c r="S251" s="60"/>
      <c r="T251" s="64"/>
      <c r="U251" s="60"/>
      <c r="V251" s="64"/>
      <c r="W251" s="60"/>
      <c r="X251" s="64"/>
      <c r="Y251" s="60"/>
      <c r="Z251" s="64"/>
      <c r="AA251" s="60"/>
      <c r="AB251" s="64"/>
      <c r="AC251" s="60"/>
      <c r="AD251" s="64"/>
      <c r="AE251" s="60"/>
      <c r="AF251" s="64"/>
    </row>
    <row r="252" spans="1:32" x14ac:dyDescent="0.25">
      <c r="A252" s="60"/>
      <c r="B252" s="64"/>
      <c r="C252" s="60"/>
      <c r="D252" s="64"/>
      <c r="E252" s="60"/>
      <c r="F252" s="64"/>
      <c r="G252" s="60"/>
      <c r="H252" s="64"/>
      <c r="I252" s="60"/>
      <c r="J252" s="64"/>
      <c r="K252" s="60"/>
      <c r="L252" s="64"/>
      <c r="M252" s="60"/>
      <c r="N252" s="64"/>
      <c r="O252" s="60"/>
      <c r="P252" s="64"/>
      <c r="Q252" s="60"/>
      <c r="R252" s="64"/>
      <c r="S252" s="60"/>
      <c r="T252" s="64"/>
      <c r="U252" s="60"/>
      <c r="V252" s="64"/>
      <c r="W252" s="60"/>
      <c r="X252" s="64"/>
      <c r="Y252" s="60"/>
      <c r="Z252" s="64"/>
      <c r="AA252" s="60"/>
      <c r="AB252" s="64"/>
      <c r="AC252" s="60"/>
      <c r="AD252" s="64"/>
      <c r="AE252" s="60"/>
      <c r="AF252" s="64"/>
    </row>
    <row r="253" spans="1:32" x14ac:dyDescent="0.25">
      <c r="A253" s="60"/>
      <c r="B253" s="64"/>
      <c r="C253" s="60"/>
      <c r="D253" s="64"/>
      <c r="E253" s="60"/>
      <c r="F253" s="64"/>
      <c r="G253" s="60"/>
      <c r="H253" s="64"/>
      <c r="I253" s="60"/>
      <c r="J253" s="64"/>
      <c r="K253" s="60"/>
      <c r="L253" s="64"/>
      <c r="M253" s="60"/>
      <c r="N253" s="64"/>
      <c r="O253" s="60"/>
      <c r="P253" s="64"/>
      <c r="Q253" s="60"/>
      <c r="R253" s="64"/>
      <c r="S253" s="60"/>
      <c r="T253" s="64"/>
      <c r="U253" s="60"/>
      <c r="V253" s="64"/>
      <c r="W253" s="60"/>
      <c r="X253" s="64"/>
      <c r="Y253" s="60"/>
      <c r="Z253" s="64"/>
      <c r="AA253" s="60"/>
      <c r="AB253" s="64"/>
      <c r="AC253" s="60"/>
      <c r="AD253" s="64"/>
      <c r="AE253" s="60"/>
      <c r="AF253" s="64"/>
    </row>
    <row r="254" spans="1:32" x14ac:dyDescent="0.25">
      <c r="A254" s="60"/>
      <c r="B254" s="64"/>
      <c r="C254" s="60"/>
      <c r="D254" s="64"/>
      <c r="E254" s="60"/>
      <c r="F254" s="64"/>
      <c r="G254" s="60"/>
      <c r="H254" s="64"/>
      <c r="I254" s="60"/>
      <c r="J254" s="64"/>
      <c r="K254" s="60"/>
      <c r="L254" s="64"/>
      <c r="M254" s="60"/>
      <c r="N254" s="64"/>
      <c r="O254" s="60"/>
      <c r="P254" s="64"/>
      <c r="Q254" s="60"/>
      <c r="R254" s="64"/>
      <c r="S254" s="60"/>
      <c r="T254" s="64"/>
      <c r="U254" s="60"/>
      <c r="V254" s="64"/>
      <c r="W254" s="60"/>
      <c r="X254" s="64"/>
      <c r="Y254" s="60"/>
      <c r="Z254" s="64"/>
      <c r="AA254" s="60"/>
      <c r="AB254" s="64"/>
      <c r="AC254" s="60"/>
      <c r="AD254" s="64"/>
      <c r="AE254" s="60"/>
      <c r="AF254" s="64"/>
    </row>
    <row r="255" spans="1:32" x14ac:dyDescent="0.25">
      <c r="A255" s="60"/>
      <c r="B255" s="64"/>
      <c r="C255" s="60"/>
      <c r="D255" s="64"/>
      <c r="E255" s="60"/>
      <c r="F255" s="64"/>
      <c r="G255" s="60"/>
      <c r="H255" s="64"/>
      <c r="I255" s="60"/>
      <c r="J255" s="64"/>
      <c r="K255" s="60"/>
      <c r="L255" s="64"/>
      <c r="M255" s="60"/>
      <c r="N255" s="64"/>
      <c r="O255" s="60"/>
      <c r="P255" s="64"/>
      <c r="Q255" s="60"/>
      <c r="R255" s="64"/>
      <c r="S255" s="60"/>
      <c r="T255" s="64"/>
      <c r="U255" s="60"/>
      <c r="V255" s="64"/>
      <c r="W255" s="60"/>
      <c r="X255" s="64"/>
      <c r="Y255" s="60"/>
      <c r="Z255" s="64"/>
      <c r="AA255" s="60"/>
      <c r="AB255" s="64"/>
      <c r="AC255" s="60"/>
      <c r="AD255" s="64"/>
      <c r="AE255" s="60"/>
      <c r="AF255" s="64"/>
    </row>
    <row r="256" spans="1:32" x14ac:dyDescent="0.25">
      <c r="A256" s="60"/>
      <c r="B256" s="64"/>
      <c r="C256" s="60"/>
      <c r="D256" s="64"/>
      <c r="E256" s="60"/>
      <c r="F256" s="64"/>
      <c r="G256" s="60"/>
      <c r="H256" s="64"/>
      <c r="I256" s="60"/>
      <c r="J256" s="64"/>
      <c r="K256" s="60"/>
      <c r="L256" s="64"/>
      <c r="M256" s="60"/>
      <c r="N256" s="64"/>
      <c r="O256" s="60"/>
      <c r="P256" s="64"/>
      <c r="Q256" s="60"/>
      <c r="R256" s="64"/>
      <c r="S256" s="60"/>
      <c r="T256" s="64"/>
      <c r="U256" s="60"/>
      <c r="V256" s="64"/>
      <c r="W256" s="60"/>
      <c r="X256" s="64"/>
      <c r="Y256" s="60"/>
      <c r="Z256" s="64"/>
      <c r="AA256" s="60"/>
      <c r="AB256" s="64"/>
      <c r="AC256" s="60"/>
      <c r="AD256" s="64"/>
      <c r="AE256" s="60"/>
      <c r="AF256" s="64"/>
    </row>
    <row r="257" spans="1:32" x14ac:dyDescent="0.25">
      <c r="A257" s="60"/>
      <c r="B257" s="64"/>
      <c r="C257" s="60"/>
      <c r="D257" s="64"/>
      <c r="E257" s="60"/>
      <c r="F257" s="64"/>
      <c r="G257" s="60"/>
      <c r="H257" s="64"/>
      <c r="I257" s="60"/>
      <c r="J257" s="64"/>
      <c r="K257" s="60"/>
      <c r="L257" s="64"/>
      <c r="M257" s="60"/>
      <c r="N257" s="64"/>
      <c r="O257" s="60"/>
      <c r="P257" s="64"/>
      <c r="Q257" s="60"/>
      <c r="R257" s="64"/>
      <c r="S257" s="60"/>
      <c r="T257" s="64"/>
      <c r="U257" s="60"/>
      <c r="V257" s="64"/>
      <c r="W257" s="60"/>
      <c r="X257" s="64"/>
      <c r="Y257" s="60"/>
      <c r="Z257" s="64"/>
      <c r="AA257" s="60"/>
      <c r="AB257" s="64"/>
      <c r="AC257" s="60"/>
      <c r="AD257" s="64"/>
      <c r="AE257" s="60"/>
      <c r="AF257" s="64"/>
    </row>
    <row r="258" spans="1:32" x14ac:dyDescent="0.25">
      <c r="A258" s="60"/>
      <c r="B258" s="64"/>
      <c r="C258" s="60"/>
      <c r="D258" s="64"/>
      <c r="E258" s="60"/>
      <c r="F258" s="64"/>
      <c r="G258" s="60"/>
      <c r="H258" s="64"/>
      <c r="I258" s="60"/>
      <c r="J258" s="64"/>
      <c r="K258" s="60"/>
      <c r="L258" s="64"/>
      <c r="M258" s="60"/>
      <c r="N258" s="64"/>
      <c r="O258" s="60"/>
      <c r="P258" s="64"/>
      <c r="Q258" s="60"/>
      <c r="R258" s="64"/>
      <c r="S258" s="60"/>
      <c r="T258" s="64"/>
      <c r="U258" s="60"/>
      <c r="V258" s="64"/>
      <c r="W258" s="60"/>
      <c r="X258" s="64"/>
      <c r="Y258" s="60"/>
      <c r="Z258" s="64"/>
      <c r="AA258" s="60"/>
      <c r="AB258" s="64"/>
      <c r="AC258" s="60"/>
      <c r="AD258" s="64"/>
      <c r="AE258" s="60"/>
      <c r="AF258" s="64"/>
    </row>
    <row r="259" spans="1:32" x14ac:dyDescent="0.25">
      <c r="A259" s="60"/>
      <c r="B259" s="64"/>
      <c r="C259" s="60"/>
      <c r="D259" s="64"/>
      <c r="E259" s="60"/>
      <c r="F259" s="64"/>
      <c r="G259" s="60"/>
      <c r="H259" s="64"/>
      <c r="I259" s="60"/>
      <c r="J259" s="64"/>
      <c r="K259" s="60"/>
      <c r="L259" s="64"/>
      <c r="M259" s="60"/>
      <c r="N259" s="64"/>
      <c r="O259" s="60"/>
      <c r="P259" s="64"/>
      <c r="Q259" s="60"/>
      <c r="R259" s="64"/>
      <c r="S259" s="60"/>
      <c r="T259" s="64"/>
      <c r="U259" s="60"/>
      <c r="V259" s="64"/>
      <c r="W259" s="60"/>
      <c r="X259" s="64"/>
      <c r="Y259" s="60"/>
      <c r="Z259" s="64"/>
      <c r="AA259" s="60"/>
      <c r="AB259" s="64"/>
      <c r="AC259" s="60"/>
      <c r="AD259" s="64"/>
      <c r="AE259" s="60"/>
      <c r="AF259" s="64"/>
    </row>
    <row r="260" spans="1:32" x14ac:dyDescent="0.25">
      <c r="A260" s="60"/>
      <c r="B260" s="64"/>
      <c r="C260" s="60"/>
      <c r="D260" s="64"/>
      <c r="E260" s="60"/>
      <c r="F260" s="64"/>
      <c r="G260" s="60"/>
      <c r="H260" s="64"/>
      <c r="I260" s="60"/>
      <c r="J260" s="64"/>
      <c r="K260" s="60"/>
      <c r="L260" s="64"/>
      <c r="M260" s="60"/>
      <c r="N260" s="64"/>
      <c r="O260" s="60"/>
      <c r="P260" s="64"/>
      <c r="Q260" s="60"/>
      <c r="R260" s="64"/>
      <c r="S260" s="60"/>
      <c r="T260" s="64"/>
      <c r="U260" s="60"/>
      <c r="V260" s="64"/>
      <c r="W260" s="60"/>
      <c r="X260" s="64"/>
      <c r="Y260" s="60"/>
      <c r="Z260" s="64"/>
      <c r="AA260" s="60"/>
      <c r="AB260" s="64"/>
      <c r="AC260" s="60"/>
      <c r="AD260" s="64"/>
      <c r="AE260" s="60"/>
      <c r="AF260" s="64"/>
    </row>
    <row r="261" spans="1:32" x14ac:dyDescent="0.25">
      <c r="A261" s="60"/>
      <c r="B261" s="64"/>
      <c r="C261" s="60"/>
      <c r="D261" s="64"/>
      <c r="E261" s="60"/>
      <c r="F261" s="64"/>
      <c r="G261" s="60"/>
      <c r="H261" s="64"/>
      <c r="I261" s="60"/>
      <c r="J261" s="64"/>
      <c r="K261" s="60"/>
      <c r="L261" s="64"/>
      <c r="M261" s="60"/>
      <c r="N261" s="64"/>
      <c r="O261" s="60"/>
      <c r="P261" s="64"/>
      <c r="Q261" s="60"/>
      <c r="R261" s="64"/>
      <c r="S261" s="60"/>
      <c r="T261" s="64"/>
      <c r="U261" s="60"/>
      <c r="V261" s="64"/>
      <c r="W261" s="60"/>
      <c r="X261" s="64"/>
      <c r="Y261" s="60"/>
      <c r="Z261" s="64"/>
      <c r="AA261" s="60"/>
      <c r="AB261" s="64"/>
      <c r="AC261" s="60"/>
      <c r="AD261" s="64"/>
      <c r="AE261" s="60"/>
      <c r="AF261" s="64"/>
    </row>
    <row r="262" spans="1:32" x14ac:dyDescent="0.25">
      <c r="A262" s="60"/>
      <c r="B262" s="64"/>
      <c r="C262" s="60"/>
      <c r="D262" s="64"/>
      <c r="E262" s="60"/>
      <c r="F262" s="64"/>
      <c r="G262" s="60"/>
      <c r="H262" s="64"/>
      <c r="I262" s="60"/>
      <c r="J262" s="64"/>
      <c r="K262" s="60"/>
      <c r="L262" s="64"/>
      <c r="M262" s="60"/>
      <c r="N262" s="64"/>
      <c r="O262" s="60"/>
      <c r="P262" s="64"/>
      <c r="Q262" s="60"/>
      <c r="R262" s="64"/>
      <c r="S262" s="60"/>
      <c r="T262" s="64"/>
      <c r="U262" s="60"/>
      <c r="V262" s="64"/>
      <c r="W262" s="60"/>
      <c r="X262" s="64"/>
      <c r="Y262" s="60"/>
      <c r="Z262" s="64"/>
      <c r="AA262" s="60"/>
      <c r="AB262" s="64"/>
      <c r="AC262" s="60"/>
      <c r="AD262" s="64"/>
      <c r="AE262" s="60"/>
      <c r="AF262" s="64"/>
    </row>
    <row r="263" spans="1:32" x14ac:dyDescent="0.25">
      <c r="A263" s="60"/>
      <c r="B263" s="64"/>
      <c r="C263" s="60"/>
      <c r="D263" s="64"/>
      <c r="E263" s="60"/>
      <c r="F263" s="64"/>
      <c r="G263" s="60"/>
      <c r="H263" s="64"/>
      <c r="I263" s="60"/>
      <c r="J263" s="64"/>
      <c r="K263" s="60"/>
      <c r="L263" s="64"/>
      <c r="M263" s="60"/>
      <c r="N263" s="64"/>
      <c r="O263" s="60"/>
      <c r="P263" s="64"/>
      <c r="Q263" s="60"/>
      <c r="R263" s="64"/>
      <c r="S263" s="60"/>
      <c r="T263" s="64"/>
      <c r="U263" s="60"/>
      <c r="V263" s="64"/>
      <c r="W263" s="60"/>
      <c r="X263" s="64"/>
      <c r="Y263" s="60"/>
      <c r="Z263" s="64"/>
      <c r="AA263" s="60"/>
      <c r="AB263" s="64"/>
      <c r="AC263" s="60"/>
      <c r="AD263" s="64"/>
      <c r="AE263" s="60"/>
      <c r="AF263" s="64"/>
    </row>
    <row r="264" spans="1:32" x14ac:dyDescent="0.25">
      <c r="A264" s="60"/>
      <c r="B264" s="64"/>
      <c r="C264" s="60"/>
      <c r="D264" s="64"/>
      <c r="E264" s="60"/>
      <c r="F264" s="64"/>
      <c r="G264" s="60"/>
      <c r="H264" s="64"/>
      <c r="I264" s="60"/>
      <c r="J264" s="64"/>
      <c r="K264" s="60"/>
      <c r="L264" s="64"/>
      <c r="M264" s="60"/>
      <c r="N264" s="64"/>
      <c r="O264" s="60"/>
      <c r="P264" s="64"/>
      <c r="Q264" s="60"/>
      <c r="R264" s="64"/>
      <c r="S264" s="60"/>
      <c r="T264" s="64"/>
      <c r="U264" s="60"/>
      <c r="V264" s="64"/>
      <c r="W264" s="60"/>
      <c r="X264" s="64"/>
      <c r="Y264" s="60"/>
      <c r="Z264" s="64"/>
      <c r="AA264" s="60"/>
      <c r="AB264" s="64"/>
      <c r="AC264" s="60"/>
      <c r="AD264" s="64"/>
      <c r="AE264" s="60"/>
      <c r="AF264" s="64"/>
    </row>
    <row r="265" spans="1:32" x14ac:dyDescent="0.25">
      <c r="A265" s="60"/>
      <c r="B265" s="64"/>
      <c r="C265" s="60"/>
      <c r="D265" s="64"/>
      <c r="E265" s="60"/>
      <c r="F265" s="64"/>
      <c r="G265" s="60"/>
      <c r="H265" s="64"/>
      <c r="I265" s="60"/>
      <c r="J265" s="64"/>
      <c r="K265" s="60"/>
      <c r="L265" s="64"/>
      <c r="M265" s="60"/>
      <c r="N265" s="64"/>
      <c r="O265" s="60"/>
      <c r="P265" s="64"/>
      <c r="Q265" s="60"/>
      <c r="R265" s="64"/>
      <c r="S265" s="60"/>
      <c r="T265" s="64"/>
      <c r="U265" s="60"/>
      <c r="V265" s="64"/>
      <c r="W265" s="60"/>
      <c r="X265" s="64"/>
      <c r="Y265" s="60"/>
      <c r="Z265" s="64"/>
      <c r="AA265" s="60"/>
      <c r="AB265" s="64"/>
      <c r="AC265" s="60"/>
      <c r="AD265" s="64"/>
      <c r="AE265" s="60"/>
      <c r="AF265" s="64"/>
    </row>
    <row r="266" spans="1:32" x14ac:dyDescent="0.25">
      <c r="A266" s="60"/>
      <c r="B266" s="64"/>
      <c r="C266" s="60"/>
      <c r="D266" s="64"/>
      <c r="E266" s="60"/>
      <c r="F266" s="64"/>
      <c r="G266" s="60"/>
      <c r="H266" s="64"/>
      <c r="I266" s="60"/>
      <c r="J266" s="64"/>
      <c r="K266" s="60"/>
      <c r="L266" s="64"/>
      <c r="M266" s="60"/>
      <c r="N266" s="64"/>
      <c r="O266" s="60"/>
      <c r="P266" s="64"/>
      <c r="Q266" s="60"/>
      <c r="R266" s="64"/>
      <c r="S266" s="60"/>
      <c r="T266" s="64"/>
      <c r="U266" s="60"/>
      <c r="V266" s="64"/>
      <c r="W266" s="60"/>
      <c r="X266" s="64"/>
      <c r="Y266" s="60"/>
      <c r="Z266" s="64"/>
      <c r="AA266" s="60"/>
      <c r="AB266" s="64"/>
      <c r="AC266" s="60"/>
      <c r="AD266" s="64"/>
      <c r="AE266" s="60"/>
      <c r="AF266" s="64"/>
    </row>
    <row r="267" spans="1:32" x14ac:dyDescent="0.25">
      <c r="A267" s="60"/>
      <c r="B267" s="64"/>
      <c r="C267" s="60"/>
      <c r="D267" s="64"/>
      <c r="E267" s="60"/>
      <c r="F267" s="64"/>
      <c r="G267" s="60"/>
      <c r="H267" s="64"/>
      <c r="I267" s="60"/>
      <c r="J267" s="64"/>
      <c r="K267" s="60"/>
      <c r="L267" s="64"/>
      <c r="M267" s="60"/>
      <c r="N267" s="64"/>
      <c r="O267" s="60"/>
      <c r="P267" s="64"/>
      <c r="Q267" s="60"/>
      <c r="R267" s="64"/>
      <c r="S267" s="60"/>
      <c r="T267" s="64"/>
      <c r="U267" s="60"/>
      <c r="V267" s="64"/>
      <c r="W267" s="60"/>
      <c r="X267" s="64"/>
      <c r="Y267" s="60"/>
      <c r="Z267" s="64"/>
      <c r="AA267" s="60"/>
      <c r="AB267" s="64"/>
      <c r="AC267" s="60"/>
      <c r="AD267" s="64"/>
      <c r="AE267" s="60"/>
      <c r="AF267" s="64"/>
    </row>
    <row r="268" spans="1:32" x14ac:dyDescent="0.25">
      <c r="A268" s="60"/>
      <c r="B268" s="64"/>
      <c r="C268" s="60"/>
      <c r="D268" s="64"/>
      <c r="E268" s="60"/>
      <c r="F268" s="64"/>
      <c r="G268" s="60"/>
      <c r="H268" s="64"/>
      <c r="I268" s="60"/>
      <c r="J268" s="64"/>
      <c r="K268" s="60"/>
      <c r="L268" s="64"/>
      <c r="M268" s="60"/>
      <c r="N268" s="64"/>
      <c r="O268" s="60"/>
      <c r="P268" s="64"/>
      <c r="Q268" s="60"/>
      <c r="R268" s="64"/>
      <c r="S268" s="60"/>
      <c r="T268" s="64"/>
      <c r="U268" s="60"/>
      <c r="V268" s="64"/>
      <c r="W268" s="60"/>
      <c r="X268" s="64"/>
      <c r="Y268" s="60"/>
      <c r="Z268" s="64"/>
      <c r="AA268" s="60"/>
      <c r="AB268" s="64"/>
      <c r="AC268" s="60"/>
      <c r="AD268" s="64"/>
      <c r="AE268" s="60"/>
      <c r="AF268" s="64"/>
    </row>
    <row r="269" spans="1:32" x14ac:dyDescent="0.25">
      <c r="A269" s="60"/>
      <c r="B269" s="64"/>
      <c r="C269" s="60"/>
      <c r="D269" s="64"/>
      <c r="E269" s="60"/>
      <c r="F269" s="64"/>
      <c r="G269" s="60"/>
      <c r="H269" s="64"/>
      <c r="I269" s="60"/>
      <c r="J269" s="64"/>
      <c r="K269" s="60"/>
      <c r="L269" s="64"/>
      <c r="M269" s="60"/>
      <c r="N269" s="64"/>
      <c r="O269" s="60"/>
      <c r="P269" s="64"/>
      <c r="Q269" s="60"/>
      <c r="R269" s="64"/>
      <c r="S269" s="60"/>
      <c r="T269" s="64"/>
      <c r="U269" s="60"/>
      <c r="V269" s="64"/>
      <c r="W269" s="60"/>
      <c r="X269" s="64"/>
      <c r="Y269" s="60"/>
      <c r="Z269" s="64"/>
      <c r="AA269" s="60"/>
      <c r="AB269" s="64"/>
      <c r="AC269" s="60"/>
      <c r="AD269" s="64"/>
      <c r="AE269" s="60"/>
      <c r="AF269" s="64"/>
    </row>
    <row r="270" spans="1:32" x14ac:dyDescent="0.25">
      <c r="A270" s="60"/>
      <c r="B270" s="64"/>
      <c r="C270" s="60"/>
      <c r="D270" s="64"/>
      <c r="E270" s="60"/>
      <c r="F270" s="64"/>
      <c r="G270" s="60"/>
      <c r="H270" s="64"/>
      <c r="I270" s="60"/>
      <c r="J270" s="64"/>
      <c r="K270" s="60"/>
      <c r="L270" s="64"/>
      <c r="M270" s="60"/>
      <c r="N270" s="64"/>
      <c r="O270" s="60"/>
      <c r="P270" s="64"/>
      <c r="Q270" s="60"/>
      <c r="R270" s="64"/>
      <c r="S270" s="60"/>
      <c r="T270" s="64"/>
      <c r="U270" s="60"/>
      <c r="V270" s="64"/>
      <c r="W270" s="60"/>
      <c r="X270" s="64"/>
      <c r="Y270" s="60"/>
      <c r="Z270" s="64"/>
      <c r="AA270" s="60"/>
      <c r="AB270" s="64"/>
      <c r="AC270" s="60"/>
      <c r="AD270" s="64"/>
      <c r="AE270" s="60"/>
      <c r="AF270" s="64"/>
    </row>
    <row r="271" spans="1:32" x14ac:dyDescent="0.25">
      <c r="A271" s="60"/>
      <c r="B271" s="64"/>
      <c r="C271" s="60"/>
      <c r="D271" s="64"/>
      <c r="E271" s="60"/>
      <c r="F271" s="64"/>
      <c r="G271" s="60"/>
      <c r="H271" s="64"/>
      <c r="I271" s="60"/>
      <c r="J271" s="64"/>
      <c r="K271" s="60"/>
      <c r="L271" s="64"/>
      <c r="M271" s="60"/>
      <c r="N271" s="64"/>
      <c r="O271" s="60"/>
      <c r="P271" s="64"/>
      <c r="Q271" s="60"/>
      <c r="R271" s="64"/>
      <c r="S271" s="60"/>
      <c r="T271" s="64"/>
      <c r="U271" s="60"/>
      <c r="V271" s="64"/>
      <c r="W271" s="60"/>
      <c r="X271" s="64"/>
      <c r="Y271" s="60"/>
      <c r="Z271" s="64"/>
      <c r="AA271" s="60"/>
      <c r="AB271" s="64"/>
      <c r="AC271" s="60"/>
      <c r="AD271" s="64"/>
      <c r="AE271" s="60"/>
      <c r="AF271" s="64"/>
    </row>
    <row r="272" spans="1:32" x14ac:dyDescent="0.25">
      <c r="A272" s="60"/>
      <c r="B272" s="64"/>
      <c r="C272" s="60"/>
      <c r="D272" s="64"/>
      <c r="E272" s="60"/>
      <c r="F272" s="64"/>
      <c r="G272" s="60"/>
      <c r="H272" s="64"/>
      <c r="I272" s="60"/>
      <c r="J272" s="64"/>
      <c r="K272" s="60"/>
      <c r="L272" s="64"/>
      <c r="M272" s="60"/>
      <c r="N272" s="64"/>
      <c r="O272" s="60"/>
      <c r="P272" s="64"/>
      <c r="Q272" s="60"/>
      <c r="R272" s="64"/>
      <c r="S272" s="60"/>
      <c r="T272" s="64"/>
      <c r="U272" s="60"/>
      <c r="V272" s="64"/>
      <c r="W272" s="60"/>
      <c r="X272" s="64"/>
      <c r="Y272" s="60"/>
      <c r="Z272" s="64"/>
      <c r="AA272" s="60"/>
      <c r="AB272" s="64"/>
      <c r="AC272" s="60"/>
      <c r="AD272" s="64"/>
      <c r="AE272" s="60"/>
      <c r="AF272" s="64"/>
    </row>
    <row r="273" spans="1:32" x14ac:dyDescent="0.25">
      <c r="A273" s="60"/>
      <c r="B273" s="64"/>
      <c r="C273" s="60"/>
      <c r="D273" s="64"/>
      <c r="E273" s="60"/>
      <c r="F273" s="64"/>
      <c r="G273" s="60"/>
      <c r="H273" s="64"/>
      <c r="I273" s="60"/>
      <c r="J273" s="64"/>
      <c r="K273" s="60"/>
      <c r="L273" s="64"/>
      <c r="M273" s="60"/>
      <c r="N273" s="64"/>
      <c r="O273" s="60"/>
      <c r="P273" s="64"/>
      <c r="Q273" s="60"/>
      <c r="R273" s="64"/>
      <c r="S273" s="60"/>
      <c r="T273" s="64"/>
      <c r="U273" s="60"/>
      <c r="V273" s="64"/>
      <c r="W273" s="60"/>
      <c r="X273" s="64"/>
      <c r="Y273" s="60"/>
      <c r="Z273" s="64"/>
      <c r="AA273" s="60"/>
      <c r="AB273" s="64"/>
      <c r="AC273" s="60"/>
      <c r="AD273" s="64"/>
      <c r="AE273" s="60"/>
      <c r="AF273" s="64"/>
    </row>
    <row r="274" spans="1:32" x14ac:dyDescent="0.25">
      <c r="A274" s="60"/>
      <c r="B274" s="64"/>
      <c r="C274" s="60"/>
      <c r="D274" s="64"/>
      <c r="E274" s="60"/>
      <c r="F274" s="64"/>
      <c r="G274" s="60"/>
      <c r="H274" s="64"/>
      <c r="I274" s="60"/>
      <c r="J274" s="64"/>
      <c r="K274" s="60"/>
      <c r="L274" s="64"/>
      <c r="M274" s="60"/>
      <c r="N274" s="64"/>
      <c r="O274" s="60"/>
      <c r="P274" s="64"/>
      <c r="Q274" s="60"/>
      <c r="R274" s="64"/>
      <c r="S274" s="60"/>
      <c r="T274" s="64"/>
      <c r="U274" s="60"/>
      <c r="V274" s="64"/>
      <c r="W274" s="60"/>
      <c r="X274" s="64"/>
      <c r="Y274" s="60"/>
      <c r="Z274" s="64"/>
      <c r="AA274" s="60"/>
      <c r="AB274" s="64"/>
      <c r="AC274" s="60"/>
      <c r="AD274" s="64"/>
      <c r="AE274" s="60"/>
      <c r="AF274" s="64"/>
    </row>
    <row r="275" spans="1:32" x14ac:dyDescent="0.25">
      <c r="A275" s="60"/>
      <c r="B275" s="64"/>
      <c r="C275" s="60"/>
      <c r="D275" s="64"/>
      <c r="E275" s="60"/>
      <c r="F275" s="64"/>
      <c r="G275" s="60"/>
      <c r="H275" s="64"/>
      <c r="I275" s="60"/>
      <c r="J275" s="64"/>
      <c r="K275" s="60"/>
      <c r="L275" s="64"/>
      <c r="M275" s="60"/>
      <c r="N275" s="64"/>
      <c r="O275" s="60"/>
      <c r="P275" s="64"/>
      <c r="Q275" s="60"/>
      <c r="R275" s="64"/>
      <c r="S275" s="60"/>
      <c r="T275" s="64"/>
      <c r="U275" s="60"/>
      <c r="V275" s="64"/>
      <c r="W275" s="60"/>
      <c r="X275" s="64"/>
      <c r="Y275" s="60"/>
      <c r="Z275" s="64"/>
      <c r="AA275" s="60"/>
      <c r="AB275" s="64"/>
      <c r="AC275" s="60"/>
      <c r="AD275" s="64"/>
      <c r="AE275" s="60"/>
      <c r="AF275" s="64"/>
    </row>
    <row r="276" spans="1:32" x14ac:dyDescent="0.25">
      <c r="A276" s="60"/>
      <c r="B276" s="64"/>
      <c r="C276" s="60"/>
      <c r="D276" s="64"/>
      <c r="E276" s="60"/>
      <c r="F276" s="64"/>
      <c r="G276" s="60"/>
      <c r="H276" s="64"/>
      <c r="I276" s="60"/>
      <c r="J276" s="64"/>
      <c r="K276" s="60"/>
      <c r="L276" s="64"/>
      <c r="M276" s="60"/>
      <c r="N276" s="64"/>
      <c r="O276" s="60"/>
      <c r="P276" s="64"/>
      <c r="Q276" s="60"/>
      <c r="R276" s="64"/>
      <c r="S276" s="60"/>
      <c r="T276" s="64"/>
      <c r="U276" s="60"/>
      <c r="V276" s="64"/>
      <c r="W276" s="60"/>
      <c r="X276" s="64"/>
      <c r="Y276" s="60"/>
      <c r="Z276" s="64"/>
      <c r="AA276" s="60"/>
      <c r="AB276" s="64"/>
      <c r="AC276" s="60"/>
      <c r="AD276" s="64"/>
      <c r="AE276" s="60"/>
      <c r="AF276" s="64"/>
    </row>
    <row r="277" spans="1:32" x14ac:dyDescent="0.25">
      <c r="A277" s="60"/>
      <c r="B277" s="64"/>
      <c r="C277" s="60"/>
      <c r="D277" s="64"/>
      <c r="E277" s="60"/>
      <c r="F277" s="64"/>
      <c r="G277" s="60"/>
      <c r="H277" s="64"/>
      <c r="I277" s="60"/>
      <c r="J277" s="64"/>
      <c r="K277" s="60"/>
      <c r="L277" s="64"/>
      <c r="M277" s="60"/>
      <c r="N277" s="64"/>
      <c r="O277" s="60"/>
      <c r="P277" s="64"/>
      <c r="Q277" s="60"/>
      <c r="R277" s="64"/>
      <c r="S277" s="60"/>
      <c r="T277" s="64"/>
      <c r="U277" s="60"/>
      <c r="V277" s="64"/>
      <c r="W277" s="60"/>
      <c r="X277" s="64"/>
      <c r="Y277" s="60"/>
      <c r="Z277" s="64"/>
      <c r="AA277" s="60"/>
      <c r="AB277" s="64"/>
      <c r="AC277" s="60"/>
      <c r="AD277" s="64"/>
      <c r="AE277" s="60"/>
      <c r="AF277" s="64"/>
    </row>
    <row r="278" spans="1:32" x14ac:dyDescent="0.25">
      <c r="A278" s="60"/>
      <c r="B278" s="64"/>
      <c r="C278" s="60"/>
      <c r="D278" s="64"/>
      <c r="E278" s="60"/>
      <c r="F278" s="64"/>
      <c r="G278" s="60"/>
      <c r="H278" s="64"/>
      <c r="I278" s="60"/>
      <c r="J278" s="64"/>
      <c r="K278" s="60"/>
      <c r="L278" s="64"/>
      <c r="M278" s="60"/>
      <c r="N278" s="64"/>
      <c r="O278" s="60"/>
      <c r="P278" s="64"/>
      <c r="Q278" s="60"/>
      <c r="R278" s="64"/>
      <c r="S278" s="60"/>
      <c r="T278" s="64"/>
      <c r="U278" s="60"/>
      <c r="V278" s="64"/>
      <c r="W278" s="60"/>
      <c r="X278" s="64"/>
      <c r="Y278" s="60"/>
      <c r="Z278" s="64"/>
      <c r="AA278" s="60"/>
      <c r="AB278" s="64"/>
      <c r="AC278" s="60"/>
      <c r="AD278" s="64"/>
      <c r="AE278" s="60"/>
      <c r="AF278" s="64"/>
    </row>
    <row r="279" spans="1:32" x14ac:dyDescent="0.25">
      <c r="A279" s="60"/>
      <c r="B279" s="64"/>
      <c r="C279" s="60"/>
      <c r="D279" s="64"/>
      <c r="E279" s="60"/>
      <c r="F279" s="64"/>
      <c r="G279" s="60"/>
      <c r="H279" s="64"/>
      <c r="I279" s="60"/>
      <c r="J279" s="64"/>
      <c r="K279" s="60"/>
      <c r="L279" s="64"/>
      <c r="M279" s="60"/>
      <c r="N279" s="64"/>
      <c r="O279" s="60"/>
      <c r="P279" s="64"/>
      <c r="Q279" s="60"/>
      <c r="R279" s="64"/>
      <c r="S279" s="60"/>
      <c r="T279" s="64"/>
      <c r="U279" s="60"/>
      <c r="V279" s="64"/>
      <c r="W279" s="60"/>
      <c r="X279" s="64"/>
      <c r="Y279" s="60"/>
      <c r="Z279" s="64"/>
      <c r="AA279" s="60"/>
      <c r="AB279" s="64"/>
      <c r="AC279" s="60"/>
      <c r="AD279" s="64"/>
      <c r="AE279" s="60"/>
      <c r="AF279" s="64"/>
    </row>
    <row r="280" spans="1:32" x14ac:dyDescent="0.25">
      <c r="A280" s="60"/>
      <c r="B280" s="64"/>
      <c r="C280" s="60"/>
      <c r="D280" s="64"/>
      <c r="E280" s="60"/>
      <c r="F280" s="64"/>
      <c r="G280" s="60"/>
      <c r="H280" s="64"/>
      <c r="I280" s="60"/>
      <c r="J280" s="64"/>
      <c r="K280" s="60"/>
      <c r="L280" s="64"/>
      <c r="M280" s="60"/>
      <c r="N280" s="64"/>
      <c r="O280" s="60"/>
      <c r="P280" s="64"/>
      <c r="Q280" s="60"/>
      <c r="R280" s="64"/>
      <c r="S280" s="60"/>
      <c r="T280" s="64"/>
      <c r="U280" s="60"/>
      <c r="V280" s="64"/>
      <c r="W280" s="60"/>
      <c r="X280" s="64"/>
      <c r="Y280" s="60"/>
      <c r="Z280" s="64"/>
      <c r="AA280" s="60"/>
      <c r="AB280" s="64"/>
      <c r="AC280" s="60"/>
      <c r="AD280" s="64"/>
      <c r="AE280" s="60"/>
      <c r="AF280" s="64"/>
    </row>
    <row r="281" spans="1:32" x14ac:dyDescent="0.25">
      <c r="A281" s="60"/>
      <c r="B281" s="64"/>
      <c r="C281" s="60"/>
      <c r="D281" s="64"/>
      <c r="E281" s="60"/>
      <c r="F281" s="64"/>
      <c r="G281" s="60"/>
      <c r="H281" s="64"/>
      <c r="I281" s="60"/>
      <c r="J281" s="64"/>
      <c r="K281" s="60"/>
      <c r="L281" s="64"/>
      <c r="M281" s="60"/>
      <c r="N281" s="64"/>
      <c r="O281" s="60"/>
      <c r="P281" s="64"/>
      <c r="Q281" s="60"/>
      <c r="R281" s="64"/>
      <c r="S281" s="60"/>
      <c r="T281" s="64"/>
      <c r="U281" s="60"/>
      <c r="V281" s="64"/>
      <c r="W281" s="60"/>
      <c r="X281" s="64"/>
      <c r="Y281" s="60"/>
      <c r="Z281" s="64"/>
      <c r="AA281" s="60"/>
      <c r="AB281" s="64"/>
      <c r="AC281" s="60"/>
      <c r="AD281" s="64"/>
      <c r="AE281" s="60"/>
      <c r="AF281" s="64"/>
    </row>
    <row r="282" spans="1:32" x14ac:dyDescent="0.25">
      <c r="A282" s="60"/>
      <c r="B282" s="64"/>
      <c r="C282" s="60"/>
      <c r="D282" s="64"/>
      <c r="E282" s="60"/>
      <c r="F282" s="64"/>
      <c r="G282" s="60"/>
      <c r="H282" s="64"/>
      <c r="I282" s="60"/>
      <c r="J282" s="64"/>
      <c r="K282" s="60"/>
      <c r="L282" s="64"/>
      <c r="M282" s="60"/>
      <c r="N282" s="64"/>
      <c r="O282" s="60"/>
      <c r="P282" s="64"/>
      <c r="Q282" s="60"/>
      <c r="R282" s="64"/>
      <c r="S282" s="60"/>
      <c r="T282" s="64"/>
      <c r="U282" s="60"/>
      <c r="V282" s="64"/>
      <c r="W282" s="60"/>
      <c r="X282" s="64"/>
      <c r="Y282" s="60"/>
      <c r="Z282" s="64"/>
      <c r="AA282" s="60"/>
      <c r="AB282" s="64"/>
      <c r="AC282" s="60"/>
      <c r="AD282" s="64"/>
      <c r="AE282" s="60"/>
      <c r="AF282" s="64"/>
    </row>
    <row r="283" spans="1:32" x14ac:dyDescent="0.25">
      <c r="A283" s="60"/>
      <c r="B283" s="64"/>
      <c r="C283" s="60"/>
      <c r="D283" s="64"/>
      <c r="E283" s="60"/>
      <c r="F283" s="64"/>
      <c r="G283" s="60"/>
      <c r="H283" s="64"/>
      <c r="I283" s="60"/>
      <c r="J283" s="64"/>
      <c r="K283" s="60"/>
      <c r="L283" s="64"/>
      <c r="M283" s="60"/>
      <c r="N283" s="64"/>
      <c r="O283" s="60"/>
      <c r="P283" s="64"/>
      <c r="Q283" s="60"/>
      <c r="R283" s="64"/>
      <c r="S283" s="60"/>
      <c r="T283" s="64"/>
      <c r="U283" s="60"/>
      <c r="V283" s="64"/>
      <c r="W283" s="60"/>
      <c r="X283" s="64"/>
      <c r="Y283" s="60"/>
      <c r="Z283" s="64"/>
      <c r="AA283" s="60"/>
      <c r="AB283" s="64"/>
      <c r="AC283" s="60"/>
      <c r="AD283" s="64"/>
      <c r="AE283" s="60"/>
      <c r="AF283" s="64"/>
    </row>
    <row r="284" spans="1:32" x14ac:dyDescent="0.25">
      <c r="A284" s="60"/>
      <c r="B284" s="64"/>
      <c r="C284" s="60"/>
      <c r="D284" s="64"/>
      <c r="E284" s="60"/>
      <c r="F284" s="64"/>
      <c r="G284" s="60"/>
      <c r="H284" s="64"/>
      <c r="I284" s="60"/>
      <c r="J284" s="64"/>
      <c r="K284" s="60"/>
      <c r="L284" s="64"/>
      <c r="M284" s="60"/>
      <c r="N284" s="64"/>
      <c r="O284" s="60"/>
      <c r="P284" s="64"/>
      <c r="Q284" s="60"/>
      <c r="R284" s="64"/>
      <c r="S284" s="60"/>
      <c r="T284" s="64"/>
      <c r="U284" s="60"/>
      <c r="V284" s="64"/>
      <c r="W284" s="60"/>
      <c r="X284" s="64"/>
      <c r="Y284" s="60"/>
      <c r="Z284" s="64"/>
      <c r="AA284" s="60"/>
      <c r="AB284" s="64"/>
      <c r="AC284" s="60"/>
      <c r="AD284" s="64"/>
      <c r="AE284" s="60"/>
      <c r="AF284" s="64"/>
    </row>
    <row r="285" spans="1:32" x14ac:dyDescent="0.25">
      <c r="A285" s="60"/>
      <c r="B285" s="64"/>
      <c r="C285" s="60"/>
      <c r="D285" s="64"/>
      <c r="E285" s="60"/>
      <c r="F285" s="64"/>
      <c r="G285" s="60"/>
      <c r="H285" s="64"/>
      <c r="I285" s="60"/>
      <c r="J285" s="64"/>
      <c r="K285" s="60"/>
      <c r="L285" s="64"/>
      <c r="M285" s="60"/>
      <c r="N285" s="64"/>
      <c r="O285" s="60"/>
      <c r="P285" s="64"/>
      <c r="Q285" s="60"/>
      <c r="R285" s="64"/>
      <c r="S285" s="60"/>
      <c r="T285" s="64"/>
      <c r="U285" s="60"/>
      <c r="V285" s="64"/>
      <c r="W285" s="60"/>
      <c r="X285" s="64"/>
      <c r="Y285" s="60"/>
      <c r="Z285" s="64"/>
      <c r="AA285" s="60"/>
      <c r="AB285" s="64"/>
      <c r="AC285" s="60"/>
      <c r="AD285" s="64"/>
      <c r="AE285" s="60"/>
      <c r="AF285" s="64"/>
    </row>
    <row r="286" spans="1:32" x14ac:dyDescent="0.25">
      <c r="A286" s="60"/>
      <c r="B286" s="64"/>
      <c r="C286" s="60"/>
      <c r="D286" s="64"/>
      <c r="E286" s="60"/>
      <c r="F286" s="64"/>
      <c r="G286" s="60"/>
      <c r="H286" s="64"/>
      <c r="I286" s="60"/>
      <c r="J286" s="64"/>
      <c r="K286" s="60"/>
      <c r="L286" s="64"/>
      <c r="M286" s="60"/>
      <c r="N286" s="64"/>
      <c r="O286" s="60"/>
      <c r="P286" s="64"/>
      <c r="Q286" s="60"/>
      <c r="R286" s="64"/>
      <c r="S286" s="60"/>
      <c r="T286" s="64"/>
      <c r="U286" s="60"/>
      <c r="V286" s="64"/>
      <c r="W286" s="60"/>
      <c r="X286" s="64"/>
      <c r="Y286" s="60"/>
      <c r="Z286" s="64"/>
      <c r="AA286" s="60"/>
      <c r="AB286" s="64"/>
      <c r="AC286" s="60"/>
      <c r="AD286" s="64"/>
      <c r="AE286" s="60"/>
      <c r="AF286" s="64"/>
    </row>
    <row r="287" spans="1:32" x14ac:dyDescent="0.25">
      <c r="A287" s="60"/>
      <c r="B287" s="64"/>
      <c r="C287" s="60"/>
      <c r="D287" s="64"/>
      <c r="E287" s="60"/>
      <c r="F287" s="64"/>
      <c r="G287" s="60"/>
      <c r="H287" s="64"/>
      <c r="I287" s="60"/>
      <c r="J287" s="64"/>
      <c r="K287" s="60"/>
      <c r="L287" s="64"/>
      <c r="M287" s="60"/>
      <c r="N287" s="64"/>
      <c r="O287" s="60"/>
      <c r="P287" s="64"/>
      <c r="Q287" s="60"/>
      <c r="R287" s="64"/>
      <c r="S287" s="60"/>
      <c r="T287" s="64"/>
      <c r="U287" s="60"/>
      <c r="V287" s="64"/>
      <c r="W287" s="60"/>
      <c r="X287" s="64"/>
      <c r="Y287" s="60"/>
      <c r="Z287" s="64"/>
      <c r="AA287" s="60"/>
      <c r="AB287" s="64"/>
      <c r="AC287" s="60"/>
      <c r="AD287" s="64"/>
      <c r="AE287" s="60"/>
      <c r="AF287" s="64"/>
    </row>
    <row r="288" spans="1:32" x14ac:dyDescent="0.25">
      <c r="A288" s="60"/>
      <c r="B288" s="64"/>
      <c r="C288" s="60"/>
      <c r="D288" s="64"/>
      <c r="E288" s="60"/>
      <c r="F288" s="64"/>
      <c r="G288" s="60"/>
      <c r="H288" s="64"/>
      <c r="I288" s="60"/>
      <c r="J288" s="64"/>
      <c r="K288" s="60"/>
      <c r="L288" s="64"/>
      <c r="M288" s="60"/>
      <c r="N288" s="64"/>
      <c r="O288" s="60"/>
      <c r="P288" s="64"/>
      <c r="Q288" s="60"/>
      <c r="R288" s="64"/>
      <c r="S288" s="60"/>
      <c r="T288" s="64"/>
      <c r="U288" s="60"/>
      <c r="V288" s="64"/>
      <c r="W288" s="60"/>
      <c r="X288" s="64"/>
      <c r="Y288" s="60"/>
      <c r="Z288" s="64"/>
      <c r="AA288" s="60"/>
      <c r="AB288" s="64"/>
      <c r="AC288" s="60"/>
      <c r="AD288" s="64"/>
      <c r="AE288" s="60"/>
      <c r="AF288" s="64"/>
    </row>
    <row r="289" spans="1:32" x14ac:dyDescent="0.25">
      <c r="A289" s="60"/>
      <c r="B289" s="64"/>
      <c r="C289" s="60"/>
      <c r="D289" s="64"/>
      <c r="E289" s="60"/>
      <c r="F289" s="64"/>
      <c r="G289" s="60"/>
      <c r="H289" s="64"/>
      <c r="I289" s="60"/>
      <c r="J289" s="64"/>
      <c r="K289" s="60"/>
      <c r="L289" s="64"/>
      <c r="M289" s="60"/>
      <c r="N289" s="64"/>
      <c r="O289" s="60"/>
      <c r="P289" s="64"/>
      <c r="Q289" s="60"/>
      <c r="R289" s="64"/>
      <c r="S289" s="60"/>
      <c r="T289" s="64"/>
      <c r="U289" s="60"/>
      <c r="V289" s="64"/>
      <c r="W289" s="60"/>
      <c r="X289" s="64"/>
      <c r="Y289" s="60"/>
      <c r="Z289" s="64"/>
      <c r="AA289" s="60"/>
      <c r="AB289" s="64"/>
      <c r="AC289" s="60"/>
      <c r="AD289" s="64"/>
      <c r="AE289" s="60"/>
      <c r="AF289" s="64"/>
    </row>
    <row r="290" spans="1:32" x14ac:dyDescent="0.25">
      <c r="A290" s="60"/>
      <c r="B290" s="64"/>
      <c r="C290" s="60"/>
      <c r="D290" s="64"/>
      <c r="E290" s="60"/>
      <c r="F290" s="64"/>
      <c r="G290" s="60"/>
      <c r="H290" s="64"/>
      <c r="I290" s="60"/>
      <c r="J290" s="64"/>
      <c r="K290" s="60"/>
      <c r="L290" s="64"/>
      <c r="M290" s="60"/>
      <c r="N290" s="64"/>
      <c r="O290" s="60"/>
      <c r="P290" s="64"/>
      <c r="Q290" s="60"/>
      <c r="R290" s="64"/>
      <c r="S290" s="60"/>
      <c r="T290" s="64"/>
      <c r="U290" s="60"/>
      <c r="V290" s="64"/>
      <c r="W290" s="60"/>
      <c r="X290" s="64"/>
      <c r="Y290" s="60"/>
      <c r="Z290" s="64"/>
      <c r="AA290" s="60"/>
      <c r="AB290" s="64"/>
      <c r="AC290" s="60"/>
      <c r="AD290" s="64"/>
      <c r="AE290" s="60"/>
      <c r="AF290" s="64"/>
    </row>
    <row r="291" spans="1:32" x14ac:dyDescent="0.25">
      <c r="A291" s="60"/>
      <c r="B291" s="64"/>
      <c r="C291" s="60"/>
      <c r="D291" s="64"/>
      <c r="E291" s="60"/>
      <c r="F291" s="64"/>
      <c r="G291" s="60"/>
      <c r="H291" s="64"/>
      <c r="I291" s="60"/>
      <c r="J291" s="64"/>
      <c r="K291" s="60"/>
      <c r="L291" s="64"/>
      <c r="M291" s="60"/>
      <c r="N291" s="64"/>
      <c r="O291" s="60"/>
      <c r="P291" s="64"/>
      <c r="Q291" s="60"/>
      <c r="R291" s="64"/>
      <c r="S291" s="60"/>
      <c r="T291" s="64"/>
      <c r="U291" s="60"/>
      <c r="V291" s="64"/>
      <c r="W291" s="60"/>
      <c r="X291" s="64"/>
      <c r="Y291" s="60"/>
      <c r="Z291" s="64"/>
      <c r="AA291" s="60"/>
      <c r="AB291" s="64"/>
      <c r="AC291" s="60"/>
      <c r="AD291" s="64"/>
      <c r="AE291" s="60"/>
      <c r="AF291" s="64"/>
    </row>
    <row r="292" spans="1:32" x14ac:dyDescent="0.25">
      <c r="A292" s="60"/>
      <c r="B292" s="64"/>
      <c r="C292" s="60"/>
      <c r="D292" s="64"/>
      <c r="E292" s="60"/>
      <c r="F292" s="64"/>
      <c r="G292" s="60"/>
      <c r="H292" s="64"/>
      <c r="I292" s="60"/>
      <c r="J292" s="64"/>
      <c r="K292" s="60"/>
      <c r="L292" s="64"/>
      <c r="M292" s="60"/>
      <c r="N292" s="64"/>
      <c r="O292" s="60"/>
      <c r="P292" s="64"/>
      <c r="Q292" s="60"/>
      <c r="R292" s="64"/>
      <c r="S292" s="60"/>
      <c r="T292" s="64"/>
      <c r="U292" s="60"/>
      <c r="V292" s="64"/>
      <c r="W292" s="60"/>
      <c r="X292" s="64"/>
      <c r="Y292" s="60"/>
      <c r="Z292" s="64"/>
      <c r="AA292" s="60"/>
      <c r="AB292" s="64"/>
      <c r="AC292" s="60"/>
      <c r="AD292" s="64"/>
      <c r="AE292" s="60"/>
      <c r="AF292" s="64"/>
    </row>
    <row r="293" spans="1:32" x14ac:dyDescent="0.25">
      <c r="A293" s="60"/>
      <c r="B293" s="64"/>
      <c r="C293" s="60"/>
      <c r="D293" s="64"/>
      <c r="E293" s="60"/>
      <c r="F293" s="64"/>
      <c r="G293" s="60"/>
      <c r="H293" s="64"/>
      <c r="I293" s="60"/>
      <c r="J293" s="64"/>
      <c r="K293" s="60"/>
      <c r="L293" s="64"/>
      <c r="M293" s="60"/>
      <c r="N293" s="64"/>
      <c r="O293" s="60"/>
      <c r="P293" s="64"/>
      <c r="Q293" s="60"/>
      <c r="R293" s="64"/>
      <c r="S293" s="60"/>
      <c r="T293" s="64"/>
      <c r="U293" s="60"/>
      <c r="V293" s="64"/>
      <c r="W293" s="60"/>
      <c r="X293" s="64"/>
      <c r="Y293" s="60"/>
      <c r="Z293" s="64"/>
      <c r="AA293" s="60"/>
      <c r="AB293" s="64"/>
      <c r="AC293" s="60"/>
      <c r="AD293" s="64"/>
      <c r="AE293" s="60"/>
      <c r="AF293" s="64"/>
    </row>
    <row r="294" spans="1:32" x14ac:dyDescent="0.25">
      <c r="A294" s="65"/>
      <c r="C294" s="65"/>
      <c r="E294" s="65"/>
      <c r="G294" s="65"/>
      <c r="I294" s="65"/>
      <c r="K294" s="65"/>
      <c r="M294" s="65"/>
      <c r="O294" s="65"/>
      <c r="Q294" s="65"/>
      <c r="S294" s="65"/>
      <c r="U294" s="65"/>
      <c r="W294" s="65"/>
      <c r="Y294" s="65"/>
      <c r="AA294" s="65"/>
      <c r="AC294" s="65"/>
      <c r="AE294" s="65"/>
    </row>
    <row r="295" spans="1:32" x14ac:dyDescent="0.25">
      <c r="A295" s="65"/>
      <c r="C295" s="65"/>
      <c r="E295" s="65"/>
      <c r="G295" s="65"/>
      <c r="I295" s="65"/>
      <c r="K295" s="65"/>
      <c r="M295" s="65"/>
      <c r="O295" s="65"/>
      <c r="Q295" s="65"/>
      <c r="S295" s="65"/>
      <c r="U295" s="65"/>
      <c r="W295" s="65"/>
      <c r="Y295" s="65"/>
      <c r="AA295" s="65"/>
      <c r="AC295" s="65"/>
      <c r="AE295" s="65"/>
    </row>
    <row r="296" spans="1:32" x14ac:dyDescent="0.25">
      <c r="A296" s="65"/>
      <c r="C296" s="65"/>
      <c r="E296" s="65"/>
      <c r="G296" s="65"/>
      <c r="I296" s="65"/>
      <c r="K296" s="65"/>
      <c r="M296" s="65"/>
      <c r="O296" s="65"/>
      <c r="Q296" s="65"/>
      <c r="S296" s="65"/>
      <c r="U296" s="65"/>
      <c r="W296" s="65"/>
      <c r="Y296" s="65"/>
      <c r="AA296" s="65"/>
      <c r="AC296" s="65"/>
      <c r="AE296" s="65"/>
    </row>
    <row r="297" spans="1:32" x14ac:dyDescent="0.25">
      <c r="A297" s="65"/>
      <c r="C297" s="65"/>
      <c r="E297" s="65"/>
      <c r="G297" s="65"/>
      <c r="I297" s="65"/>
      <c r="K297" s="65"/>
      <c r="M297" s="65"/>
      <c r="O297" s="65"/>
      <c r="Q297" s="65"/>
      <c r="S297" s="65"/>
      <c r="U297" s="65"/>
      <c r="W297" s="65"/>
      <c r="Y297" s="65"/>
      <c r="AA297" s="65"/>
      <c r="AC297" s="65"/>
      <c r="AE297" s="65"/>
    </row>
    <row r="298" spans="1:32" x14ac:dyDescent="0.25">
      <c r="A298" s="65"/>
      <c r="C298" s="65"/>
      <c r="E298" s="65"/>
      <c r="G298" s="65"/>
      <c r="I298" s="65"/>
      <c r="K298" s="65"/>
      <c r="M298" s="65"/>
      <c r="O298" s="65"/>
      <c r="Q298" s="65"/>
      <c r="S298" s="65"/>
      <c r="U298" s="65"/>
      <c r="W298" s="65"/>
      <c r="Y298" s="65"/>
      <c r="AA298" s="65"/>
      <c r="AC298" s="65"/>
      <c r="AE298" s="65"/>
    </row>
    <row r="299" spans="1:32" x14ac:dyDescent="0.25">
      <c r="A299" s="65"/>
      <c r="C299" s="65"/>
      <c r="E299" s="65"/>
      <c r="G299" s="65"/>
      <c r="I299" s="65"/>
      <c r="K299" s="65"/>
      <c r="M299" s="65"/>
      <c r="O299" s="65"/>
      <c r="Q299" s="65"/>
      <c r="S299" s="65"/>
      <c r="U299" s="65"/>
      <c r="W299" s="65"/>
      <c r="Y299" s="65"/>
      <c r="AA299" s="65"/>
      <c r="AC299" s="65"/>
      <c r="AE299" s="65"/>
    </row>
    <row r="300" spans="1:32" x14ac:dyDescent="0.25">
      <c r="A300" s="65"/>
      <c r="C300" s="65"/>
      <c r="E300" s="65"/>
      <c r="G300" s="65"/>
      <c r="I300" s="65"/>
      <c r="K300" s="65"/>
      <c r="M300" s="65"/>
      <c r="O300" s="65"/>
      <c r="Q300" s="65"/>
      <c r="S300" s="65"/>
      <c r="U300" s="65"/>
      <c r="W300" s="65"/>
      <c r="Y300" s="65"/>
      <c r="AA300" s="65"/>
      <c r="AC300" s="65"/>
      <c r="AE300" s="65"/>
    </row>
    <row r="301" spans="1:32" x14ac:dyDescent="0.25">
      <c r="A301" s="65"/>
      <c r="C301" s="65"/>
      <c r="E301" s="65"/>
      <c r="G301" s="65"/>
      <c r="I301" s="65"/>
      <c r="K301" s="65"/>
      <c r="M301" s="65"/>
      <c r="O301" s="65"/>
      <c r="Q301" s="65"/>
      <c r="S301" s="65"/>
      <c r="U301" s="65"/>
      <c r="W301" s="65"/>
      <c r="Y301" s="65"/>
      <c r="AA301" s="65"/>
      <c r="AC301" s="65"/>
      <c r="AE301" s="65"/>
    </row>
    <row r="302" spans="1:32" x14ac:dyDescent="0.25">
      <c r="A302" s="65"/>
      <c r="C302" s="65"/>
      <c r="E302" s="65"/>
      <c r="G302" s="65"/>
      <c r="I302" s="65"/>
      <c r="K302" s="65"/>
      <c r="M302" s="65"/>
      <c r="O302" s="65"/>
      <c r="Q302" s="65"/>
      <c r="S302" s="65"/>
      <c r="U302" s="65"/>
      <c r="W302" s="65"/>
      <c r="Y302" s="65"/>
      <c r="AA302" s="65"/>
      <c r="AC302" s="65"/>
      <c r="AE302" s="65"/>
    </row>
    <row r="303" spans="1:32" x14ac:dyDescent="0.25">
      <c r="A303" s="65"/>
      <c r="C303" s="65"/>
      <c r="E303" s="65"/>
      <c r="G303" s="65"/>
      <c r="I303" s="65"/>
      <c r="K303" s="65"/>
      <c r="M303" s="65"/>
      <c r="O303" s="65"/>
      <c r="Q303" s="65"/>
      <c r="S303" s="65"/>
      <c r="U303" s="65"/>
      <c r="W303" s="65"/>
      <c r="Y303" s="65"/>
      <c r="AA303" s="65"/>
      <c r="AC303" s="65"/>
      <c r="AE303" s="65"/>
    </row>
    <row r="304" spans="1:32" x14ac:dyDescent="0.25">
      <c r="A304" s="65"/>
      <c r="C304" s="65"/>
      <c r="E304" s="65"/>
      <c r="G304" s="65"/>
      <c r="I304" s="65"/>
      <c r="K304" s="65"/>
      <c r="M304" s="65"/>
      <c r="O304" s="65"/>
      <c r="Q304" s="65"/>
      <c r="S304" s="65"/>
      <c r="U304" s="65"/>
      <c r="W304" s="65"/>
      <c r="Y304" s="65"/>
      <c r="AA304" s="65"/>
      <c r="AC304" s="65"/>
      <c r="AE304" s="65"/>
    </row>
    <row r="305" spans="1:31" x14ac:dyDescent="0.25">
      <c r="A305" s="65"/>
      <c r="C305" s="65"/>
      <c r="E305" s="65"/>
      <c r="G305" s="65"/>
      <c r="I305" s="65"/>
      <c r="K305" s="65"/>
      <c r="M305" s="65"/>
      <c r="O305" s="65"/>
      <c r="Q305" s="65"/>
      <c r="S305" s="65"/>
      <c r="U305" s="65"/>
      <c r="W305" s="65"/>
      <c r="Y305" s="65"/>
      <c r="AA305" s="65"/>
      <c r="AC305" s="65"/>
      <c r="AE305" s="65"/>
    </row>
    <row r="306" spans="1:31" x14ac:dyDescent="0.25">
      <c r="A306" s="65"/>
      <c r="C306" s="65"/>
      <c r="E306" s="65"/>
      <c r="G306" s="65"/>
      <c r="I306" s="65"/>
      <c r="K306" s="65"/>
      <c r="M306" s="65"/>
      <c r="O306" s="65"/>
      <c r="Q306" s="65"/>
      <c r="S306" s="65"/>
      <c r="U306" s="65"/>
      <c r="W306" s="65"/>
      <c r="Y306" s="65"/>
      <c r="AA306" s="65"/>
      <c r="AC306" s="65"/>
      <c r="AE306" s="65"/>
    </row>
    <row r="307" spans="1:31" x14ac:dyDescent="0.25">
      <c r="A307" s="65"/>
      <c r="C307" s="65"/>
      <c r="E307" s="65"/>
      <c r="G307" s="65"/>
      <c r="I307" s="65"/>
      <c r="K307" s="65"/>
      <c r="M307" s="65"/>
      <c r="O307" s="65"/>
      <c r="Q307" s="65"/>
      <c r="S307" s="65"/>
      <c r="U307" s="65"/>
      <c r="W307" s="65"/>
      <c r="Y307" s="65"/>
      <c r="AA307" s="65"/>
      <c r="AC307" s="65"/>
      <c r="AE307" s="65"/>
    </row>
    <row r="308" spans="1:31" x14ac:dyDescent="0.25">
      <c r="A308" s="65"/>
      <c r="C308" s="65"/>
      <c r="E308" s="65"/>
      <c r="G308" s="65"/>
      <c r="I308" s="65"/>
      <c r="K308" s="65"/>
      <c r="M308" s="65"/>
      <c r="O308" s="65"/>
      <c r="Q308" s="65"/>
      <c r="S308" s="65"/>
      <c r="U308" s="65"/>
      <c r="W308" s="65"/>
      <c r="Y308" s="65"/>
      <c r="AA308" s="65"/>
      <c r="AC308" s="65"/>
      <c r="AE308" s="65"/>
    </row>
    <row r="309" spans="1:31" x14ac:dyDescent="0.25">
      <c r="A309" s="65"/>
      <c r="C309" s="65"/>
      <c r="E309" s="65"/>
      <c r="G309" s="65"/>
      <c r="I309" s="65"/>
      <c r="K309" s="65"/>
      <c r="M309" s="65"/>
      <c r="O309" s="65"/>
      <c r="Q309" s="65"/>
      <c r="S309" s="65"/>
      <c r="U309" s="65"/>
      <c r="W309" s="65"/>
      <c r="Y309" s="65"/>
      <c r="AA309" s="65"/>
      <c r="AC309" s="65"/>
      <c r="AE309" s="65"/>
    </row>
    <row r="310" spans="1:31" x14ac:dyDescent="0.25">
      <c r="A310" s="65"/>
      <c r="C310" s="65"/>
      <c r="E310" s="65"/>
      <c r="G310" s="65"/>
      <c r="I310" s="65"/>
      <c r="K310" s="65"/>
      <c r="M310" s="65"/>
      <c r="O310" s="65"/>
      <c r="Q310" s="65"/>
      <c r="S310" s="65"/>
      <c r="U310" s="65"/>
      <c r="W310" s="65"/>
      <c r="Y310" s="65"/>
      <c r="AA310" s="65"/>
      <c r="AC310" s="65"/>
      <c r="AE310" s="65"/>
    </row>
    <row r="311" spans="1:31" x14ac:dyDescent="0.25">
      <c r="A311" s="65"/>
      <c r="C311" s="65"/>
      <c r="E311" s="65"/>
      <c r="G311" s="65"/>
      <c r="I311" s="65"/>
      <c r="K311" s="65"/>
      <c r="M311" s="65"/>
      <c r="O311" s="65"/>
      <c r="Q311" s="65"/>
      <c r="S311" s="65"/>
      <c r="U311" s="65"/>
      <c r="W311" s="65"/>
      <c r="Y311" s="65"/>
      <c r="AA311" s="65"/>
      <c r="AC311" s="65"/>
      <c r="AE311" s="65"/>
    </row>
    <row r="312" spans="1:31" x14ac:dyDescent="0.25">
      <c r="A312" s="65"/>
      <c r="C312" s="65"/>
      <c r="E312" s="65"/>
      <c r="G312" s="65"/>
      <c r="I312" s="65"/>
      <c r="K312" s="65"/>
      <c r="M312" s="65"/>
      <c r="O312" s="65"/>
      <c r="Q312" s="65"/>
      <c r="S312" s="65"/>
      <c r="U312" s="65"/>
      <c r="W312" s="65"/>
      <c r="Y312" s="65"/>
      <c r="AA312" s="65"/>
      <c r="AC312" s="65"/>
      <c r="AE312" s="65"/>
    </row>
    <row r="313" spans="1:31" x14ac:dyDescent="0.25">
      <c r="A313" s="65"/>
      <c r="C313" s="65"/>
      <c r="E313" s="65"/>
      <c r="G313" s="65"/>
      <c r="I313" s="65"/>
      <c r="K313" s="65"/>
      <c r="M313" s="65"/>
      <c r="O313" s="65"/>
      <c r="Q313" s="65"/>
      <c r="S313" s="65"/>
      <c r="U313" s="65"/>
      <c r="W313" s="65"/>
      <c r="Y313" s="65"/>
      <c r="AA313" s="65"/>
      <c r="AC313" s="65"/>
      <c r="AE313" s="65"/>
    </row>
    <row r="314" spans="1:31" x14ac:dyDescent="0.25">
      <c r="A314" s="65"/>
      <c r="C314" s="65"/>
      <c r="E314" s="65"/>
      <c r="G314" s="65"/>
      <c r="I314" s="65"/>
      <c r="K314" s="65"/>
      <c r="M314" s="65"/>
      <c r="O314" s="65"/>
      <c r="Q314" s="65"/>
      <c r="S314" s="65"/>
      <c r="U314" s="65"/>
      <c r="W314" s="65"/>
      <c r="Y314" s="65"/>
      <c r="AA314" s="65"/>
      <c r="AC314" s="65"/>
      <c r="AE314" s="65"/>
    </row>
    <row r="315" spans="1:31" x14ac:dyDescent="0.25">
      <c r="A315" s="65"/>
      <c r="C315" s="65"/>
      <c r="E315" s="65"/>
      <c r="G315" s="65"/>
      <c r="I315" s="65"/>
      <c r="K315" s="65"/>
      <c r="M315" s="65"/>
      <c r="O315" s="65"/>
      <c r="Q315" s="65"/>
      <c r="S315" s="65"/>
      <c r="U315" s="65"/>
      <c r="W315" s="65"/>
      <c r="Y315" s="65"/>
      <c r="AA315" s="65"/>
      <c r="AC315" s="65"/>
      <c r="AE315" s="65"/>
    </row>
    <row r="316" spans="1:31" x14ac:dyDescent="0.25">
      <c r="A316" s="65"/>
      <c r="C316" s="65"/>
      <c r="E316" s="65"/>
      <c r="G316" s="65"/>
      <c r="I316" s="65"/>
      <c r="K316" s="65"/>
      <c r="M316" s="65"/>
      <c r="O316" s="65"/>
      <c r="Q316" s="65"/>
      <c r="S316" s="65"/>
      <c r="U316" s="65"/>
      <c r="W316" s="65"/>
      <c r="Y316" s="65"/>
      <c r="AA316" s="65"/>
      <c r="AC316" s="65"/>
      <c r="AE316" s="65"/>
    </row>
    <row r="317" spans="1:31" x14ac:dyDescent="0.25">
      <c r="A317" s="65"/>
      <c r="C317" s="65"/>
      <c r="E317" s="65"/>
      <c r="G317" s="65"/>
      <c r="I317" s="65"/>
      <c r="K317" s="65"/>
      <c r="M317" s="65"/>
      <c r="O317" s="65"/>
      <c r="Q317" s="65"/>
      <c r="S317" s="65"/>
      <c r="U317" s="65"/>
      <c r="W317" s="65"/>
      <c r="Y317" s="65"/>
      <c r="AA317" s="65"/>
      <c r="AC317" s="65"/>
      <c r="AE317" s="65"/>
    </row>
    <row r="318" spans="1:31" x14ac:dyDescent="0.25">
      <c r="A318" s="65"/>
      <c r="C318" s="65"/>
      <c r="E318" s="65"/>
      <c r="G318" s="65"/>
      <c r="I318" s="65"/>
      <c r="K318" s="65"/>
      <c r="M318" s="65"/>
      <c r="O318" s="65"/>
      <c r="Q318" s="65"/>
      <c r="S318" s="65"/>
      <c r="U318" s="65"/>
      <c r="W318" s="65"/>
      <c r="Y318" s="65"/>
      <c r="AA318" s="65"/>
      <c r="AC318" s="65"/>
      <c r="AE318" s="65"/>
    </row>
    <row r="319" spans="1:31" x14ac:dyDescent="0.25">
      <c r="A319" s="65"/>
      <c r="C319" s="65"/>
      <c r="E319" s="65"/>
      <c r="G319" s="65"/>
      <c r="I319" s="65"/>
      <c r="K319" s="65"/>
      <c r="M319" s="65"/>
      <c r="O319" s="65"/>
      <c r="Q319" s="65"/>
      <c r="S319" s="65"/>
      <c r="U319" s="65"/>
      <c r="W319" s="65"/>
      <c r="Y319" s="65"/>
      <c r="AA319" s="65"/>
      <c r="AC319" s="65"/>
      <c r="AE319" s="65"/>
    </row>
    <row r="320" spans="1:31" x14ac:dyDescent="0.25">
      <c r="A320" s="65"/>
      <c r="C320" s="65"/>
      <c r="E320" s="65"/>
      <c r="G320" s="65"/>
      <c r="I320" s="65"/>
      <c r="K320" s="65"/>
      <c r="M320" s="65"/>
      <c r="O320" s="65"/>
      <c r="Q320" s="65"/>
      <c r="S320" s="65"/>
      <c r="U320" s="65"/>
      <c r="W320" s="65"/>
      <c r="Y320" s="65"/>
      <c r="AA320" s="65"/>
      <c r="AC320" s="65"/>
      <c r="AE320" s="65"/>
    </row>
    <row r="321" spans="1:31" x14ac:dyDescent="0.25">
      <c r="A321" s="65"/>
      <c r="C321" s="65"/>
      <c r="E321" s="65"/>
      <c r="G321" s="65"/>
      <c r="I321" s="65"/>
      <c r="K321" s="65"/>
      <c r="M321" s="65"/>
      <c r="O321" s="65"/>
      <c r="Q321" s="65"/>
      <c r="S321" s="65"/>
      <c r="U321" s="65"/>
      <c r="W321" s="65"/>
      <c r="Y321" s="65"/>
      <c r="AA321" s="65"/>
      <c r="AC321" s="65"/>
      <c r="AE321" s="65"/>
    </row>
    <row r="322" spans="1:31" x14ac:dyDescent="0.25">
      <c r="A322" s="65"/>
      <c r="C322" s="65"/>
      <c r="E322" s="65"/>
      <c r="G322" s="65"/>
      <c r="I322" s="65"/>
      <c r="K322" s="65"/>
      <c r="M322" s="65"/>
      <c r="O322" s="65"/>
      <c r="Q322" s="65"/>
      <c r="S322" s="65"/>
      <c r="U322" s="65"/>
      <c r="W322" s="65"/>
      <c r="Y322" s="65"/>
      <c r="AA322" s="65"/>
      <c r="AC322" s="65"/>
      <c r="AE322" s="65"/>
    </row>
    <row r="323" spans="1:31" x14ac:dyDescent="0.25">
      <c r="A323" s="65"/>
      <c r="C323" s="65"/>
      <c r="E323" s="65"/>
      <c r="G323" s="65"/>
      <c r="I323" s="65"/>
      <c r="K323" s="65"/>
      <c r="M323" s="65"/>
      <c r="O323" s="65"/>
      <c r="Q323" s="65"/>
      <c r="S323" s="65"/>
      <c r="U323" s="65"/>
      <c r="W323" s="65"/>
      <c r="Y323" s="65"/>
      <c r="AA323" s="65"/>
      <c r="AC323" s="65"/>
      <c r="AE323" s="65"/>
    </row>
    <row r="324" spans="1:31" x14ac:dyDescent="0.25">
      <c r="A324" s="65"/>
      <c r="C324" s="65"/>
      <c r="E324" s="65"/>
      <c r="G324" s="65"/>
      <c r="I324" s="65"/>
      <c r="K324" s="65"/>
      <c r="M324" s="65"/>
      <c r="O324" s="65"/>
      <c r="Q324" s="65"/>
      <c r="S324" s="65"/>
      <c r="U324" s="65"/>
      <c r="W324" s="65"/>
      <c r="Y324" s="65"/>
      <c r="AA324" s="65"/>
      <c r="AC324" s="65"/>
      <c r="AE324" s="65"/>
    </row>
    <row r="325" spans="1:31" x14ac:dyDescent="0.25">
      <c r="A325" s="65"/>
      <c r="C325" s="65"/>
      <c r="E325" s="65"/>
      <c r="G325" s="65"/>
      <c r="I325" s="65"/>
      <c r="K325" s="65"/>
      <c r="M325" s="65"/>
      <c r="O325" s="65"/>
      <c r="Q325" s="65"/>
      <c r="S325" s="65"/>
      <c r="U325" s="65"/>
      <c r="W325" s="65"/>
      <c r="Y325" s="65"/>
      <c r="AA325" s="65"/>
      <c r="AC325" s="65"/>
      <c r="AE325" s="65"/>
    </row>
    <row r="326" spans="1:31" x14ac:dyDescent="0.25">
      <c r="A326" s="65"/>
      <c r="C326" s="65"/>
      <c r="E326" s="65"/>
      <c r="G326" s="65"/>
      <c r="I326" s="65"/>
      <c r="K326" s="65"/>
      <c r="M326" s="65"/>
      <c r="O326" s="65"/>
      <c r="Q326" s="65"/>
      <c r="S326" s="65"/>
      <c r="U326" s="65"/>
      <c r="W326" s="65"/>
      <c r="Y326" s="65"/>
      <c r="AA326" s="65"/>
      <c r="AC326" s="65"/>
      <c r="AE326" s="65"/>
    </row>
    <row r="327" spans="1:31" x14ac:dyDescent="0.25">
      <c r="A327" s="65"/>
      <c r="C327" s="65"/>
      <c r="E327" s="65"/>
      <c r="G327" s="65"/>
      <c r="I327" s="65"/>
      <c r="K327" s="65"/>
      <c r="M327" s="65"/>
      <c r="O327" s="65"/>
      <c r="Q327" s="65"/>
      <c r="S327" s="65"/>
      <c r="U327" s="65"/>
      <c r="W327" s="65"/>
      <c r="Y327" s="65"/>
      <c r="AA327" s="65"/>
      <c r="AC327" s="65"/>
      <c r="AE327" s="65"/>
    </row>
    <row r="328" spans="1:31" x14ac:dyDescent="0.25">
      <c r="A328" s="65"/>
      <c r="C328" s="65"/>
      <c r="E328" s="65"/>
      <c r="G328" s="65"/>
      <c r="I328" s="65"/>
      <c r="K328" s="65"/>
      <c r="M328" s="65"/>
      <c r="O328" s="65"/>
      <c r="Q328" s="65"/>
      <c r="S328" s="65"/>
      <c r="U328" s="65"/>
      <c r="W328" s="65"/>
      <c r="Y328" s="65"/>
      <c r="AA328" s="65"/>
      <c r="AC328" s="65"/>
      <c r="AE328" s="65"/>
    </row>
    <row r="329" spans="1:31" x14ac:dyDescent="0.25">
      <c r="A329" s="65"/>
      <c r="C329" s="65"/>
      <c r="E329" s="65"/>
      <c r="G329" s="65"/>
      <c r="I329" s="65"/>
      <c r="K329" s="65"/>
      <c r="M329" s="65"/>
      <c r="O329" s="65"/>
      <c r="Q329" s="65"/>
      <c r="S329" s="65"/>
      <c r="U329" s="65"/>
      <c r="W329" s="65"/>
      <c r="Y329" s="65"/>
      <c r="AA329" s="65"/>
      <c r="AC329" s="65"/>
      <c r="AE329" s="65"/>
    </row>
    <row r="330" spans="1:31" x14ac:dyDescent="0.25">
      <c r="A330" s="65"/>
      <c r="C330" s="65"/>
      <c r="E330" s="65"/>
      <c r="G330" s="65"/>
      <c r="I330" s="65"/>
      <c r="K330" s="65"/>
      <c r="M330" s="65"/>
      <c r="O330" s="65"/>
      <c r="Q330" s="65"/>
      <c r="S330" s="65"/>
      <c r="U330" s="65"/>
      <c r="W330" s="65"/>
      <c r="Y330" s="65"/>
      <c r="AA330" s="65"/>
      <c r="AC330" s="65"/>
      <c r="AE330" s="65"/>
    </row>
    <row r="331" spans="1:31" x14ac:dyDescent="0.25">
      <c r="A331" s="65"/>
      <c r="C331" s="65"/>
      <c r="E331" s="65"/>
      <c r="G331" s="65"/>
      <c r="I331" s="65"/>
      <c r="K331" s="65"/>
      <c r="M331" s="65"/>
      <c r="O331" s="65"/>
      <c r="Q331" s="65"/>
      <c r="S331" s="65"/>
      <c r="U331" s="65"/>
      <c r="W331" s="65"/>
      <c r="Y331" s="65"/>
      <c r="AA331" s="65"/>
      <c r="AC331" s="65"/>
      <c r="AE331" s="65"/>
    </row>
    <row r="332" spans="1:31" x14ac:dyDescent="0.25">
      <c r="A332" s="65"/>
      <c r="C332" s="65"/>
      <c r="E332" s="65"/>
      <c r="G332" s="65"/>
      <c r="I332" s="65"/>
      <c r="K332" s="65"/>
      <c r="M332" s="65"/>
      <c r="O332" s="65"/>
      <c r="Q332" s="65"/>
      <c r="S332" s="65"/>
      <c r="U332" s="65"/>
      <c r="W332" s="65"/>
      <c r="Y332" s="65"/>
      <c r="AA332" s="65"/>
      <c r="AC332" s="65"/>
      <c r="AE332" s="65"/>
    </row>
    <row r="333" spans="1:31" x14ac:dyDescent="0.25">
      <c r="A333" s="65"/>
      <c r="C333" s="65"/>
      <c r="E333" s="65"/>
      <c r="G333" s="65"/>
      <c r="I333" s="65"/>
      <c r="K333" s="65"/>
      <c r="M333" s="65"/>
      <c r="O333" s="65"/>
      <c r="Q333" s="65"/>
      <c r="S333" s="65"/>
      <c r="U333" s="65"/>
      <c r="W333" s="65"/>
      <c r="Y333" s="65"/>
      <c r="AA333" s="65"/>
      <c r="AC333" s="65"/>
      <c r="AE333" s="65"/>
    </row>
    <row r="334" spans="1:31" x14ac:dyDescent="0.25">
      <c r="A334" s="65"/>
      <c r="C334" s="65"/>
      <c r="E334" s="65"/>
      <c r="G334" s="65"/>
      <c r="I334" s="65"/>
      <c r="K334" s="65"/>
      <c r="M334" s="65"/>
      <c r="O334" s="65"/>
      <c r="Q334" s="65"/>
      <c r="S334" s="65"/>
      <c r="U334" s="65"/>
      <c r="W334" s="65"/>
      <c r="Y334" s="65"/>
      <c r="AA334" s="65"/>
      <c r="AC334" s="65"/>
      <c r="AE334" s="65"/>
    </row>
    <row r="335" spans="1:31" x14ac:dyDescent="0.25">
      <c r="A335" s="65"/>
      <c r="C335" s="65"/>
      <c r="E335" s="65"/>
      <c r="G335" s="65"/>
      <c r="I335" s="65"/>
      <c r="K335" s="65"/>
      <c r="M335" s="65"/>
      <c r="O335" s="65"/>
      <c r="Q335" s="65"/>
      <c r="S335" s="65"/>
      <c r="U335" s="65"/>
      <c r="W335" s="65"/>
      <c r="Y335" s="65"/>
      <c r="AA335" s="65"/>
      <c r="AC335" s="65"/>
      <c r="AE335" s="65"/>
    </row>
    <row r="336" spans="1:31" x14ac:dyDescent="0.25">
      <c r="A336" s="65"/>
      <c r="C336" s="65"/>
      <c r="E336" s="65"/>
      <c r="G336" s="65"/>
      <c r="I336" s="65"/>
      <c r="K336" s="65"/>
      <c r="M336" s="65"/>
      <c r="O336" s="65"/>
      <c r="Q336" s="65"/>
      <c r="S336" s="65"/>
      <c r="U336" s="65"/>
      <c r="W336" s="65"/>
      <c r="Y336" s="65"/>
      <c r="AA336" s="65"/>
      <c r="AC336" s="65"/>
      <c r="AE336" s="65"/>
    </row>
    <row r="337" spans="1:31" x14ac:dyDescent="0.25">
      <c r="A337" s="65"/>
      <c r="C337" s="65"/>
      <c r="E337" s="65"/>
      <c r="G337" s="65"/>
      <c r="I337" s="65"/>
      <c r="K337" s="65"/>
      <c r="M337" s="65"/>
      <c r="O337" s="65"/>
      <c r="Q337" s="65"/>
      <c r="S337" s="65"/>
      <c r="U337" s="65"/>
      <c r="W337" s="65"/>
      <c r="Y337" s="65"/>
      <c r="AA337" s="65"/>
      <c r="AC337" s="65"/>
      <c r="AE337" s="65"/>
    </row>
    <row r="338" spans="1:31" x14ac:dyDescent="0.25">
      <c r="A338" s="65"/>
      <c r="C338" s="65"/>
      <c r="E338" s="65"/>
      <c r="G338" s="65"/>
      <c r="I338" s="65"/>
      <c r="K338" s="65"/>
      <c r="M338" s="65"/>
      <c r="O338" s="65"/>
      <c r="Q338" s="65"/>
      <c r="S338" s="65"/>
      <c r="U338" s="65"/>
      <c r="W338" s="65"/>
      <c r="Y338" s="65"/>
      <c r="AA338" s="65"/>
      <c r="AC338" s="65"/>
      <c r="AE338" s="65"/>
    </row>
    <row r="339" spans="1:31" x14ac:dyDescent="0.25">
      <c r="A339" s="65"/>
      <c r="C339" s="65"/>
      <c r="E339" s="65"/>
      <c r="G339" s="65"/>
      <c r="I339" s="65"/>
      <c r="K339" s="65"/>
      <c r="M339" s="65"/>
      <c r="O339" s="65"/>
      <c r="Q339" s="65"/>
      <c r="S339" s="65"/>
      <c r="U339" s="65"/>
      <c r="W339" s="65"/>
      <c r="Y339" s="65"/>
      <c r="AA339" s="65"/>
      <c r="AC339" s="65"/>
      <c r="AE339" s="65"/>
    </row>
    <row r="340" spans="1:31" x14ac:dyDescent="0.25">
      <c r="A340" s="65"/>
      <c r="C340" s="65"/>
      <c r="E340" s="65"/>
      <c r="G340" s="65"/>
      <c r="I340" s="65"/>
      <c r="K340" s="65"/>
      <c r="M340" s="65"/>
      <c r="O340" s="65"/>
      <c r="Q340" s="65"/>
      <c r="S340" s="65"/>
      <c r="U340" s="65"/>
      <c r="W340" s="65"/>
      <c r="Y340" s="65"/>
      <c r="AA340" s="65"/>
      <c r="AC340" s="65"/>
      <c r="AE340" s="65"/>
    </row>
    <row r="341" spans="1:31" x14ac:dyDescent="0.25">
      <c r="A341" s="65"/>
      <c r="C341" s="65"/>
      <c r="E341" s="65"/>
      <c r="G341" s="65"/>
      <c r="I341" s="65"/>
      <c r="K341" s="65"/>
      <c r="M341" s="65"/>
      <c r="O341" s="65"/>
      <c r="Q341" s="65"/>
      <c r="S341" s="65"/>
      <c r="U341" s="65"/>
      <c r="W341" s="65"/>
      <c r="Y341" s="65"/>
      <c r="AA341" s="65"/>
      <c r="AC341" s="65"/>
      <c r="AE341" s="65"/>
    </row>
    <row r="342" spans="1:31" x14ac:dyDescent="0.25">
      <c r="A342" s="65"/>
      <c r="C342" s="65"/>
      <c r="E342" s="65"/>
      <c r="G342" s="65"/>
      <c r="I342" s="65"/>
      <c r="K342" s="65"/>
      <c r="M342" s="65"/>
      <c r="O342" s="65"/>
      <c r="Q342" s="65"/>
      <c r="S342" s="65"/>
      <c r="U342" s="65"/>
      <c r="W342" s="65"/>
      <c r="Y342" s="65"/>
      <c r="AA342" s="65"/>
      <c r="AC342" s="65"/>
      <c r="AE342" s="65"/>
    </row>
    <row r="343" spans="1:31" x14ac:dyDescent="0.25">
      <c r="A343" s="65"/>
      <c r="C343" s="65"/>
      <c r="E343" s="65"/>
      <c r="G343" s="65"/>
      <c r="I343" s="65"/>
      <c r="K343" s="65"/>
      <c r="M343" s="65"/>
      <c r="O343" s="65"/>
      <c r="Q343" s="65"/>
      <c r="S343" s="65"/>
      <c r="U343" s="65"/>
      <c r="W343" s="65"/>
      <c r="Y343" s="65"/>
      <c r="AA343" s="65"/>
      <c r="AC343" s="65"/>
      <c r="AE343" s="65"/>
    </row>
    <row r="344" spans="1:31" x14ac:dyDescent="0.25">
      <c r="A344" s="65"/>
      <c r="C344" s="65"/>
      <c r="E344" s="65"/>
      <c r="G344" s="65"/>
      <c r="I344" s="65"/>
      <c r="K344" s="65"/>
      <c r="M344" s="65"/>
      <c r="O344" s="65"/>
      <c r="Q344" s="65"/>
      <c r="S344" s="65"/>
      <c r="U344" s="65"/>
      <c r="W344" s="65"/>
      <c r="Y344" s="65"/>
      <c r="AA344" s="65"/>
      <c r="AC344" s="65"/>
      <c r="AE344" s="65"/>
    </row>
    <row r="345" spans="1:31" x14ac:dyDescent="0.25">
      <c r="A345" s="65"/>
      <c r="C345" s="65"/>
      <c r="E345" s="65"/>
      <c r="G345" s="65"/>
      <c r="I345" s="65"/>
      <c r="K345" s="65"/>
      <c r="M345" s="65"/>
      <c r="O345" s="65"/>
      <c r="Q345" s="65"/>
      <c r="S345" s="65"/>
      <c r="U345" s="65"/>
      <c r="W345" s="65"/>
      <c r="Y345" s="65"/>
      <c r="AA345" s="65"/>
      <c r="AC345" s="65"/>
      <c r="AE345" s="65"/>
    </row>
    <row r="346" spans="1:31" x14ac:dyDescent="0.25">
      <c r="A346" s="65"/>
      <c r="C346" s="65"/>
      <c r="E346" s="65"/>
      <c r="G346" s="65"/>
      <c r="I346" s="65"/>
      <c r="K346" s="65"/>
      <c r="M346" s="65"/>
      <c r="O346" s="65"/>
      <c r="Q346" s="65"/>
      <c r="S346" s="65"/>
      <c r="U346" s="65"/>
      <c r="W346" s="65"/>
      <c r="Y346" s="65"/>
      <c r="AA346" s="65"/>
      <c r="AC346" s="65"/>
      <c r="AE346" s="65"/>
    </row>
    <row r="347" spans="1:31" x14ac:dyDescent="0.25">
      <c r="A347" s="65"/>
      <c r="C347" s="65"/>
      <c r="E347" s="65"/>
      <c r="G347" s="65"/>
      <c r="I347" s="65"/>
      <c r="K347" s="65"/>
      <c r="M347" s="65"/>
      <c r="O347" s="65"/>
      <c r="Q347" s="65"/>
      <c r="S347" s="65"/>
      <c r="U347" s="65"/>
      <c r="W347" s="65"/>
      <c r="Y347" s="65"/>
      <c r="AA347" s="65"/>
      <c r="AC347" s="65"/>
      <c r="AE347" s="65"/>
    </row>
    <row r="348" spans="1:31" x14ac:dyDescent="0.25">
      <c r="A348" s="65"/>
      <c r="C348" s="65"/>
      <c r="E348" s="65"/>
      <c r="G348" s="65"/>
      <c r="I348" s="65"/>
      <c r="K348" s="65"/>
      <c r="M348" s="65"/>
      <c r="O348" s="65"/>
      <c r="Q348" s="65"/>
      <c r="S348" s="65"/>
      <c r="U348" s="65"/>
      <c r="W348" s="65"/>
      <c r="Y348" s="65"/>
      <c r="AA348" s="65"/>
      <c r="AC348" s="65"/>
      <c r="AE348" s="65"/>
    </row>
    <row r="349" spans="1:31" x14ac:dyDescent="0.25">
      <c r="A349" s="65"/>
      <c r="C349" s="65"/>
      <c r="E349" s="65"/>
      <c r="G349" s="65"/>
      <c r="I349" s="65"/>
      <c r="K349" s="65"/>
      <c r="M349" s="65"/>
      <c r="O349" s="65"/>
      <c r="Q349" s="65"/>
      <c r="S349" s="65"/>
      <c r="U349" s="65"/>
      <c r="W349" s="65"/>
      <c r="Y349" s="65"/>
      <c r="AA349" s="65"/>
      <c r="AC349" s="65"/>
      <c r="AE349" s="65"/>
    </row>
    <row r="350" spans="1:31" x14ac:dyDescent="0.25">
      <c r="A350" s="65"/>
      <c r="C350" s="65"/>
      <c r="E350" s="65"/>
      <c r="G350" s="65"/>
      <c r="I350" s="65"/>
      <c r="K350" s="65"/>
      <c r="M350" s="65"/>
      <c r="O350" s="65"/>
      <c r="Q350" s="65"/>
      <c r="S350" s="65"/>
      <c r="U350" s="65"/>
      <c r="W350" s="65"/>
      <c r="Y350" s="65"/>
      <c r="AA350" s="65"/>
      <c r="AC350" s="65"/>
      <c r="AE350" s="65"/>
    </row>
    <row r="351" spans="1:31" x14ac:dyDescent="0.25">
      <c r="A351" s="65"/>
      <c r="C351" s="65"/>
      <c r="E351" s="65"/>
      <c r="G351" s="65"/>
      <c r="I351" s="65"/>
      <c r="K351" s="65"/>
      <c r="M351" s="65"/>
      <c r="O351" s="65"/>
      <c r="Q351" s="65"/>
      <c r="S351" s="65"/>
      <c r="U351" s="65"/>
      <c r="W351" s="65"/>
      <c r="Y351" s="65"/>
      <c r="AA351" s="65"/>
      <c r="AC351" s="65"/>
      <c r="AE351" s="65"/>
    </row>
    <row r="352" spans="1:31" x14ac:dyDescent="0.25">
      <c r="A352" s="65"/>
      <c r="C352" s="65"/>
      <c r="E352" s="65"/>
      <c r="G352" s="65"/>
      <c r="I352" s="65"/>
      <c r="K352" s="65"/>
      <c r="M352" s="65"/>
      <c r="O352" s="65"/>
      <c r="Q352" s="65"/>
      <c r="S352" s="65"/>
      <c r="U352" s="65"/>
      <c r="W352" s="65"/>
      <c r="Y352" s="65"/>
      <c r="AA352" s="65"/>
      <c r="AC352" s="65"/>
      <c r="AE352" s="65"/>
    </row>
    <row r="353" spans="1:31" x14ac:dyDescent="0.25">
      <c r="A353" s="65"/>
      <c r="C353" s="65"/>
      <c r="E353" s="65"/>
      <c r="G353" s="65"/>
      <c r="I353" s="65"/>
      <c r="K353" s="65"/>
      <c r="M353" s="65"/>
      <c r="O353" s="65"/>
      <c r="Q353" s="65"/>
      <c r="S353" s="65"/>
      <c r="U353" s="65"/>
      <c r="W353" s="65"/>
      <c r="Y353" s="65"/>
      <c r="AA353" s="65"/>
      <c r="AC353" s="65"/>
      <c r="AE353" s="65"/>
    </row>
    <row r="354" spans="1:31" x14ac:dyDescent="0.25">
      <c r="A354" s="65"/>
      <c r="C354" s="65"/>
      <c r="E354" s="65"/>
      <c r="G354" s="65"/>
      <c r="I354" s="65"/>
      <c r="K354" s="65"/>
      <c r="M354" s="65"/>
      <c r="O354" s="65"/>
      <c r="Q354" s="65"/>
      <c r="S354" s="65"/>
      <c r="U354" s="65"/>
      <c r="W354" s="65"/>
      <c r="Y354" s="65"/>
      <c r="AA354" s="65"/>
      <c r="AC354" s="65"/>
      <c r="AE354" s="65"/>
    </row>
    <row r="355" spans="1:31" x14ac:dyDescent="0.25">
      <c r="A355" s="65"/>
      <c r="C355" s="65"/>
      <c r="E355" s="65"/>
      <c r="G355" s="65"/>
      <c r="I355" s="65"/>
      <c r="K355" s="65"/>
      <c r="M355" s="65"/>
      <c r="O355" s="65"/>
      <c r="Q355" s="65"/>
      <c r="S355" s="65"/>
      <c r="U355" s="65"/>
      <c r="W355" s="65"/>
      <c r="Y355" s="65"/>
      <c r="AA355" s="65"/>
      <c r="AC355" s="65"/>
      <c r="AE355" s="65"/>
    </row>
    <row r="356" spans="1:31" x14ac:dyDescent="0.25">
      <c r="A356" s="65"/>
      <c r="C356" s="65"/>
      <c r="E356" s="65"/>
      <c r="G356" s="65"/>
      <c r="I356" s="65"/>
      <c r="K356" s="65"/>
      <c r="M356" s="65"/>
      <c r="O356" s="65"/>
      <c r="Q356" s="65"/>
      <c r="S356" s="65"/>
      <c r="U356" s="65"/>
      <c r="W356" s="65"/>
      <c r="Y356" s="65"/>
      <c r="AA356" s="65"/>
      <c r="AC356" s="65"/>
      <c r="AE356" s="65"/>
    </row>
    <row r="357" spans="1:31" x14ac:dyDescent="0.25">
      <c r="A357" s="65"/>
      <c r="C357" s="65"/>
      <c r="E357" s="65"/>
      <c r="G357" s="65"/>
      <c r="I357" s="65"/>
      <c r="K357" s="65"/>
      <c r="M357" s="65"/>
      <c r="O357" s="65"/>
      <c r="Q357" s="65"/>
      <c r="S357" s="65"/>
      <c r="U357" s="65"/>
      <c r="W357" s="65"/>
      <c r="Y357" s="65"/>
      <c r="AA357" s="65"/>
      <c r="AC357" s="65"/>
      <c r="AE357" s="65"/>
    </row>
    <row r="358" spans="1:31" x14ac:dyDescent="0.25">
      <c r="A358" s="65"/>
      <c r="C358" s="65"/>
      <c r="E358" s="65"/>
      <c r="G358" s="65"/>
      <c r="I358" s="65"/>
      <c r="K358" s="65"/>
      <c r="M358" s="65"/>
      <c r="O358" s="65"/>
      <c r="Q358" s="65"/>
      <c r="S358" s="65"/>
      <c r="U358" s="65"/>
      <c r="W358" s="65"/>
      <c r="Y358" s="65"/>
      <c r="AA358" s="65"/>
      <c r="AC358" s="65"/>
      <c r="AE358" s="65"/>
    </row>
    <row r="359" spans="1:31" x14ac:dyDescent="0.25">
      <c r="A359" s="65"/>
      <c r="C359" s="65"/>
      <c r="E359" s="65"/>
      <c r="G359" s="65"/>
      <c r="I359" s="65"/>
      <c r="K359" s="65"/>
      <c r="M359" s="65"/>
      <c r="O359" s="65"/>
      <c r="Q359" s="65"/>
      <c r="S359" s="65"/>
      <c r="U359" s="65"/>
      <c r="W359" s="65"/>
      <c r="Y359" s="65"/>
      <c r="AA359" s="65"/>
      <c r="AC359" s="65"/>
      <c r="AE359" s="65"/>
    </row>
    <row r="360" spans="1:31" x14ac:dyDescent="0.25">
      <c r="A360" s="65"/>
      <c r="C360" s="65"/>
      <c r="E360" s="65"/>
      <c r="G360" s="65"/>
      <c r="I360" s="65"/>
      <c r="K360" s="65"/>
      <c r="M360" s="65"/>
      <c r="O360" s="65"/>
      <c r="Q360" s="65"/>
      <c r="S360" s="65"/>
      <c r="U360" s="65"/>
      <c r="W360" s="65"/>
      <c r="Y360" s="65"/>
      <c r="AA360" s="65"/>
      <c r="AC360" s="65"/>
      <c r="AE360" s="65"/>
    </row>
    <row r="361" spans="1:31" x14ac:dyDescent="0.25">
      <c r="A361" s="65"/>
      <c r="C361" s="65"/>
      <c r="E361" s="65"/>
      <c r="G361" s="65"/>
      <c r="I361" s="65"/>
      <c r="K361" s="65"/>
      <c r="M361" s="65"/>
      <c r="O361" s="65"/>
      <c r="Q361" s="65"/>
      <c r="S361" s="65"/>
      <c r="U361" s="65"/>
      <c r="W361" s="65"/>
      <c r="Y361" s="65"/>
      <c r="AA361" s="65"/>
      <c r="AC361" s="65"/>
      <c r="AE361" s="65"/>
    </row>
    <row r="362" spans="1:31" x14ac:dyDescent="0.25">
      <c r="A362" s="65"/>
      <c r="C362" s="65"/>
      <c r="E362" s="65"/>
      <c r="G362" s="65"/>
      <c r="I362" s="65"/>
      <c r="K362" s="65"/>
      <c r="M362" s="65"/>
      <c r="O362" s="65"/>
      <c r="Q362" s="65"/>
      <c r="S362" s="65"/>
      <c r="U362" s="65"/>
      <c r="W362" s="65"/>
      <c r="Y362" s="65"/>
      <c r="AA362" s="65"/>
      <c r="AC362" s="65"/>
      <c r="AE362" s="65"/>
    </row>
    <row r="363" spans="1:31" x14ac:dyDescent="0.25">
      <c r="A363" s="65"/>
      <c r="C363" s="65"/>
      <c r="E363" s="65"/>
      <c r="G363" s="65"/>
      <c r="I363" s="65"/>
      <c r="K363" s="65"/>
      <c r="M363" s="65"/>
      <c r="O363" s="65"/>
      <c r="Q363" s="65"/>
      <c r="S363" s="65"/>
      <c r="U363" s="65"/>
      <c r="W363" s="65"/>
      <c r="Y363" s="65"/>
      <c r="AA363" s="65"/>
      <c r="AC363" s="65"/>
      <c r="AE363" s="65"/>
    </row>
    <row r="364" spans="1:31" x14ac:dyDescent="0.25">
      <c r="A364" s="65"/>
      <c r="C364" s="65"/>
      <c r="E364" s="65"/>
      <c r="G364" s="65"/>
      <c r="I364" s="65"/>
      <c r="K364" s="65"/>
      <c r="M364" s="65"/>
      <c r="O364" s="65"/>
      <c r="Q364" s="65"/>
      <c r="S364" s="65"/>
      <c r="U364" s="65"/>
      <c r="W364" s="65"/>
      <c r="Y364" s="65"/>
      <c r="AA364" s="65"/>
      <c r="AC364" s="65"/>
      <c r="AE364" s="65"/>
    </row>
    <row r="365" spans="1:31" x14ac:dyDescent="0.25">
      <c r="A365" s="65"/>
      <c r="C365" s="65"/>
      <c r="E365" s="65"/>
      <c r="G365" s="65"/>
      <c r="I365" s="65"/>
      <c r="K365" s="65"/>
      <c r="M365" s="65"/>
      <c r="O365" s="65"/>
      <c r="Q365" s="65"/>
      <c r="S365" s="65"/>
      <c r="U365" s="65"/>
      <c r="W365" s="65"/>
      <c r="Y365" s="65"/>
      <c r="AA365" s="65"/>
      <c r="AC365" s="65"/>
      <c r="AE365" s="65"/>
    </row>
    <row r="366" spans="1:31" x14ac:dyDescent="0.25">
      <c r="A366" s="65"/>
      <c r="C366" s="65"/>
      <c r="E366" s="65"/>
      <c r="G366" s="65"/>
      <c r="I366" s="65"/>
      <c r="K366" s="65"/>
      <c r="M366" s="65"/>
      <c r="O366" s="65"/>
      <c r="Q366" s="65"/>
      <c r="S366" s="65"/>
      <c r="U366" s="65"/>
      <c r="W366" s="65"/>
      <c r="Y366" s="65"/>
      <c r="AA366" s="65"/>
      <c r="AC366" s="65"/>
      <c r="AE366" s="65"/>
    </row>
    <row r="367" spans="1:31" x14ac:dyDescent="0.25">
      <c r="A367" s="65"/>
      <c r="C367" s="65"/>
      <c r="E367" s="65"/>
      <c r="G367" s="65"/>
      <c r="I367" s="65"/>
      <c r="K367" s="65"/>
      <c r="M367" s="65"/>
      <c r="O367" s="65"/>
      <c r="Q367" s="65"/>
      <c r="S367" s="65"/>
      <c r="U367" s="65"/>
      <c r="W367" s="65"/>
      <c r="Y367" s="65"/>
      <c r="AA367" s="65"/>
      <c r="AC367" s="65"/>
      <c r="AE367" s="65"/>
    </row>
    <row r="368" spans="1:31" x14ac:dyDescent="0.25">
      <c r="A368" s="65"/>
      <c r="C368" s="65"/>
      <c r="E368" s="65"/>
      <c r="G368" s="65"/>
      <c r="I368" s="65"/>
      <c r="K368" s="65"/>
      <c r="M368" s="65"/>
      <c r="O368" s="65"/>
      <c r="Q368" s="65"/>
      <c r="S368" s="65"/>
      <c r="U368" s="65"/>
      <c r="W368" s="65"/>
      <c r="Y368" s="65"/>
      <c r="AA368" s="65"/>
      <c r="AC368" s="65"/>
      <c r="AE368" s="65"/>
    </row>
    <row r="369" spans="1:31" x14ac:dyDescent="0.25">
      <c r="A369" s="65"/>
      <c r="C369" s="65"/>
      <c r="E369" s="65"/>
      <c r="G369" s="65"/>
      <c r="I369" s="65"/>
      <c r="K369" s="65"/>
      <c r="M369" s="65"/>
      <c r="O369" s="65"/>
      <c r="Q369" s="65"/>
      <c r="S369" s="65"/>
      <c r="U369" s="65"/>
      <c r="W369" s="65"/>
      <c r="Y369" s="65"/>
      <c r="AA369" s="65"/>
      <c r="AC369" s="65"/>
      <c r="AE369" s="65"/>
    </row>
    <row r="370" spans="1:31" x14ac:dyDescent="0.25">
      <c r="A370" s="65"/>
      <c r="C370" s="65"/>
      <c r="E370" s="65"/>
      <c r="G370" s="65"/>
      <c r="I370" s="65"/>
      <c r="K370" s="65"/>
      <c r="M370" s="65"/>
      <c r="O370" s="65"/>
      <c r="Q370" s="65"/>
      <c r="S370" s="65"/>
      <c r="U370" s="65"/>
      <c r="W370" s="65"/>
      <c r="Y370" s="65"/>
      <c r="AA370" s="65"/>
      <c r="AC370" s="65"/>
      <c r="AE370" s="65"/>
    </row>
    <row r="371" spans="1:31" x14ac:dyDescent="0.25">
      <c r="A371" s="65"/>
      <c r="C371" s="65"/>
      <c r="E371" s="65"/>
      <c r="G371" s="65"/>
      <c r="I371" s="65"/>
      <c r="K371" s="65"/>
      <c r="M371" s="65"/>
      <c r="O371" s="65"/>
      <c r="Q371" s="65"/>
      <c r="S371" s="65"/>
      <c r="U371" s="65"/>
      <c r="W371" s="65"/>
      <c r="Y371" s="65"/>
      <c r="AA371" s="65"/>
      <c r="AC371" s="65"/>
      <c r="AE371" s="65"/>
    </row>
    <row r="372" spans="1:31" x14ac:dyDescent="0.25">
      <c r="A372" s="65"/>
      <c r="C372" s="65"/>
      <c r="E372" s="65"/>
      <c r="G372" s="65"/>
      <c r="I372" s="65"/>
      <c r="K372" s="65"/>
      <c r="M372" s="65"/>
      <c r="O372" s="65"/>
      <c r="Q372" s="65"/>
      <c r="S372" s="65"/>
      <c r="U372" s="65"/>
      <c r="W372" s="65"/>
      <c r="Y372" s="65"/>
      <c r="AA372" s="65"/>
      <c r="AC372" s="65"/>
      <c r="AE372" s="65"/>
    </row>
    <row r="373" spans="1:31" x14ac:dyDescent="0.25">
      <c r="A373" s="65"/>
      <c r="C373" s="65"/>
      <c r="E373" s="65"/>
      <c r="G373" s="65"/>
      <c r="I373" s="65"/>
      <c r="K373" s="65"/>
      <c r="M373" s="65"/>
      <c r="O373" s="65"/>
      <c r="Q373" s="65"/>
      <c r="S373" s="65"/>
      <c r="U373" s="65"/>
      <c r="W373" s="65"/>
      <c r="Y373" s="65"/>
      <c r="AA373" s="65"/>
      <c r="AC373" s="65"/>
      <c r="AE373" s="65"/>
    </row>
    <row r="374" spans="1:31" x14ac:dyDescent="0.25">
      <c r="A374" s="65"/>
      <c r="C374" s="65"/>
      <c r="E374" s="65"/>
      <c r="G374" s="65"/>
      <c r="I374" s="65"/>
      <c r="K374" s="65"/>
      <c r="M374" s="65"/>
      <c r="O374" s="65"/>
      <c r="Q374" s="65"/>
      <c r="S374" s="65"/>
      <c r="U374" s="65"/>
      <c r="W374" s="65"/>
      <c r="Y374" s="65"/>
      <c r="AA374" s="65"/>
      <c r="AC374" s="65"/>
      <c r="AE374" s="65"/>
    </row>
    <row r="375" spans="1:31" x14ac:dyDescent="0.25">
      <c r="A375" s="65"/>
      <c r="C375" s="65"/>
      <c r="E375" s="65"/>
      <c r="G375" s="65"/>
      <c r="I375" s="65"/>
      <c r="K375" s="65"/>
      <c r="M375" s="65"/>
      <c r="O375" s="65"/>
      <c r="Q375" s="65"/>
      <c r="S375" s="65"/>
      <c r="U375" s="65"/>
      <c r="W375" s="65"/>
      <c r="Y375" s="65"/>
      <c r="AA375" s="65"/>
      <c r="AC375" s="65"/>
      <c r="AE375" s="65"/>
    </row>
    <row r="376" spans="1:31" x14ac:dyDescent="0.25">
      <c r="A376" s="65"/>
      <c r="C376" s="65"/>
      <c r="E376" s="65"/>
      <c r="G376" s="65"/>
      <c r="I376" s="65"/>
      <c r="K376" s="65"/>
      <c r="M376" s="65"/>
      <c r="O376" s="65"/>
      <c r="Q376" s="65"/>
      <c r="S376" s="65"/>
      <c r="U376" s="65"/>
      <c r="W376" s="65"/>
      <c r="Y376" s="65"/>
      <c r="AA376" s="65"/>
      <c r="AC376" s="65"/>
      <c r="AE376" s="65"/>
    </row>
    <row r="377" spans="1:31" x14ac:dyDescent="0.25">
      <c r="A377" s="65"/>
      <c r="C377" s="65"/>
      <c r="E377" s="65"/>
      <c r="G377" s="65"/>
      <c r="I377" s="65"/>
      <c r="K377" s="65"/>
      <c r="M377" s="65"/>
      <c r="O377" s="65"/>
      <c r="Q377" s="65"/>
      <c r="S377" s="65"/>
      <c r="U377" s="65"/>
      <c r="W377" s="65"/>
      <c r="Y377" s="65"/>
      <c r="AA377" s="65"/>
      <c r="AC377" s="65"/>
      <c r="AE377" s="65"/>
    </row>
    <row r="378" spans="1:31" x14ac:dyDescent="0.25">
      <c r="A378" s="65"/>
      <c r="C378" s="65"/>
      <c r="E378" s="65"/>
      <c r="G378" s="65"/>
      <c r="I378" s="65"/>
      <c r="K378" s="65"/>
      <c r="M378" s="65"/>
      <c r="O378" s="65"/>
      <c r="Q378" s="65"/>
      <c r="S378" s="65"/>
      <c r="U378" s="65"/>
      <c r="W378" s="65"/>
      <c r="Y378" s="65"/>
      <c r="AA378" s="65"/>
      <c r="AC378" s="65"/>
      <c r="AE378" s="65"/>
    </row>
    <row r="379" spans="1:31" x14ac:dyDescent="0.25">
      <c r="A379" s="65"/>
      <c r="C379" s="65"/>
      <c r="E379" s="65"/>
      <c r="G379" s="65"/>
      <c r="I379" s="65"/>
      <c r="K379" s="65"/>
      <c r="M379" s="65"/>
      <c r="O379" s="65"/>
      <c r="Q379" s="65"/>
      <c r="S379" s="65"/>
      <c r="U379" s="65"/>
      <c r="W379" s="65"/>
      <c r="Y379" s="65"/>
      <c r="AA379" s="65"/>
      <c r="AC379" s="65"/>
      <c r="AE379" s="65"/>
    </row>
    <row r="380" spans="1:31" x14ac:dyDescent="0.25">
      <c r="A380" s="65"/>
      <c r="C380" s="65"/>
      <c r="E380" s="65"/>
      <c r="G380" s="65"/>
      <c r="I380" s="65"/>
      <c r="K380" s="65"/>
      <c r="M380" s="65"/>
      <c r="O380" s="65"/>
      <c r="Q380" s="65"/>
      <c r="S380" s="65"/>
      <c r="U380" s="65"/>
      <c r="W380" s="65"/>
      <c r="Y380" s="65"/>
      <c r="AA380" s="65"/>
      <c r="AC380" s="65"/>
      <c r="AE380" s="65"/>
    </row>
    <row r="381" spans="1:31" x14ac:dyDescent="0.25">
      <c r="A381" s="65"/>
      <c r="C381" s="65"/>
      <c r="E381" s="65"/>
      <c r="G381" s="65"/>
      <c r="I381" s="65"/>
      <c r="K381" s="65"/>
      <c r="M381" s="65"/>
      <c r="O381" s="65"/>
      <c r="Q381" s="65"/>
      <c r="S381" s="65"/>
      <c r="U381" s="65"/>
      <c r="W381" s="65"/>
      <c r="Y381" s="65"/>
      <c r="AA381" s="65"/>
      <c r="AC381" s="65"/>
      <c r="AE381" s="65"/>
    </row>
    <row r="382" spans="1:31" x14ac:dyDescent="0.25">
      <c r="A382" s="65"/>
      <c r="C382" s="65"/>
      <c r="E382" s="65"/>
      <c r="G382" s="65"/>
      <c r="I382" s="65"/>
      <c r="K382" s="65"/>
      <c r="M382" s="65"/>
      <c r="O382" s="65"/>
      <c r="Q382" s="65"/>
      <c r="S382" s="65"/>
      <c r="U382" s="65"/>
      <c r="W382" s="65"/>
      <c r="Y382" s="65"/>
      <c r="AA382" s="65"/>
      <c r="AC382" s="65"/>
      <c r="AE382" s="65"/>
    </row>
    <row r="383" spans="1:31" x14ac:dyDescent="0.25">
      <c r="A383" s="65"/>
      <c r="C383" s="65"/>
      <c r="E383" s="65"/>
      <c r="G383" s="65"/>
      <c r="I383" s="65"/>
      <c r="K383" s="65"/>
      <c r="M383" s="65"/>
      <c r="O383" s="65"/>
      <c r="Q383" s="65"/>
      <c r="S383" s="65"/>
      <c r="U383" s="65"/>
      <c r="W383" s="65"/>
      <c r="Y383" s="65"/>
      <c r="AA383" s="65"/>
      <c r="AC383" s="65"/>
      <c r="AE383" s="65"/>
    </row>
    <row r="384" spans="1:31" x14ac:dyDescent="0.25">
      <c r="A384" s="65"/>
      <c r="C384" s="65"/>
      <c r="E384" s="65"/>
      <c r="G384" s="65"/>
      <c r="I384" s="65"/>
      <c r="K384" s="65"/>
      <c r="M384" s="65"/>
      <c r="O384" s="65"/>
      <c r="Q384" s="65"/>
      <c r="S384" s="65"/>
      <c r="U384" s="65"/>
      <c r="W384" s="65"/>
      <c r="Y384" s="65"/>
      <c r="AA384" s="65"/>
      <c r="AC384" s="65"/>
      <c r="AE384" s="65"/>
    </row>
    <row r="385" spans="1:31" x14ac:dyDescent="0.25">
      <c r="A385" s="65"/>
      <c r="C385" s="65"/>
      <c r="E385" s="65"/>
      <c r="G385" s="65"/>
      <c r="I385" s="65"/>
      <c r="K385" s="65"/>
      <c r="M385" s="65"/>
      <c r="O385" s="65"/>
      <c r="Q385" s="65"/>
      <c r="S385" s="65"/>
      <c r="U385" s="65"/>
      <c r="W385" s="65"/>
      <c r="Y385" s="65"/>
      <c r="AA385" s="65"/>
      <c r="AC385" s="65"/>
      <c r="AE385" s="65"/>
    </row>
    <row r="386" spans="1:31" x14ac:dyDescent="0.25">
      <c r="A386" s="65"/>
      <c r="C386" s="65"/>
      <c r="E386" s="65"/>
      <c r="G386" s="65"/>
      <c r="I386" s="65"/>
      <c r="K386" s="65"/>
      <c r="M386" s="65"/>
      <c r="O386" s="65"/>
      <c r="Q386" s="65"/>
      <c r="S386" s="65"/>
      <c r="U386" s="65"/>
      <c r="W386" s="65"/>
      <c r="Y386" s="65"/>
      <c r="AA386" s="65"/>
      <c r="AC386" s="65"/>
      <c r="AE386" s="65"/>
    </row>
    <row r="387" spans="1:31" x14ac:dyDescent="0.25">
      <c r="A387" s="65"/>
      <c r="C387" s="65"/>
      <c r="E387" s="65"/>
      <c r="G387" s="65"/>
      <c r="I387" s="65"/>
      <c r="K387" s="65"/>
      <c r="M387" s="65"/>
      <c r="O387" s="65"/>
      <c r="Q387" s="65"/>
      <c r="S387" s="65"/>
      <c r="U387" s="65"/>
      <c r="W387" s="65"/>
      <c r="Y387" s="65"/>
      <c r="AA387" s="65"/>
      <c r="AC387" s="65"/>
      <c r="AE387" s="65"/>
    </row>
    <row r="388" spans="1:31" x14ac:dyDescent="0.25">
      <c r="A388" s="65"/>
      <c r="C388" s="65"/>
      <c r="E388" s="65"/>
      <c r="G388" s="65"/>
      <c r="I388" s="65"/>
      <c r="K388" s="65"/>
      <c r="M388" s="65"/>
      <c r="O388" s="65"/>
      <c r="Q388" s="65"/>
      <c r="S388" s="65"/>
      <c r="U388" s="65"/>
      <c r="W388" s="65"/>
      <c r="Y388" s="65"/>
      <c r="AA388" s="65"/>
      <c r="AC388" s="65"/>
      <c r="AE388" s="65"/>
    </row>
    <row r="389" spans="1:31" x14ac:dyDescent="0.25">
      <c r="A389" s="65"/>
      <c r="C389" s="65"/>
      <c r="E389" s="65"/>
      <c r="G389" s="65"/>
      <c r="I389" s="65"/>
      <c r="K389" s="65"/>
      <c r="M389" s="65"/>
      <c r="O389" s="65"/>
      <c r="Q389" s="65"/>
      <c r="S389" s="65"/>
      <c r="U389" s="65"/>
      <c r="W389" s="65"/>
      <c r="Y389" s="65"/>
      <c r="AA389" s="65"/>
      <c r="AC389" s="65"/>
      <c r="AE389" s="65"/>
    </row>
    <row r="390" spans="1:31" x14ac:dyDescent="0.25">
      <c r="A390" s="65"/>
      <c r="C390" s="65"/>
      <c r="E390" s="65"/>
      <c r="G390" s="65"/>
      <c r="I390" s="65"/>
      <c r="K390" s="65"/>
      <c r="M390" s="65"/>
      <c r="O390" s="65"/>
      <c r="Q390" s="65"/>
      <c r="S390" s="65"/>
      <c r="U390" s="65"/>
      <c r="W390" s="65"/>
      <c r="Y390" s="65"/>
      <c r="AA390" s="65"/>
      <c r="AC390" s="65"/>
      <c r="AE390" s="65"/>
    </row>
    <row r="391" spans="1:31" x14ac:dyDescent="0.25">
      <c r="A391" s="65"/>
      <c r="C391" s="65"/>
      <c r="E391" s="65"/>
      <c r="G391" s="65"/>
      <c r="I391" s="65"/>
      <c r="K391" s="65"/>
      <c r="M391" s="65"/>
      <c r="O391" s="65"/>
      <c r="Q391" s="65"/>
      <c r="S391" s="65"/>
      <c r="U391" s="65"/>
      <c r="W391" s="65"/>
      <c r="Y391" s="65"/>
      <c r="AA391" s="65"/>
      <c r="AC391" s="65"/>
      <c r="AE391" s="65"/>
    </row>
    <row r="392" spans="1:31" x14ac:dyDescent="0.25">
      <c r="A392" s="65"/>
      <c r="C392" s="65"/>
      <c r="E392" s="65"/>
      <c r="G392" s="65"/>
      <c r="I392" s="65"/>
      <c r="K392" s="65"/>
      <c r="M392" s="65"/>
      <c r="O392" s="65"/>
      <c r="Q392" s="65"/>
      <c r="S392" s="65"/>
      <c r="U392" s="65"/>
      <c r="W392" s="65"/>
      <c r="Y392" s="65"/>
      <c r="AA392" s="65"/>
      <c r="AC392" s="65"/>
      <c r="AE392" s="65"/>
    </row>
    <row r="393" spans="1:31" x14ac:dyDescent="0.25">
      <c r="A393" s="65"/>
      <c r="C393" s="65"/>
      <c r="E393" s="65"/>
      <c r="G393" s="65"/>
      <c r="I393" s="65"/>
      <c r="K393" s="65"/>
      <c r="M393" s="65"/>
      <c r="O393" s="65"/>
      <c r="Q393" s="65"/>
      <c r="S393" s="65"/>
      <c r="U393" s="65"/>
      <c r="W393" s="65"/>
      <c r="Y393" s="65"/>
      <c r="AA393" s="65"/>
      <c r="AC393" s="65"/>
      <c r="AE393" s="65"/>
    </row>
    <row r="394" spans="1:31" x14ac:dyDescent="0.25">
      <c r="A394" s="65"/>
      <c r="C394" s="65"/>
      <c r="E394" s="65"/>
      <c r="G394" s="65"/>
      <c r="I394" s="65"/>
      <c r="K394" s="65"/>
      <c r="M394" s="65"/>
      <c r="O394" s="65"/>
      <c r="Q394" s="65"/>
      <c r="S394" s="65"/>
      <c r="U394" s="65"/>
      <c r="W394" s="65"/>
      <c r="Y394" s="65"/>
      <c r="AA394" s="65"/>
      <c r="AC394" s="65"/>
      <c r="AE394" s="65"/>
    </row>
    <row r="395" spans="1:31" x14ac:dyDescent="0.25">
      <c r="A395" s="65"/>
      <c r="C395" s="65"/>
      <c r="E395" s="65"/>
      <c r="G395" s="65"/>
      <c r="I395" s="65"/>
      <c r="K395" s="65"/>
      <c r="M395" s="65"/>
      <c r="O395" s="65"/>
      <c r="Q395" s="65"/>
      <c r="S395" s="65"/>
      <c r="U395" s="65"/>
      <c r="W395" s="65"/>
      <c r="Y395" s="65"/>
      <c r="AA395" s="65"/>
      <c r="AC395" s="65"/>
      <c r="AE395" s="65"/>
    </row>
    <row r="396" spans="1:31" x14ac:dyDescent="0.25">
      <c r="A396" s="65"/>
      <c r="C396" s="65"/>
      <c r="E396" s="65"/>
      <c r="G396" s="65"/>
      <c r="I396" s="65"/>
      <c r="K396" s="65"/>
      <c r="M396" s="65"/>
      <c r="O396" s="65"/>
      <c r="Q396" s="65"/>
      <c r="S396" s="65"/>
      <c r="U396" s="65"/>
      <c r="W396" s="65"/>
      <c r="Y396" s="65"/>
      <c r="AA396" s="65"/>
      <c r="AC396" s="65"/>
      <c r="AE396" s="65"/>
    </row>
    <row r="397" spans="1:31" x14ac:dyDescent="0.25">
      <c r="A397" s="65"/>
      <c r="C397" s="65"/>
      <c r="E397" s="65"/>
      <c r="G397" s="65"/>
      <c r="I397" s="65"/>
      <c r="K397" s="65"/>
      <c r="M397" s="65"/>
      <c r="O397" s="65"/>
      <c r="Q397" s="65"/>
      <c r="S397" s="65"/>
      <c r="U397" s="65"/>
      <c r="W397" s="65"/>
      <c r="Y397" s="65"/>
      <c r="AA397" s="65"/>
      <c r="AC397" s="65"/>
      <c r="AE397" s="65"/>
    </row>
    <row r="398" spans="1:31" x14ac:dyDescent="0.25">
      <c r="A398" s="65"/>
      <c r="C398" s="65"/>
      <c r="E398" s="65"/>
      <c r="G398" s="65"/>
      <c r="I398" s="65"/>
      <c r="K398" s="65"/>
      <c r="M398" s="65"/>
      <c r="O398" s="65"/>
      <c r="Q398" s="65"/>
      <c r="S398" s="65"/>
      <c r="U398" s="65"/>
      <c r="W398" s="65"/>
      <c r="Y398" s="65"/>
      <c r="AA398" s="65"/>
      <c r="AC398" s="65"/>
      <c r="AE398" s="65"/>
    </row>
    <row r="399" spans="1:31" x14ac:dyDescent="0.25">
      <c r="A399" s="65"/>
      <c r="C399" s="65"/>
      <c r="E399" s="65"/>
      <c r="G399" s="65"/>
      <c r="I399" s="65"/>
      <c r="K399" s="65"/>
      <c r="M399" s="65"/>
      <c r="O399" s="65"/>
      <c r="Q399" s="65"/>
      <c r="S399" s="65"/>
      <c r="U399" s="65"/>
      <c r="W399" s="65"/>
      <c r="Y399" s="65"/>
      <c r="AA399" s="65"/>
      <c r="AC399" s="65"/>
      <c r="AE399" s="65"/>
    </row>
    <row r="400" spans="1:31" x14ac:dyDescent="0.25">
      <c r="A400" s="65"/>
      <c r="C400" s="65"/>
      <c r="E400" s="65"/>
      <c r="G400" s="65"/>
      <c r="I400" s="65"/>
      <c r="K400" s="65"/>
      <c r="M400" s="65"/>
      <c r="O400" s="65"/>
      <c r="Q400" s="65"/>
      <c r="S400" s="65"/>
      <c r="U400" s="65"/>
      <c r="W400" s="65"/>
      <c r="Y400" s="65"/>
      <c r="AA400" s="65"/>
      <c r="AC400" s="65"/>
      <c r="AE400" s="65"/>
    </row>
    <row r="401" spans="1:31" x14ac:dyDescent="0.25">
      <c r="A401" s="65"/>
      <c r="C401" s="65"/>
      <c r="E401" s="65"/>
      <c r="G401" s="65"/>
      <c r="I401" s="65"/>
      <c r="K401" s="65"/>
      <c r="M401" s="65"/>
      <c r="O401" s="65"/>
      <c r="Q401" s="65"/>
      <c r="S401" s="65"/>
      <c r="U401" s="65"/>
      <c r="W401" s="65"/>
      <c r="Y401" s="65"/>
      <c r="AA401" s="65"/>
      <c r="AC401" s="65"/>
      <c r="AE401" s="65"/>
    </row>
    <row r="402" spans="1:31" x14ac:dyDescent="0.25">
      <c r="A402" s="65"/>
      <c r="C402" s="65"/>
      <c r="E402" s="65"/>
      <c r="G402" s="65"/>
      <c r="I402" s="65"/>
      <c r="K402" s="65"/>
      <c r="M402" s="65"/>
      <c r="O402" s="65"/>
      <c r="Q402" s="65"/>
      <c r="S402" s="65"/>
      <c r="U402" s="65"/>
      <c r="W402" s="65"/>
      <c r="Y402" s="65"/>
      <c r="AA402" s="65"/>
      <c r="AC402" s="65"/>
      <c r="AE402" s="65"/>
    </row>
    <row r="403" spans="1:31" x14ac:dyDescent="0.25">
      <c r="A403" s="65"/>
      <c r="C403" s="65"/>
      <c r="E403" s="65"/>
      <c r="G403" s="65"/>
      <c r="I403" s="65"/>
      <c r="K403" s="65"/>
      <c r="M403" s="65"/>
      <c r="O403" s="65"/>
      <c r="Q403" s="65"/>
      <c r="S403" s="65"/>
      <c r="U403" s="65"/>
      <c r="W403" s="65"/>
      <c r="Y403" s="65"/>
      <c r="AA403" s="65"/>
      <c r="AC403" s="65"/>
      <c r="AE403" s="65"/>
    </row>
    <row r="404" spans="1:31" x14ac:dyDescent="0.25">
      <c r="A404" s="65"/>
      <c r="C404" s="65"/>
      <c r="E404" s="65"/>
      <c r="G404" s="65"/>
      <c r="I404" s="65"/>
      <c r="K404" s="65"/>
      <c r="M404" s="65"/>
      <c r="O404" s="65"/>
      <c r="Q404" s="65"/>
      <c r="S404" s="65"/>
      <c r="U404" s="65"/>
      <c r="W404" s="65"/>
      <c r="Y404" s="65"/>
      <c r="AA404" s="65"/>
      <c r="AC404" s="65"/>
      <c r="AE404" s="65"/>
    </row>
    <row r="405" spans="1:31" x14ac:dyDescent="0.25">
      <c r="A405" s="65"/>
      <c r="C405" s="65"/>
      <c r="E405" s="65"/>
      <c r="G405" s="65"/>
      <c r="I405" s="65"/>
      <c r="K405" s="65"/>
      <c r="M405" s="65"/>
      <c r="O405" s="65"/>
      <c r="Q405" s="65"/>
      <c r="S405" s="65"/>
      <c r="U405" s="65"/>
      <c r="W405" s="65"/>
      <c r="Y405" s="65"/>
      <c r="AA405" s="65"/>
      <c r="AC405" s="65"/>
      <c r="AE405" s="65"/>
    </row>
    <row r="406" spans="1:31" x14ac:dyDescent="0.25">
      <c r="A406" s="65"/>
      <c r="C406" s="65"/>
      <c r="E406" s="65"/>
      <c r="G406" s="65"/>
      <c r="I406" s="65"/>
      <c r="K406" s="65"/>
      <c r="M406" s="65"/>
      <c r="O406" s="65"/>
      <c r="Q406" s="65"/>
      <c r="S406" s="65"/>
      <c r="U406" s="65"/>
      <c r="W406" s="65"/>
      <c r="Y406" s="65"/>
      <c r="AA406" s="65"/>
      <c r="AC406" s="65"/>
      <c r="AE406" s="65"/>
    </row>
    <row r="407" spans="1:31" x14ac:dyDescent="0.25">
      <c r="A407" s="65"/>
      <c r="C407" s="65"/>
      <c r="E407" s="65"/>
      <c r="G407" s="65"/>
      <c r="I407" s="65"/>
      <c r="K407" s="65"/>
      <c r="M407" s="65"/>
      <c r="O407" s="65"/>
      <c r="Q407" s="65"/>
      <c r="S407" s="65"/>
      <c r="U407" s="65"/>
      <c r="W407" s="65"/>
      <c r="Y407" s="65"/>
      <c r="AA407" s="65"/>
      <c r="AC407" s="65"/>
      <c r="AE407" s="65"/>
    </row>
    <row r="408" spans="1:31" x14ac:dyDescent="0.25">
      <c r="A408" s="65"/>
      <c r="C408" s="65"/>
      <c r="E408" s="65"/>
      <c r="G408" s="65"/>
      <c r="I408" s="65"/>
      <c r="K408" s="65"/>
      <c r="M408" s="65"/>
      <c r="O408" s="65"/>
      <c r="Q408" s="65"/>
      <c r="S408" s="65"/>
      <c r="U408" s="65"/>
      <c r="W408" s="65"/>
      <c r="Y408" s="65"/>
      <c r="AA408" s="65"/>
      <c r="AC408" s="65"/>
      <c r="AE408" s="65"/>
    </row>
    <row r="409" spans="1:31" x14ac:dyDescent="0.25">
      <c r="A409" s="65"/>
      <c r="C409" s="65"/>
      <c r="E409" s="65"/>
      <c r="G409" s="65"/>
      <c r="I409" s="65"/>
      <c r="K409" s="65"/>
      <c r="M409" s="65"/>
      <c r="O409" s="65"/>
      <c r="Q409" s="65"/>
      <c r="S409" s="65"/>
      <c r="U409" s="65"/>
      <c r="W409" s="65"/>
      <c r="Y409" s="65"/>
      <c r="AA409" s="65"/>
      <c r="AC409" s="65"/>
      <c r="AE409" s="65"/>
    </row>
    <row r="410" spans="1:31" x14ac:dyDescent="0.25">
      <c r="A410" s="65"/>
      <c r="C410" s="65"/>
      <c r="E410" s="65"/>
      <c r="G410" s="65"/>
      <c r="I410" s="65"/>
      <c r="K410" s="65"/>
      <c r="M410" s="65"/>
      <c r="O410" s="65"/>
      <c r="Q410" s="65"/>
      <c r="S410" s="65"/>
      <c r="U410" s="65"/>
      <c r="W410" s="65"/>
      <c r="Y410" s="65"/>
      <c r="AA410" s="65"/>
      <c r="AC410" s="65"/>
      <c r="AE410" s="65"/>
    </row>
    <row r="411" spans="1:31" x14ac:dyDescent="0.25">
      <c r="A411" s="65"/>
      <c r="C411" s="65"/>
      <c r="E411" s="65"/>
      <c r="G411" s="65"/>
      <c r="I411" s="65"/>
      <c r="K411" s="65"/>
      <c r="M411" s="65"/>
      <c r="O411" s="65"/>
      <c r="Q411" s="65"/>
      <c r="S411" s="65"/>
      <c r="U411" s="65"/>
      <c r="W411" s="65"/>
      <c r="Y411" s="65"/>
      <c r="AA411" s="65"/>
      <c r="AC411" s="65"/>
      <c r="AE411" s="65"/>
    </row>
    <row r="412" spans="1:31" x14ac:dyDescent="0.25">
      <c r="A412" s="65"/>
      <c r="C412" s="65"/>
      <c r="E412" s="65"/>
      <c r="G412" s="65"/>
      <c r="I412" s="65"/>
      <c r="K412" s="65"/>
      <c r="M412" s="65"/>
      <c r="O412" s="65"/>
      <c r="Q412" s="65"/>
      <c r="S412" s="65"/>
      <c r="U412" s="65"/>
      <c r="W412" s="65"/>
      <c r="Y412" s="65"/>
      <c r="AA412" s="65"/>
      <c r="AC412" s="65"/>
      <c r="AE412" s="65"/>
    </row>
    <row r="413" spans="1:31" x14ac:dyDescent="0.25">
      <c r="A413" s="65"/>
      <c r="C413" s="65"/>
      <c r="E413" s="65"/>
      <c r="G413" s="65"/>
      <c r="I413" s="65"/>
      <c r="K413" s="65"/>
      <c r="M413" s="65"/>
      <c r="O413" s="65"/>
      <c r="Q413" s="65"/>
      <c r="S413" s="65"/>
      <c r="U413" s="65"/>
      <c r="W413" s="65"/>
      <c r="Y413" s="65"/>
      <c r="AA413" s="65"/>
      <c r="AC413" s="65"/>
      <c r="AE413" s="65"/>
    </row>
    <row r="414" spans="1:31" x14ac:dyDescent="0.25">
      <c r="A414" s="65"/>
      <c r="C414" s="65"/>
      <c r="E414" s="65"/>
      <c r="G414" s="65"/>
      <c r="I414" s="65"/>
      <c r="K414" s="65"/>
      <c r="M414" s="65"/>
      <c r="O414" s="65"/>
      <c r="Q414" s="65"/>
      <c r="S414" s="65"/>
      <c r="U414" s="65"/>
      <c r="W414" s="65"/>
      <c r="Y414" s="65"/>
      <c r="AA414" s="65"/>
      <c r="AC414" s="65"/>
      <c r="AE414" s="65"/>
    </row>
    <row r="415" spans="1:31" x14ac:dyDescent="0.25">
      <c r="A415" s="65"/>
      <c r="C415" s="65"/>
      <c r="E415" s="65"/>
      <c r="G415" s="65"/>
      <c r="I415" s="65"/>
      <c r="K415" s="65"/>
      <c r="M415" s="65"/>
      <c r="O415" s="65"/>
      <c r="Q415" s="65"/>
      <c r="S415" s="65"/>
      <c r="U415" s="65"/>
      <c r="W415" s="65"/>
      <c r="Y415" s="65"/>
      <c r="AA415" s="65"/>
      <c r="AC415" s="65"/>
      <c r="AE415" s="65"/>
    </row>
    <row r="416" spans="1:31" x14ac:dyDescent="0.25">
      <c r="A416" s="65"/>
      <c r="C416" s="65"/>
      <c r="E416" s="65"/>
      <c r="G416" s="65"/>
      <c r="I416" s="65"/>
      <c r="K416" s="65"/>
      <c r="M416" s="65"/>
      <c r="O416" s="65"/>
      <c r="Q416" s="65"/>
      <c r="S416" s="65"/>
      <c r="U416" s="65"/>
      <c r="W416" s="65"/>
      <c r="Y416" s="65"/>
      <c r="AA416" s="65"/>
      <c r="AC416" s="65"/>
      <c r="AE416" s="65"/>
    </row>
    <row r="417" spans="1:31" x14ac:dyDescent="0.25">
      <c r="A417" s="65"/>
      <c r="C417" s="65"/>
      <c r="E417" s="65"/>
      <c r="G417" s="65"/>
      <c r="I417" s="65"/>
      <c r="K417" s="65"/>
      <c r="M417" s="65"/>
      <c r="O417" s="65"/>
      <c r="Q417" s="65"/>
      <c r="S417" s="65"/>
      <c r="U417" s="65"/>
      <c r="W417" s="65"/>
      <c r="Y417" s="65"/>
      <c r="AA417" s="65"/>
      <c r="AC417" s="65"/>
      <c r="AE417" s="65"/>
    </row>
    <row r="418" spans="1:31" x14ac:dyDescent="0.25">
      <c r="A418" s="65"/>
      <c r="C418" s="65"/>
      <c r="E418" s="65"/>
      <c r="G418" s="65"/>
      <c r="I418" s="65"/>
      <c r="K418" s="65"/>
      <c r="M418" s="65"/>
      <c r="O418" s="65"/>
      <c r="Q418" s="65"/>
      <c r="S418" s="65"/>
      <c r="U418" s="65"/>
      <c r="W418" s="65"/>
      <c r="Y418" s="65"/>
      <c r="AA418" s="65"/>
      <c r="AC418" s="65"/>
      <c r="AE418" s="65"/>
    </row>
    <row r="419" spans="1:31" x14ac:dyDescent="0.25">
      <c r="A419" s="65"/>
      <c r="C419" s="65"/>
      <c r="E419" s="65"/>
      <c r="G419" s="65"/>
      <c r="I419" s="65"/>
      <c r="K419" s="65"/>
      <c r="M419" s="65"/>
      <c r="O419" s="65"/>
      <c r="Q419" s="65"/>
      <c r="S419" s="65"/>
      <c r="U419" s="65"/>
      <c r="W419" s="65"/>
      <c r="Y419" s="65"/>
      <c r="AA419" s="65"/>
      <c r="AC419" s="65"/>
      <c r="AE419" s="65"/>
    </row>
    <row r="420" spans="1:31" x14ac:dyDescent="0.25">
      <c r="A420" s="65"/>
      <c r="C420" s="65"/>
      <c r="E420" s="65"/>
      <c r="G420" s="65"/>
      <c r="I420" s="65"/>
      <c r="K420" s="65"/>
      <c r="M420" s="65"/>
      <c r="O420" s="65"/>
      <c r="Q420" s="65"/>
      <c r="S420" s="65"/>
      <c r="U420" s="65"/>
      <c r="W420" s="65"/>
      <c r="Y420" s="65"/>
      <c r="AA420" s="65"/>
      <c r="AC420" s="65"/>
      <c r="AE420" s="65"/>
    </row>
    <row r="421" spans="1:31" x14ac:dyDescent="0.25">
      <c r="A421" s="65"/>
      <c r="C421" s="65"/>
      <c r="E421" s="65"/>
      <c r="G421" s="65"/>
      <c r="I421" s="65"/>
      <c r="K421" s="65"/>
      <c r="M421" s="65"/>
      <c r="O421" s="65"/>
      <c r="Q421" s="65"/>
      <c r="S421" s="65"/>
      <c r="U421" s="65"/>
      <c r="W421" s="65"/>
      <c r="Y421" s="65"/>
      <c r="AA421" s="65"/>
      <c r="AC421" s="65"/>
      <c r="AE421" s="65"/>
    </row>
    <row r="422" spans="1:31" x14ac:dyDescent="0.25">
      <c r="A422" s="65"/>
      <c r="C422" s="65"/>
      <c r="E422" s="65"/>
      <c r="G422" s="65"/>
      <c r="I422" s="65"/>
      <c r="K422" s="65"/>
      <c r="M422" s="65"/>
      <c r="O422" s="65"/>
      <c r="Q422" s="65"/>
      <c r="S422" s="65"/>
      <c r="U422" s="65"/>
      <c r="W422" s="65"/>
      <c r="Y422" s="65"/>
      <c r="AA422" s="65"/>
      <c r="AC422" s="65"/>
      <c r="AE422" s="65"/>
    </row>
    <row r="423" spans="1:31" x14ac:dyDescent="0.25">
      <c r="A423" s="65"/>
      <c r="C423" s="65"/>
      <c r="E423" s="65"/>
      <c r="G423" s="65"/>
      <c r="I423" s="65"/>
      <c r="K423" s="65"/>
      <c r="M423" s="65"/>
      <c r="O423" s="65"/>
      <c r="Q423" s="65"/>
      <c r="S423" s="65"/>
      <c r="U423" s="65"/>
      <c r="W423" s="65"/>
      <c r="Y423" s="65"/>
      <c r="AA423" s="65"/>
      <c r="AC423" s="65"/>
      <c r="AE423" s="65"/>
    </row>
    <row r="424" spans="1:31" x14ac:dyDescent="0.25">
      <c r="A424" s="65"/>
      <c r="C424" s="65"/>
      <c r="E424" s="65"/>
      <c r="G424" s="65"/>
      <c r="I424" s="65"/>
      <c r="K424" s="65"/>
      <c r="M424" s="65"/>
      <c r="O424" s="65"/>
      <c r="Q424" s="65"/>
      <c r="S424" s="65"/>
      <c r="U424" s="65"/>
      <c r="W424" s="65"/>
      <c r="Y424" s="65"/>
      <c r="AA424" s="65"/>
      <c r="AC424" s="65"/>
      <c r="AE424" s="65"/>
    </row>
    <row r="425" spans="1:31" x14ac:dyDescent="0.25">
      <c r="A425" s="65"/>
      <c r="C425" s="65"/>
      <c r="E425" s="65"/>
      <c r="G425" s="65"/>
      <c r="I425" s="65"/>
      <c r="K425" s="65"/>
      <c r="M425" s="65"/>
      <c r="O425" s="65"/>
      <c r="Q425" s="65"/>
      <c r="S425" s="65"/>
      <c r="U425" s="65"/>
      <c r="W425" s="65"/>
      <c r="Y425" s="65"/>
      <c r="AA425" s="65"/>
      <c r="AC425" s="65"/>
      <c r="AE425" s="65"/>
    </row>
    <row r="426" spans="1:31" x14ac:dyDescent="0.25">
      <c r="A426" s="65"/>
      <c r="C426" s="65"/>
      <c r="E426" s="65"/>
      <c r="G426" s="65"/>
      <c r="I426" s="65"/>
      <c r="K426" s="65"/>
      <c r="M426" s="65"/>
      <c r="O426" s="65"/>
      <c r="Q426" s="65"/>
      <c r="S426" s="65"/>
      <c r="U426" s="65"/>
      <c r="W426" s="65"/>
      <c r="Y426" s="65"/>
      <c r="AA426" s="65"/>
      <c r="AC426" s="65"/>
      <c r="AE426" s="65"/>
    </row>
    <row r="427" spans="1:31" x14ac:dyDescent="0.25">
      <c r="A427" s="65"/>
      <c r="C427" s="65"/>
      <c r="E427" s="65"/>
      <c r="G427" s="65"/>
      <c r="I427" s="65"/>
      <c r="K427" s="65"/>
      <c r="M427" s="65"/>
      <c r="O427" s="65"/>
      <c r="Q427" s="65"/>
      <c r="S427" s="65"/>
      <c r="U427" s="65"/>
      <c r="W427" s="65"/>
      <c r="Y427" s="65"/>
      <c r="AA427" s="65"/>
      <c r="AC427" s="65"/>
      <c r="AE427" s="65"/>
    </row>
    <row r="428" spans="1:31" x14ac:dyDescent="0.25">
      <c r="A428" s="65"/>
      <c r="C428" s="65"/>
      <c r="E428" s="65"/>
      <c r="G428" s="65"/>
      <c r="I428" s="65"/>
      <c r="K428" s="65"/>
      <c r="M428" s="65"/>
      <c r="O428" s="65"/>
      <c r="Q428" s="65"/>
      <c r="S428" s="65"/>
      <c r="U428" s="65"/>
      <c r="W428" s="65"/>
      <c r="Y428" s="65"/>
      <c r="AA428" s="65"/>
      <c r="AC428" s="65"/>
      <c r="AE428" s="65"/>
    </row>
    <row r="429" spans="1:31" x14ac:dyDescent="0.25">
      <c r="A429" s="65"/>
      <c r="C429" s="65"/>
      <c r="E429" s="65"/>
      <c r="G429" s="65"/>
      <c r="I429" s="65"/>
      <c r="K429" s="65"/>
      <c r="M429" s="65"/>
      <c r="O429" s="65"/>
      <c r="Q429" s="65"/>
      <c r="S429" s="65"/>
      <c r="U429" s="65"/>
      <c r="W429" s="65"/>
      <c r="Y429" s="65"/>
      <c r="AA429" s="65"/>
      <c r="AC429" s="65"/>
      <c r="AE429" s="65"/>
    </row>
    <row r="430" spans="1:31" x14ac:dyDescent="0.25">
      <c r="A430" s="65"/>
      <c r="C430" s="65"/>
      <c r="E430" s="65"/>
      <c r="G430" s="65"/>
      <c r="I430" s="65"/>
      <c r="K430" s="65"/>
      <c r="M430" s="65"/>
      <c r="O430" s="65"/>
      <c r="Q430" s="65"/>
      <c r="S430" s="65"/>
      <c r="U430" s="65"/>
      <c r="W430" s="65"/>
      <c r="Y430" s="65"/>
      <c r="AA430" s="65"/>
      <c r="AC430" s="65"/>
      <c r="AE430" s="65"/>
    </row>
    <row r="431" spans="1:31" x14ac:dyDescent="0.25">
      <c r="A431" s="65"/>
      <c r="C431" s="65"/>
      <c r="E431" s="65"/>
      <c r="G431" s="65"/>
      <c r="I431" s="65"/>
      <c r="K431" s="65"/>
      <c r="M431" s="65"/>
      <c r="O431" s="65"/>
      <c r="Q431" s="65"/>
      <c r="S431" s="65"/>
      <c r="U431" s="65"/>
      <c r="W431" s="65"/>
      <c r="Y431" s="65"/>
      <c r="AA431" s="65"/>
      <c r="AC431" s="65"/>
      <c r="AE431" s="65"/>
    </row>
    <row r="432" spans="1:31" x14ac:dyDescent="0.25">
      <c r="A432" s="65"/>
      <c r="C432" s="65"/>
      <c r="E432" s="65"/>
      <c r="G432" s="65"/>
      <c r="I432" s="65"/>
      <c r="K432" s="65"/>
      <c r="M432" s="65"/>
      <c r="O432" s="65"/>
      <c r="Q432" s="65"/>
      <c r="S432" s="65"/>
      <c r="U432" s="65"/>
      <c r="W432" s="65"/>
      <c r="Y432" s="65"/>
      <c r="AA432" s="65"/>
      <c r="AC432" s="65"/>
      <c r="AE432" s="65"/>
    </row>
    <row r="433" spans="1:31" x14ac:dyDescent="0.25">
      <c r="A433" s="65"/>
      <c r="C433" s="65"/>
      <c r="E433" s="65"/>
      <c r="G433" s="65"/>
      <c r="I433" s="65"/>
      <c r="K433" s="65"/>
      <c r="M433" s="65"/>
      <c r="O433" s="65"/>
      <c r="Q433" s="65"/>
      <c r="S433" s="65"/>
      <c r="U433" s="65"/>
      <c r="W433" s="65"/>
      <c r="Y433" s="65"/>
      <c r="AA433" s="65"/>
      <c r="AC433" s="65"/>
      <c r="AE433" s="65"/>
    </row>
    <row r="434" spans="1:31" x14ac:dyDescent="0.25">
      <c r="A434" s="65"/>
      <c r="C434" s="65"/>
      <c r="E434" s="65"/>
      <c r="G434" s="65"/>
      <c r="I434" s="65"/>
      <c r="K434" s="65"/>
      <c r="M434" s="65"/>
      <c r="O434" s="65"/>
      <c r="Q434" s="65"/>
      <c r="S434" s="65"/>
      <c r="U434" s="65"/>
      <c r="W434" s="65"/>
      <c r="Y434" s="65"/>
      <c r="AA434" s="65"/>
      <c r="AC434" s="65"/>
      <c r="AE434" s="65"/>
    </row>
    <row r="435" spans="1:31" x14ac:dyDescent="0.25">
      <c r="A435" s="65"/>
      <c r="C435" s="65"/>
      <c r="E435" s="65"/>
      <c r="G435" s="65"/>
      <c r="I435" s="65"/>
      <c r="K435" s="65"/>
      <c r="M435" s="65"/>
      <c r="O435" s="65"/>
      <c r="Q435" s="65"/>
      <c r="S435" s="65"/>
      <c r="U435" s="65"/>
      <c r="W435" s="65"/>
      <c r="Y435" s="65"/>
      <c r="AA435" s="65"/>
      <c r="AC435" s="65"/>
      <c r="AE435" s="65"/>
    </row>
    <row r="436" spans="1:31" x14ac:dyDescent="0.25">
      <c r="A436" s="65"/>
      <c r="C436" s="65"/>
      <c r="E436" s="65"/>
      <c r="G436" s="65"/>
      <c r="I436" s="65"/>
      <c r="K436" s="65"/>
      <c r="M436" s="65"/>
      <c r="O436" s="65"/>
      <c r="Q436" s="65"/>
      <c r="S436" s="65"/>
      <c r="U436" s="65"/>
      <c r="W436" s="65"/>
      <c r="Y436" s="65"/>
      <c r="AA436" s="65"/>
      <c r="AC436" s="65"/>
      <c r="AE436" s="65"/>
    </row>
    <row r="437" spans="1:31" x14ac:dyDescent="0.25">
      <c r="A437" s="65"/>
      <c r="C437" s="65"/>
      <c r="E437" s="65"/>
      <c r="G437" s="65"/>
      <c r="I437" s="65"/>
      <c r="K437" s="65"/>
      <c r="M437" s="65"/>
      <c r="O437" s="65"/>
      <c r="Q437" s="65"/>
      <c r="S437" s="65"/>
      <c r="U437" s="65"/>
      <c r="W437" s="65"/>
      <c r="Y437" s="65"/>
      <c r="AA437" s="65"/>
      <c r="AC437" s="65"/>
      <c r="AE437" s="65"/>
    </row>
    <row r="438" spans="1:31" x14ac:dyDescent="0.25">
      <c r="A438" s="65"/>
      <c r="C438" s="65"/>
      <c r="E438" s="65"/>
      <c r="G438" s="65"/>
      <c r="I438" s="65"/>
      <c r="K438" s="65"/>
      <c r="M438" s="65"/>
      <c r="O438" s="65"/>
      <c r="Q438" s="65"/>
      <c r="S438" s="65"/>
      <c r="U438" s="65"/>
      <c r="W438" s="65"/>
      <c r="Y438" s="65"/>
      <c r="AA438" s="65"/>
      <c r="AC438" s="65"/>
      <c r="AE438" s="65"/>
    </row>
    <row r="439" spans="1:31" x14ac:dyDescent="0.25">
      <c r="A439" s="65"/>
      <c r="C439" s="65"/>
      <c r="E439" s="65"/>
      <c r="G439" s="65"/>
      <c r="I439" s="65"/>
      <c r="K439" s="65"/>
      <c r="M439" s="65"/>
      <c r="O439" s="65"/>
      <c r="Q439" s="65"/>
      <c r="S439" s="65"/>
      <c r="U439" s="65"/>
      <c r="W439" s="65"/>
      <c r="Y439" s="65"/>
      <c r="AA439" s="65"/>
      <c r="AC439" s="65"/>
      <c r="AE439" s="65"/>
    </row>
    <row r="440" spans="1:31" x14ac:dyDescent="0.25">
      <c r="A440" s="65"/>
      <c r="C440" s="65"/>
      <c r="E440" s="65"/>
      <c r="G440" s="65"/>
      <c r="I440" s="65"/>
      <c r="K440" s="65"/>
      <c r="M440" s="65"/>
      <c r="O440" s="65"/>
      <c r="Q440" s="65"/>
      <c r="S440" s="65"/>
      <c r="U440" s="65"/>
      <c r="W440" s="65"/>
      <c r="Y440" s="65"/>
      <c r="AA440" s="65"/>
      <c r="AC440" s="65"/>
      <c r="AE440" s="65"/>
    </row>
    <row r="441" spans="1:31" x14ac:dyDescent="0.25">
      <c r="A441" s="65"/>
      <c r="C441" s="65"/>
      <c r="E441" s="65"/>
      <c r="G441" s="65"/>
      <c r="I441" s="65"/>
      <c r="K441" s="65"/>
      <c r="M441" s="65"/>
      <c r="O441" s="65"/>
      <c r="Q441" s="65"/>
      <c r="S441" s="65"/>
      <c r="U441" s="65"/>
      <c r="W441" s="65"/>
      <c r="Y441" s="65"/>
      <c r="AA441" s="65"/>
      <c r="AC441" s="65"/>
      <c r="AE441" s="65"/>
    </row>
    <row r="442" spans="1:31" x14ac:dyDescent="0.25">
      <c r="A442" s="65"/>
      <c r="C442" s="65"/>
      <c r="E442" s="65"/>
      <c r="G442" s="65"/>
      <c r="I442" s="65"/>
      <c r="K442" s="65"/>
      <c r="M442" s="65"/>
      <c r="O442" s="65"/>
      <c r="Q442" s="65"/>
      <c r="S442" s="65"/>
      <c r="U442" s="65"/>
      <c r="W442" s="65"/>
      <c r="Y442" s="65"/>
      <c r="AA442" s="65"/>
      <c r="AC442" s="65"/>
      <c r="AE442" s="65"/>
    </row>
    <row r="443" spans="1:31" x14ac:dyDescent="0.25">
      <c r="A443" s="65"/>
      <c r="C443" s="65"/>
      <c r="E443" s="65"/>
      <c r="G443" s="65"/>
      <c r="I443" s="65"/>
      <c r="K443" s="65"/>
      <c r="M443" s="65"/>
      <c r="O443" s="65"/>
      <c r="Q443" s="65"/>
      <c r="S443" s="65"/>
      <c r="U443" s="65"/>
      <c r="W443" s="65"/>
      <c r="Y443" s="65"/>
      <c r="AA443" s="65"/>
      <c r="AC443" s="65"/>
      <c r="AE443" s="65"/>
    </row>
    <row r="444" spans="1:31" x14ac:dyDescent="0.25">
      <c r="A444" s="65"/>
      <c r="C444" s="65"/>
      <c r="E444" s="65"/>
      <c r="G444" s="65"/>
      <c r="I444" s="65"/>
      <c r="K444" s="65"/>
      <c r="M444" s="65"/>
      <c r="O444" s="65"/>
      <c r="Q444" s="65"/>
      <c r="S444" s="65"/>
      <c r="U444" s="65"/>
      <c r="W444" s="65"/>
      <c r="Y444" s="65"/>
      <c r="AA444" s="65"/>
      <c r="AC444" s="65"/>
      <c r="AE444" s="65"/>
    </row>
    <row r="445" spans="1:31" x14ac:dyDescent="0.25">
      <c r="A445" s="65"/>
      <c r="C445" s="65"/>
      <c r="E445" s="65"/>
      <c r="G445" s="65"/>
      <c r="I445" s="65"/>
      <c r="K445" s="65"/>
      <c r="M445" s="65"/>
      <c r="O445" s="65"/>
      <c r="Q445" s="65"/>
      <c r="S445" s="65"/>
      <c r="U445" s="65"/>
      <c r="W445" s="65"/>
      <c r="Y445" s="65"/>
      <c r="AA445" s="65"/>
      <c r="AC445" s="65"/>
      <c r="AE445" s="65"/>
    </row>
    <row r="446" spans="1:31" x14ac:dyDescent="0.25">
      <c r="A446" s="65"/>
      <c r="C446" s="65"/>
      <c r="E446" s="65"/>
      <c r="G446" s="65"/>
      <c r="I446" s="65"/>
      <c r="K446" s="65"/>
      <c r="M446" s="65"/>
      <c r="O446" s="65"/>
      <c r="Q446" s="65"/>
      <c r="S446" s="65"/>
      <c r="U446" s="65"/>
      <c r="W446" s="65"/>
      <c r="Y446" s="65"/>
      <c r="AA446" s="65"/>
      <c r="AC446" s="65"/>
      <c r="AE446" s="65"/>
    </row>
    <row r="447" spans="1:31" x14ac:dyDescent="0.25">
      <c r="A447" s="65"/>
      <c r="C447" s="65"/>
      <c r="E447" s="65"/>
      <c r="G447" s="65"/>
      <c r="I447" s="65"/>
      <c r="K447" s="65"/>
      <c r="M447" s="65"/>
      <c r="O447" s="65"/>
      <c r="Q447" s="65"/>
      <c r="S447" s="65"/>
      <c r="U447" s="65"/>
      <c r="W447" s="65"/>
      <c r="Y447" s="65"/>
      <c r="AA447" s="65"/>
      <c r="AC447" s="65"/>
      <c r="AE447" s="65"/>
    </row>
    <row r="448" spans="1:31" x14ac:dyDescent="0.25">
      <c r="A448" s="65"/>
      <c r="C448" s="65"/>
      <c r="E448" s="65"/>
      <c r="G448" s="65"/>
      <c r="I448" s="65"/>
      <c r="K448" s="65"/>
      <c r="M448" s="65"/>
      <c r="O448" s="65"/>
      <c r="Q448" s="65"/>
      <c r="S448" s="65"/>
      <c r="U448" s="65"/>
      <c r="W448" s="65"/>
      <c r="Y448" s="65"/>
      <c r="AA448" s="65"/>
      <c r="AC448" s="65"/>
      <c r="AE448" s="65"/>
    </row>
    <row r="449" spans="1:31" x14ac:dyDescent="0.25">
      <c r="A449" s="65"/>
      <c r="C449" s="65"/>
      <c r="E449" s="65"/>
      <c r="G449" s="65"/>
      <c r="I449" s="65"/>
      <c r="K449" s="65"/>
      <c r="M449" s="65"/>
      <c r="O449" s="65"/>
      <c r="Q449" s="65"/>
      <c r="S449" s="65"/>
      <c r="U449" s="65"/>
      <c r="W449" s="65"/>
      <c r="Y449" s="65"/>
      <c r="AA449" s="65"/>
      <c r="AC449" s="65"/>
      <c r="AE449" s="65"/>
    </row>
    <row r="450" spans="1:31" x14ac:dyDescent="0.25">
      <c r="A450" s="65"/>
      <c r="C450" s="65"/>
      <c r="E450" s="65"/>
      <c r="G450" s="65"/>
      <c r="I450" s="65"/>
      <c r="K450" s="65"/>
      <c r="M450" s="65"/>
      <c r="O450" s="65"/>
      <c r="Q450" s="65"/>
      <c r="S450" s="65"/>
      <c r="U450" s="65"/>
      <c r="W450" s="65"/>
      <c r="Y450" s="65"/>
      <c r="AA450" s="65"/>
      <c r="AC450" s="65"/>
      <c r="AE450" s="65"/>
    </row>
    <row r="451" spans="1:31" x14ac:dyDescent="0.25">
      <c r="A451" s="65"/>
      <c r="C451" s="65"/>
      <c r="E451" s="65"/>
      <c r="G451" s="65"/>
      <c r="I451" s="65"/>
      <c r="K451" s="65"/>
      <c r="M451" s="65"/>
      <c r="O451" s="65"/>
      <c r="Q451" s="65"/>
      <c r="S451" s="65"/>
      <c r="U451" s="65"/>
      <c r="W451" s="65"/>
      <c r="Y451" s="65"/>
      <c r="AA451" s="65"/>
      <c r="AC451" s="65"/>
      <c r="AE451" s="65"/>
    </row>
    <row r="452" spans="1:31" x14ac:dyDescent="0.25">
      <c r="A452" s="65"/>
      <c r="C452" s="65"/>
      <c r="E452" s="65"/>
      <c r="G452" s="65"/>
      <c r="I452" s="65"/>
      <c r="K452" s="65"/>
      <c r="M452" s="65"/>
      <c r="O452" s="65"/>
      <c r="Q452" s="65"/>
      <c r="S452" s="65"/>
      <c r="U452" s="65"/>
      <c r="W452" s="65"/>
      <c r="Y452" s="65"/>
      <c r="AA452" s="65"/>
      <c r="AC452" s="65"/>
      <c r="AE452" s="65"/>
    </row>
    <row r="453" spans="1:31" x14ac:dyDescent="0.25">
      <c r="A453" s="65"/>
      <c r="C453" s="65"/>
      <c r="E453" s="65"/>
      <c r="G453" s="65"/>
      <c r="I453" s="65"/>
      <c r="K453" s="65"/>
      <c r="M453" s="65"/>
      <c r="O453" s="65"/>
      <c r="Q453" s="65"/>
      <c r="S453" s="65"/>
      <c r="U453" s="65"/>
      <c r="W453" s="65"/>
      <c r="Y453" s="65"/>
      <c r="AA453" s="65"/>
      <c r="AC453" s="65"/>
      <c r="AE453" s="65"/>
    </row>
    <row r="454" spans="1:31" x14ac:dyDescent="0.25">
      <c r="A454" s="65"/>
      <c r="C454" s="65"/>
      <c r="E454" s="65"/>
      <c r="G454" s="65"/>
      <c r="I454" s="65"/>
      <c r="K454" s="65"/>
      <c r="M454" s="65"/>
      <c r="O454" s="65"/>
      <c r="Q454" s="65"/>
      <c r="S454" s="65"/>
      <c r="U454" s="65"/>
      <c r="W454" s="65"/>
      <c r="Y454" s="65"/>
      <c r="AA454" s="65"/>
      <c r="AC454" s="65"/>
      <c r="AE454" s="65"/>
    </row>
    <row r="455" spans="1:31" x14ac:dyDescent="0.25">
      <c r="A455" s="65"/>
      <c r="C455" s="65"/>
      <c r="E455" s="65"/>
      <c r="G455" s="65"/>
      <c r="I455" s="65"/>
      <c r="K455" s="65"/>
      <c r="M455" s="65"/>
      <c r="O455" s="65"/>
      <c r="Q455" s="65"/>
      <c r="S455" s="65"/>
      <c r="U455" s="65"/>
      <c r="W455" s="65"/>
      <c r="Y455" s="65"/>
      <c r="AA455" s="65"/>
      <c r="AC455" s="65"/>
      <c r="AE455" s="65"/>
    </row>
    <row r="456" spans="1:31" x14ac:dyDescent="0.25">
      <c r="A456" s="65"/>
      <c r="C456" s="65"/>
      <c r="E456" s="65"/>
      <c r="G456" s="65"/>
      <c r="I456" s="65"/>
      <c r="K456" s="65"/>
      <c r="M456" s="65"/>
      <c r="O456" s="65"/>
      <c r="Q456" s="65"/>
      <c r="S456" s="65"/>
      <c r="U456" s="65"/>
      <c r="W456" s="65"/>
      <c r="Y456" s="65"/>
      <c r="AA456" s="65"/>
      <c r="AC456" s="65"/>
      <c r="AE456" s="65"/>
    </row>
    <row r="457" spans="1:31" x14ac:dyDescent="0.25">
      <c r="A457" s="65"/>
      <c r="C457" s="65"/>
      <c r="E457" s="65"/>
      <c r="G457" s="65"/>
      <c r="I457" s="65"/>
      <c r="K457" s="65"/>
      <c r="M457" s="65"/>
      <c r="O457" s="65"/>
      <c r="Q457" s="65"/>
      <c r="S457" s="65"/>
      <c r="U457" s="65"/>
      <c r="W457" s="65"/>
      <c r="Y457" s="65"/>
      <c r="AA457" s="65"/>
      <c r="AC457" s="65"/>
      <c r="AE457" s="65"/>
    </row>
    <row r="458" spans="1:31" x14ac:dyDescent="0.25">
      <c r="A458" s="65"/>
      <c r="C458" s="65"/>
      <c r="E458" s="65"/>
      <c r="G458" s="65"/>
      <c r="I458" s="65"/>
      <c r="K458" s="65"/>
      <c r="M458" s="65"/>
      <c r="O458" s="65"/>
      <c r="Q458" s="65"/>
      <c r="S458" s="65"/>
      <c r="U458" s="65"/>
      <c r="W458" s="65"/>
      <c r="Y458" s="65"/>
      <c r="AA458" s="65"/>
      <c r="AC458" s="65"/>
      <c r="AE458" s="65"/>
    </row>
    <row r="459" spans="1:31" x14ac:dyDescent="0.25">
      <c r="A459" s="65"/>
      <c r="C459" s="65"/>
      <c r="E459" s="65"/>
      <c r="G459" s="65"/>
      <c r="I459" s="65"/>
      <c r="K459" s="65"/>
      <c r="M459" s="65"/>
      <c r="O459" s="65"/>
      <c r="Q459" s="65"/>
      <c r="S459" s="65"/>
      <c r="U459" s="65"/>
      <c r="W459" s="65"/>
      <c r="Y459" s="65"/>
      <c r="AA459" s="65"/>
      <c r="AC459" s="65"/>
      <c r="AE459" s="65"/>
    </row>
    <row r="460" spans="1:31" x14ac:dyDescent="0.25">
      <c r="A460" s="65"/>
      <c r="C460" s="65"/>
      <c r="E460" s="65"/>
      <c r="G460" s="65"/>
      <c r="I460" s="65"/>
      <c r="K460" s="65"/>
      <c r="M460" s="65"/>
      <c r="O460" s="65"/>
      <c r="Q460" s="65"/>
      <c r="S460" s="65"/>
      <c r="U460" s="65"/>
      <c r="W460" s="65"/>
      <c r="Y460" s="65"/>
      <c r="AA460" s="65"/>
      <c r="AC460" s="65"/>
      <c r="AE460" s="65"/>
    </row>
    <row r="461" spans="1:31" x14ac:dyDescent="0.25">
      <c r="A461" s="65"/>
      <c r="C461" s="65"/>
      <c r="E461" s="65"/>
      <c r="G461" s="65"/>
      <c r="I461" s="65"/>
      <c r="K461" s="65"/>
      <c r="M461" s="65"/>
      <c r="O461" s="65"/>
      <c r="Q461" s="65"/>
      <c r="S461" s="65"/>
      <c r="U461" s="65"/>
      <c r="W461" s="65"/>
      <c r="Y461" s="65"/>
      <c r="AA461" s="65"/>
      <c r="AC461" s="65"/>
      <c r="AE461" s="65"/>
    </row>
    <row r="462" spans="1:31" x14ac:dyDescent="0.25">
      <c r="A462" s="65"/>
      <c r="C462" s="65"/>
      <c r="E462" s="65"/>
      <c r="G462" s="65"/>
      <c r="I462" s="65"/>
      <c r="K462" s="65"/>
      <c r="M462" s="65"/>
      <c r="O462" s="65"/>
      <c r="Q462" s="65"/>
      <c r="S462" s="65"/>
      <c r="U462" s="65"/>
      <c r="W462" s="65"/>
      <c r="Y462" s="65"/>
      <c r="AA462" s="65"/>
      <c r="AC462" s="65"/>
      <c r="AE462" s="65"/>
    </row>
    <row r="463" spans="1:31" x14ac:dyDescent="0.25">
      <c r="A463" s="65"/>
      <c r="C463" s="65"/>
      <c r="E463" s="65"/>
      <c r="G463" s="65"/>
      <c r="I463" s="65"/>
      <c r="K463" s="65"/>
      <c r="M463" s="65"/>
      <c r="O463" s="65"/>
      <c r="Q463" s="65"/>
      <c r="S463" s="65"/>
      <c r="U463" s="65"/>
      <c r="W463" s="65"/>
      <c r="Y463" s="65"/>
      <c r="AA463" s="65"/>
      <c r="AC463" s="65"/>
      <c r="AE463" s="65"/>
    </row>
    <row r="464" spans="1:31" x14ac:dyDescent="0.25">
      <c r="A464" s="65"/>
      <c r="C464" s="65"/>
      <c r="E464" s="65"/>
      <c r="G464" s="65"/>
      <c r="I464" s="65"/>
      <c r="K464" s="65"/>
      <c r="M464" s="65"/>
      <c r="O464" s="65"/>
      <c r="Q464" s="65"/>
      <c r="S464" s="65"/>
      <c r="U464" s="65"/>
      <c r="W464" s="65"/>
      <c r="Y464" s="65"/>
      <c r="AA464" s="65"/>
      <c r="AC464" s="65"/>
      <c r="AE464" s="65"/>
    </row>
    <row r="465" spans="1:31" x14ac:dyDescent="0.25">
      <c r="A465" s="65"/>
      <c r="C465" s="65"/>
      <c r="E465" s="65"/>
      <c r="G465" s="65"/>
      <c r="I465" s="65"/>
      <c r="K465" s="65"/>
      <c r="M465" s="65"/>
      <c r="O465" s="65"/>
      <c r="Q465" s="65"/>
      <c r="S465" s="65"/>
      <c r="U465" s="65"/>
      <c r="W465" s="65"/>
      <c r="Y465" s="65"/>
      <c r="AA465" s="65"/>
      <c r="AC465" s="65"/>
      <c r="AE465" s="65"/>
    </row>
    <row r="466" spans="1:31" x14ac:dyDescent="0.25">
      <c r="A466" s="65"/>
      <c r="C466" s="65"/>
      <c r="E466" s="65"/>
      <c r="G466" s="65"/>
      <c r="I466" s="65"/>
      <c r="K466" s="65"/>
      <c r="M466" s="65"/>
      <c r="O466" s="65"/>
      <c r="Q466" s="65"/>
      <c r="S466" s="65"/>
      <c r="U466" s="65"/>
      <c r="W466" s="65"/>
      <c r="Y466" s="65"/>
      <c r="AA466" s="65"/>
      <c r="AC466" s="65"/>
      <c r="AE466" s="65"/>
    </row>
    <row r="467" spans="1:31" x14ac:dyDescent="0.25">
      <c r="A467" s="65"/>
      <c r="C467" s="65"/>
      <c r="E467" s="65"/>
      <c r="G467" s="65"/>
      <c r="I467" s="65"/>
      <c r="K467" s="65"/>
      <c r="M467" s="65"/>
      <c r="O467" s="65"/>
      <c r="Q467" s="65"/>
      <c r="S467" s="65"/>
      <c r="U467" s="65"/>
      <c r="W467" s="65"/>
      <c r="Y467" s="65"/>
      <c r="AA467" s="65"/>
      <c r="AC467" s="65"/>
      <c r="AE467" s="65"/>
    </row>
    <row r="468" spans="1:31" x14ac:dyDescent="0.25">
      <c r="A468" s="65"/>
      <c r="C468" s="65"/>
      <c r="E468" s="65"/>
      <c r="G468" s="65"/>
      <c r="I468" s="65"/>
      <c r="K468" s="65"/>
      <c r="M468" s="65"/>
      <c r="O468" s="65"/>
      <c r="Q468" s="65"/>
      <c r="S468" s="65"/>
      <c r="U468" s="65"/>
      <c r="W468" s="65"/>
      <c r="Y468" s="65"/>
      <c r="AA468" s="65"/>
      <c r="AC468" s="65"/>
      <c r="AE468" s="65"/>
    </row>
    <row r="469" spans="1:31" x14ac:dyDescent="0.25">
      <c r="A469" s="65"/>
      <c r="C469" s="65"/>
      <c r="E469" s="65"/>
      <c r="G469" s="65"/>
      <c r="I469" s="65"/>
      <c r="K469" s="65"/>
      <c r="M469" s="65"/>
      <c r="O469" s="65"/>
      <c r="Q469" s="65"/>
      <c r="S469" s="65"/>
      <c r="U469" s="65"/>
      <c r="W469" s="65"/>
      <c r="Y469" s="65"/>
      <c r="AA469" s="65"/>
      <c r="AC469" s="65"/>
      <c r="AE469" s="65"/>
    </row>
    <row r="470" spans="1:31" x14ac:dyDescent="0.25">
      <c r="A470" s="65"/>
      <c r="C470" s="65"/>
      <c r="E470" s="65"/>
      <c r="G470" s="65"/>
      <c r="I470" s="65"/>
      <c r="K470" s="65"/>
      <c r="M470" s="65"/>
      <c r="O470" s="65"/>
      <c r="Q470" s="65"/>
      <c r="S470" s="65"/>
      <c r="U470" s="65"/>
      <c r="W470" s="65"/>
      <c r="Y470" s="65"/>
      <c r="AA470" s="65"/>
      <c r="AC470" s="65"/>
      <c r="AE470" s="65"/>
    </row>
    <row r="471" spans="1:31" x14ac:dyDescent="0.25">
      <c r="A471" s="65"/>
      <c r="C471" s="65"/>
      <c r="E471" s="65"/>
      <c r="G471" s="65"/>
      <c r="I471" s="65"/>
      <c r="K471" s="65"/>
      <c r="M471" s="65"/>
      <c r="O471" s="65"/>
      <c r="Q471" s="65"/>
      <c r="S471" s="65"/>
      <c r="U471" s="65"/>
      <c r="W471" s="65"/>
      <c r="Y471" s="65"/>
      <c r="AA471" s="65"/>
      <c r="AC471" s="65"/>
      <c r="AE471" s="65"/>
    </row>
    <row r="472" spans="1:31" x14ac:dyDescent="0.25">
      <c r="A472" s="65"/>
      <c r="C472" s="65"/>
      <c r="E472" s="65"/>
      <c r="G472" s="65"/>
      <c r="I472" s="65"/>
      <c r="K472" s="65"/>
      <c r="M472" s="65"/>
      <c r="O472" s="65"/>
      <c r="Q472" s="65"/>
      <c r="S472" s="65"/>
      <c r="U472" s="65"/>
      <c r="W472" s="65"/>
      <c r="Y472" s="65"/>
      <c r="AA472" s="65"/>
      <c r="AC472" s="65"/>
      <c r="AE472" s="65"/>
    </row>
    <row r="473" spans="1:31" x14ac:dyDescent="0.25">
      <c r="A473" s="65"/>
      <c r="C473" s="65"/>
      <c r="E473" s="65"/>
      <c r="G473" s="65"/>
      <c r="I473" s="65"/>
      <c r="K473" s="65"/>
      <c r="M473" s="65"/>
      <c r="O473" s="65"/>
      <c r="Q473" s="65"/>
      <c r="S473" s="65"/>
      <c r="U473" s="65"/>
      <c r="W473" s="65"/>
      <c r="Y473" s="65"/>
      <c r="AA473" s="65"/>
      <c r="AC473" s="65"/>
      <c r="AE473" s="65"/>
    </row>
    <row r="474" spans="1:31" x14ac:dyDescent="0.25">
      <c r="A474" s="65"/>
      <c r="C474" s="65"/>
      <c r="E474" s="65"/>
      <c r="G474" s="65"/>
      <c r="I474" s="65"/>
      <c r="K474" s="65"/>
      <c r="M474" s="65"/>
      <c r="O474" s="65"/>
      <c r="Q474" s="65"/>
      <c r="S474" s="65"/>
      <c r="U474" s="65"/>
      <c r="W474" s="65"/>
      <c r="Y474" s="65"/>
      <c r="AA474" s="65"/>
      <c r="AC474" s="65"/>
      <c r="AE474" s="65"/>
    </row>
    <row r="475" spans="1:31" x14ac:dyDescent="0.25">
      <c r="A475" s="65"/>
      <c r="C475" s="65"/>
      <c r="E475" s="65"/>
      <c r="G475" s="65"/>
      <c r="I475" s="65"/>
      <c r="K475" s="65"/>
      <c r="M475" s="65"/>
      <c r="O475" s="65"/>
      <c r="Q475" s="65"/>
      <c r="S475" s="65"/>
      <c r="U475" s="65"/>
      <c r="W475" s="65"/>
      <c r="Y475" s="65"/>
      <c r="AA475" s="65"/>
      <c r="AC475" s="65"/>
      <c r="AE475" s="65"/>
    </row>
    <row r="476" spans="1:31" x14ac:dyDescent="0.25">
      <c r="A476" s="65"/>
      <c r="C476" s="65"/>
      <c r="E476" s="65"/>
      <c r="G476" s="65"/>
      <c r="I476" s="65"/>
      <c r="K476" s="65"/>
      <c r="M476" s="65"/>
      <c r="O476" s="65"/>
      <c r="Q476" s="65"/>
      <c r="S476" s="65"/>
      <c r="U476" s="65"/>
      <c r="W476" s="65"/>
      <c r="Y476" s="65"/>
      <c r="AA476" s="65"/>
      <c r="AC476" s="65"/>
      <c r="AE476" s="65"/>
    </row>
    <row r="477" spans="1:31" x14ac:dyDescent="0.25">
      <c r="A477" s="65"/>
      <c r="C477" s="65"/>
      <c r="E477" s="65"/>
      <c r="G477" s="65"/>
      <c r="I477" s="65"/>
      <c r="K477" s="65"/>
      <c r="M477" s="65"/>
      <c r="O477" s="65"/>
      <c r="Q477" s="65"/>
      <c r="S477" s="65"/>
      <c r="U477" s="65"/>
      <c r="W477" s="65"/>
      <c r="Y477" s="65"/>
      <c r="AA477" s="65"/>
      <c r="AC477" s="65"/>
      <c r="AE477" s="65"/>
    </row>
    <row r="478" spans="1:31" x14ac:dyDescent="0.25">
      <c r="A478" s="65"/>
      <c r="C478" s="65"/>
      <c r="E478" s="65"/>
      <c r="G478" s="65"/>
      <c r="I478" s="65"/>
      <c r="K478" s="65"/>
      <c r="M478" s="65"/>
      <c r="O478" s="65"/>
      <c r="Q478" s="65"/>
      <c r="S478" s="65"/>
      <c r="U478" s="65"/>
      <c r="W478" s="65"/>
      <c r="Y478" s="65"/>
      <c r="AA478" s="65"/>
      <c r="AC478" s="65"/>
      <c r="AE478" s="65"/>
    </row>
    <row r="479" spans="1:31" x14ac:dyDescent="0.25">
      <c r="A479" s="65"/>
      <c r="C479" s="65"/>
      <c r="E479" s="65"/>
      <c r="G479" s="65"/>
      <c r="I479" s="65"/>
      <c r="K479" s="65"/>
      <c r="M479" s="65"/>
      <c r="O479" s="65"/>
      <c r="Q479" s="65"/>
      <c r="S479" s="65"/>
      <c r="U479" s="65"/>
      <c r="W479" s="65"/>
      <c r="Y479" s="65"/>
      <c r="AA479" s="65"/>
      <c r="AC479" s="65"/>
      <c r="AE479" s="65"/>
    </row>
    <row r="480" spans="1:31" x14ac:dyDescent="0.25">
      <c r="A480" s="65"/>
      <c r="C480" s="65"/>
      <c r="E480" s="65"/>
      <c r="G480" s="65"/>
      <c r="I480" s="65"/>
      <c r="K480" s="65"/>
      <c r="M480" s="65"/>
      <c r="O480" s="65"/>
      <c r="Q480" s="65"/>
      <c r="S480" s="65"/>
      <c r="U480" s="65"/>
      <c r="W480" s="65"/>
      <c r="Y480" s="65"/>
      <c r="AA480" s="65"/>
      <c r="AC480" s="65"/>
      <c r="AE480" s="65"/>
    </row>
    <row r="481" spans="1:32" x14ac:dyDescent="0.25">
      <c r="A481" s="65"/>
      <c r="C481" s="65"/>
      <c r="E481" s="65"/>
      <c r="G481" s="65"/>
      <c r="I481" s="65"/>
      <c r="K481" s="65"/>
      <c r="M481" s="65"/>
      <c r="O481" s="65"/>
      <c r="Q481" s="65"/>
      <c r="S481" s="65"/>
      <c r="U481" s="65"/>
      <c r="W481" s="65"/>
      <c r="Y481" s="65"/>
      <c r="AA481" s="65"/>
      <c r="AC481" s="65"/>
      <c r="AE481" s="65"/>
    </row>
    <row r="482" spans="1:32" x14ac:dyDescent="0.25">
      <c r="A482" s="65"/>
      <c r="C482" s="65"/>
      <c r="E482" s="65"/>
      <c r="G482" s="65"/>
      <c r="I482" s="65"/>
      <c r="K482" s="65"/>
      <c r="M482" s="65"/>
      <c r="O482" s="65"/>
      <c r="Q482" s="65"/>
      <c r="S482" s="65"/>
      <c r="U482" s="65"/>
      <c r="W482" s="65"/>
      <c r="Y482" s="65"/>
      <c r="AA482" s="65"/>
      <c r="AC482" s="65"/>
      <c r="AE482" s="65"/>
    </row>
    <row r="483" spans="1:32" x14ac:dyDescent="0.25">
      <c r="A483" s="65"/>
      <c r="C483" s="65"/>
      <c r="E483" s="65"/>
      <c r="G483" s="65"/>
      <c r="I483" s="65"/>
      <c r="K483" s="65"/>
      <c r="M483" s="65"/>
      <c r="O483" s="65"/>
      <c r="Q483" s="65"/>
      <c r="S483" s="65"/>
      <c r="U483" s="65"/>
      <c r="W483" s="65"/>
      <c r="Y483" s="65"/>
      <c r="AA483" s="65"/>
      <c r="AC483" s="65"/>
      <c r="AE483" s="65"/>
    </row>
    <row r="484" spans="1:32" x14ac:dyDescent="0.25">
      <c r="A484" s="65"/>
      <c r="C484" s="65"/>
      <c r="E484" s="65"/>
      <c r="G484" s="65"/>
      <c r="I484" s="65"/>
      <c r="K484" s="65"/>
      <c r="M484" s="65"/>
      <c r="O484" s="65"/>
      <c r="Q484" s="65"/>
      <c r="S484" s="65"/>
      <c r="U484" s="65"/>
      <c r="W484" s="65"/>
      <c r="Y484" s="65"/>
      <c r="AA484" s="65"/>
      <c r="AC484" s="65"/>
      <c r="AE484" s="65"/>
    </row>
    <row r="485" spans="1:32" x14ac:dyDescent="0.25">
      <c r="A485" s="65"/>
      <c r="C485" s="65"/>
      <c r="E485" s="65"/>
      <c r="G485" s="65"/>
      <c r="I485" s="65"/>
      <c r="K485" s="65"/>
      <c r="M485" s="65"/>
      <c r="O485" s="65"/>
      <c r="Q485" s="65"/>
      <c r="S485" s="65"/>
      <c r="U485" s="65"/>
      <c r="W485" s="65"/>
      <c r="Y485" s="65"/>
      <c r="AA485" s="65"/>
      <c r="AC485" s="65"/>
      <c r="AE485" s="65"/>
    </row>
    <row r="486" spans="1:32" x14ac:dyDescent="0.25">
      <c r="A486" s="65"/>
      <c r="C486" s="65"/>
      <c r="E486" s="65"/>
      <c r="G486" s="65"/>
      <c r="I486" s="65"/>
      <c r="K486" s="65"/>
      <c r="M486" s="65"/>
      <c r="O486" s="65"/>
      <c r="Q486" s="65"/>
      <c r="S486" s="65"/>
      <c r="U486" s="65"/>
      <c r="W486" s="65"/>
      <c r="Y486" s="65"/>
      <c r="AA486" s="65"/>
      <c r="AC486" s="65"/>
      <c r="AE486" s="65"/>
    </row>
    <row r="487" spans="1:32" x14ac:dyDescent="0.25">
      <c r="A487" s="65"/>
      <c r="C487" s="65"/>
      <c r="E487" s="65"/>
      <c r="G487" s="65"/>
      <c r="I487" s="65"/>
      <c r="K487" s="65"/>
      <c r="M487" s="65"/>
      <c r="O487" s="65"/>
      <c r="Q487" s="65"/>
      <c r="S487" s="65"/>
      <c r="U487" s="65"/>
      <c r="W487" s="65"/>
      <c r="Y487" s="65"/>
      <c r="AA487" s="65"/>
      <c r="AC487" s="65"/>
      <c r="AE487" s="65"/>
    </row>
    <row r="488" spans="1:32" x14ac:dyDescent="0.25">
      <c r="A488" s="65"/>
      <c r="C488" s="65"/>
      <c r="E488" s="65"/>
      <c r="G488" s="65"/>
      <c r="I488" s="65"/>
      <c r="K488" s="65"/>
      <c r="M488" s="65"/>
      <c r="O488" s="65"/>
      <c r="Q488" s="65"/>
      <c r="S488" s="65"/>
      <c r="U488" s="65"/>
      <c r="W488" s="65"/>
      <c r="Y488" s="65"/>
      <c r="AA488" s="65"/>
      <c r="AC488" s="65"/>
      <c r="AE488" s="65"/>
    </row>
    <row r="489" spans="1:32" x14ac:dyDescent="0.25">
      <c r="A489" s="65"/>
      <c r="C489" s="65"/>
      <c r="E489" s="65"/>
      <c r="G489" s="65"/>
      <c r="I489" s="65"/>
      <c r="K489" s="65"/>
      <c r="M489" s="65"/>
      <c r="O489" s="65"/>
      <c r="Q489" s="65"/>
      <c r="S489" s="65"/>
      <c r="U489" s="65"/>
      <c r="W489" s="65"/>
      <c r="Y489" s="65"/>
      <c r="AA489" s="65"/>
      <c r="AC489" s="65"/>
      <c r="AE489" s="65"/>
    </row>
    <row r="490" spans="1:32" x14ac:dyDescent="0.25">
      <c r="A490" s="65"/>
      <c r="C490" s="65"/>
      <c r="E490" s="65"/>
      <c r="G490" s="65"/>
      <c r="I490" s="65"/>
      <c r="K490" s="65"/>
      <c r="M490" s="65"/>
      <c r="O490" s="65"/>
      <c r="Q490" s="65"/>
      <c r="S490" s="65"/>
      <c r="U490" s="65"/>
      <c r="W490" s="65"/>
      <c r="Y490" s="65"/>
      <c r="AA490" s="65"/>
      <c r="AC490" s="65"/>
      <c r="AE490" s="65"/>
    </row>
    <row r="491" spans="1:32" x14ac:dyDescent="0.25">
      <c r="A491" s="65"/>
      <c r="C491" s="65"/>
      <c r="E491" s="65"/>
      <c r="G491" s="65"/>
      <c r="I491" s="65"/>
      <c r="K491" s="65"/>
      <c r="M491" s="65"/>
      <c r="O491" s="65"/>
      <c r="Q491" s="65"/>
      <c r="S491" s="65"/>
      <c r="U491" s="65"/>
      <c r="W491" s="65"/>
      <c r="Y491" s="65"/>
      <c r="AA491" s="65"/>
      <c r="AC491" s="65"/>
      <c r="AE491" s="65"/>
    </row>
    <row r="492" spans="1:32" x14ac:dyDescent="0.25">
      <c r="A492" s="65"/>
      <c r="C492" s="65"/>
      <c r="E492" s="65"/>
      <c r="G492" s="65"/>
      <c r="I492" s="65"/>
      <c r="K492" s="65"/>
      <c r="M492" s="65"/>
      <c r="O492" s="65"/>
      <c r="Q492" s="65"/>
      <c r="S492" s="65"/>
      <c r="U492" s="65"/>
      <c r="W492" s="65"/>
      <c r="Y492" s="65"/>
      <c r="AA492" s="65"/>
      <c r="AC492" s="65"/>
      <c r="AE492" s="65"/>
    </row>
    <row r="493" spans="1:32" x14ac:dyDescent="0.25">
      <c r="A493" s="65"/>
      <c r="C493" s="65"/>
      <c r="E493" s="65"/>
      <c r="G493" s="65"/>
      <c r="I493" s="65"/>
      <c r="K493" s="65"/>
      <c r="M493" s="65"/>
      <c r="O493" s="65"/>
      <c r="Q493" s="65"/>
      <c r="S493" s="65"/>
      <c r="U493" s="65"/>
      <c r="W493" s="65"/>
      <c r="Y493" s="65"/>
      <c r="AA493" s="65"/>
      <c r="AC493" s="65"/>
      <c r="AE493" s="65"/>
    </row>
    <row r="494" spans="1:32" x14ac:dyDescent="0.25">
      <c r="A494" s="66"/>
      <c r="B494" s="67"/>
      <c r="C494" s="66"/>
      <c r="D494" s="67"/>
      <c r="E494" s="66"/>
      <c r="F494" s="67"/>
      <c r="G494" s="66"/>
      <c r="H494" s="67"/>
      <c r="I494" s="66"/>
      <c r="J494" s="67"/>
      <c r="K494" s="66"/>
      <c r="L494" s="67"/>
      <c r="M494" s="66"/>
      <c r="N494" s="67"/>
      <c r="O494" s="66"/>
      <c r="P494" s="67"/>
      <c r="Q494" s="66"/>
      <c r="R494" s="67"/>
      <c r="S494" s="66"/>
      <c r="T494" s="67"/>
      <c r="U494" s="66"/>
      <c r="V494" s="67"/>
      <c r="W494" s="66"/>
      <c r="X494" s="67"/>
      <c r="Y494" s="66"/>
      <c r="Z494" s="67"/>
      <c r="AA494" s="66"/>
      <c r="AB494" s="67"/>
      <c r="AC494" s="66"/>
      <c r="AD494" s="67"/>
      <c r="AE494" s="66"/>
      <c r="AF494" s="67"/>
    </row>
    <row r="495" spans="1:32" x14ac:dyDescent="0.25">
      <c r="A495" s="66"/>
      <c r="B495" s="67"/>
      <c r="C495" s="66"/>
      <c r="D495" s="67"/>
      <c r="E495" s="66"/>
      <c r="F495" s="67"/>
      <c r="G495" s="66"/>
      <c r="H495" s="67"/>
      <c r="I495" s="66"/>
      <c r="J495" s="67"/>
      <c r="K495" s="66"/>
      <c r="L495" s="67"/>
      <c r="M495" s="66"/>
      <c r="N495" s="67"/>
      <c r="O495" s="66"/>
      <c r="P495" s="67"/>
      <c r="Q495" s="66"/>
      <c r="R495" s="67"/>
      <c r="S495" s="66"/>
      <c r="T495" s="67"/>
      <c r="U495" s="66"/>
      <c r="V495" s="67"/>
      <c r="W495" s="66"/>
      <c r="X495" s="67"/>
      <c r="Y495" s="66"/>
      <c r="Z495" s="67"/>
      <c r="AA495" s="66"/>
      <c r="AB495" s="67"/>
      <c r="AC495" s="66"/>
      <c r="AD495" s="67"/>
      <c r="AE495" s="66"/>
      <c r="AF495" s="67"/>
    </row>
    <row r="496" spans="1:32" x14ac:dyDescent="0.25">
      <c r="A496" s="66"/>
      <c r="B496" s="67"/>
      <c r="C496" s="66"/>
      <c r="D496" s="67"/>
      <c r="E496" s="66"/>
      <c r="F496" s="67"/>
      <c r="G496" s="66"/>
      <c r="H496" s="67"/>
      <c r="I496" s="66"/>
      <c r="J496" s="67"/>
      <c r="K496" s="66"/>
      <c r="L496" s="67"/>
      <c r="M496" s="66"/>
      <c r="N496" s="67"/>
      <c r="O496" s="66"/>
      <c r="P496" s="67"/>
      <c r="Q496" s="66"/>
      <c r="R496" s="67"/>
      <c r="S496" s="66"/>
      <c r="T496" s="67"/>
      <c r="U496" s="66"/>
      <c r="V496" s="67"/>
      <c r="W496" s="66"/>
      <c r="X496" s="67"/>
      <c r="Y496" s="66"/>
      <c r="Z496" s="67"/>
      <c r="AA496" s="66"/>
      <c r="AB496" s="67"/>
      <c r="AC496" s="66"/>
      <c r="AD496" s="67"/>
      <c r="AE496" s="66"/>
      <c r="AF496" s="67"/>
    </row>
    <row r="497" spans="1:32" x14ac:dyDescent="0.25">
      <c r="A497" s="68"/>
      <c r="B497" s="68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  <c r="AF497" s="68"/>
    </row>
  </sheetData>
  <mergeCells count="3">
    <mergeCell ref="A3:AF3"/>
    <mergeCell ref="A1:AF1"/>
    <mergeCell ref="A2:AF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4A721-0D9C-42CF-8DF1-FED27B884777}">
  <sheetPr codeName="Sheet1">
    <tabColor rgb="FF7030A0"/>
  </sheetPr>
  <dimension ref="A1:I7"/>
  <sheetViews>
    <sheetView showGridLines="0" workbookViewId="0">
      <selection activeCell="I5" sqref="I5"/>
    </sheetView>
  </sheetViews>
  <sheetFormatPr defaultRowHeight="14.4" x14ac:dyDescent="0.3"/>
  <cols>
    <col min="5" max="5" width="12" customWidth="1"/>
    <col min="6" max="6" width="12.5546875" customWidth="1"/>
    <col min="7" max="7" width="12" customWidth="1"/>
    <col min="8" max="8" width="11" customWidth="1"/>
  </cols>
  <sheetData>
    <row r="1" spans="1:9" x14ac:dyDescent="0.3">
      <c r="A1" s="7" t="s">
        <v>11</v>
      </c>
      <c r="B1" s="7" t="s">
        <v>51</v>
      </c>
      <c r="C1" s="7" t="s">
        <v>54</v>
      </c>
      <c r="D1" s="7" t="s">
        <v>64</v>
      </c>
      <c r="E1" s="7" t="s">
        <v>93</v>
      </c>
      <c r="F1" s="7" t="s">
        <v>114</v>
      </c>
      <c r="G1" s="7" t="s">
        <v>56</v>
      </c>
      <c r="H1" s="7" t="s">
        <v>139</v>
      </c>
      <c r="I1" s="7" t="s">
        <v>145</v>
      </c>
    </row>
    <row r="2" spans="1:9" x14ac:dyDescent="0.3">
      <c r="A2" s="4" t="s">
        <v>0</v>
      </c>
      <c r="B2" s="6" t="s">
        <v>52</v>
      </c>
      <c r="C2" s="6" t="s">
        <v>52</v>
      </c>
      <c r="D2" s="4" t="s">
        <v>63</v>
      </c>
      <c r="E2" s="4" t="s">
        <v>94</v>
      </c>
      <c r="F2" s="4" t="s">
        <v>124</v>
      </c>
      <c r="G2" s="4" t="s">
        <v>121</v>
      </c>
      <c r="H2" s="4" t="s">
        <v>35</v>
      </c>
      <c r="I2" s="6">
        <v>3</v>
      </c>
    </row>
    <row r="3" spans="1:9" x14ac:dyDescent="0.3">
      <c r="A3" s="4" t="s">
        <v>1</v>
      </c>
      <c r="B3" s="6" t="s">
        <v>53</v>
      </c>
      <c r="C3" s="6" t="s">
        <v>53</v>
      </c>
      <c r="D3" s="4" t="s">
        <v>65</v>
      </c>
      <c r="E3" s="4" t="s">
        <v>95</v>
      </c>
      <c r="F3" s="4" t="s">
        <v>123</v>
      </c>
      <c r="G3" s="4" t="s">
        <v>143</v>
      </c>
      <c r="H3" s="4" t="s">
        <v>140</v>
      </c>
      <c r="I3" s="6">
        <v>6</v>
      </c>
    </row>
    <row r="4" spans="1:9" x14ac:dyDescent="0.3">
      <c r="A4" s="4" t="s">
        <v>3</v>
      </c>
      <c r="B4" s="6" t="s">
        <v>55</v>
      </c>
      <c r="C4" s="6" t="s">
        <v>55</v>
      </c>
      <c r="D4" s="4" t="s">
        <v>66</v>
      </c>
      <c r="E4" s="4" t="s">
        <v>96</v>
      </c>
      <c r="I4" s="6">
        <v>12</v>
      </c>
    </row>
    <row r="5" spans="1:9" x14ac:dyDescent="0.3">
      <c r="A5" s="4" t="s">
        <v>2</v>
      </c>
      <c r="B5" s="6"/>
      <c r="C5" s="6"/>
      <c r="D5" s="4"/>
    </row>
    <row r="6" spans="1:9" x14ac:dyDescent="0.3">
      <c r="A6" s="4" t="s">
        <v>4</v>
      </c>
      <c r="B6" s="6"/>
      <c r="C6" s="6"/>
    </row>
    <row r="7" spans="1:9" x14ac:dyDescent="0.3">
      <c r="A7" s="4" t="s">
        <v>13</v>
      </c>
      <c r="B7" s="6"/>
      <c r="C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6F53-610F-486F-BF86-3AD86C025B10}">
  <sheetPr codeName="Sheet33"/>
  <dimension ref="A1:R201"/>
  <sheetViews>
    <sheetView topLeftCell="A20" zoomScaleNormal="100" workbookViewId="0">
      <selection activeCell="H161" sqref="H161"/>
    </sheetView>
  </sheetViews>
  <sheetFormatPr defaultColWidth="8.88671875" defaultRowHeight="13.8" x14ac:dyDescent="0.25"/>
  <cols>
    <col min="1" max="2" width="16.44140625" style="13" customWidth="1"/>
    <col min="3" max="3" width="12.6640625" style="13" customWidth="1"/>
    <col min="4" max="4" width="10.44140625" style="13" customWidth="1"/>
    <col min="5" max="5" width="9.5546875" style="13" bestFit="1" customWidth="1"/>
    <col min="6" max="6" width="25.33203125" style="13" customWidth="1"/>
    <col min="7" max="8" width="8.88671875" style="13"/>
    <col min="9" max="9" width="11.6640625" style="13" customWidth="1"/>
    <col min="10" max="10" width="8.88671875" style="13"/>
    <col min="11" max="11" width="14.33203125" style="13" customWidth="1"/>
    <col min="12" max="14" width="8.88671875" style="13"/>
    <col min="15" max="16" width="12.109375" style="13" customWidth="1"/>
    <col min="17" max="17" width="8.88671875" style="13"/>
    <col min="18" max="18" width="20" style="13" customWidth="1"/>
    <col min="19" max="16384" width="8.88671875" style="13"/>
  </cols>
  <sheetData>
    <row r="1" spans="1:18" ht="17.399999999999999" x14ac:dyDescent="0.25">
      <c r="A1" s="59" t="s">
        <v>120</v>
      </c>
      <c r="B1" s="61">
        <f ca="1">Pre_Date</f>
        <v>43572</v>
      </c>
    </row>
    <row r="3" spans="1:18" x14ac:dyDescent="0.25">
      <c r="F3" s="53"/>
      <c r="I3" s="53"/>
    </row>
    <row r="4" spans="1:18" x14ac:dyDescent="0.25">
      <c r="A4" s="71" t="s">
        <v>0</v>
      </c>
      <c r="B4" s="71">
        <v>6</v>
      </c>
      <c r="C4" s="71"/>
      <c r="D4" s="71">
        <v>7</v>
      </c>
      <c r="E4" s="71"/>
      <c r="F4" s="71">
        <v>100</v>
      </c>
    </row>
    <row r="5" spans="1:18" x14ac:dyDescent="0.25">
      <c r="A5" s="71" t="s">
        <v>5</v>
      </c>
      <c r="B5" s="71" t="s">
        <v>6</v>
      </c>
      <c r="C5" s="71" t="s">
        <v>7</v>
      </c>
      <c r="D5" s="71" t="s">
        <v>8</v>
      </c>
      <c r="E5" s="71" t="s">
        <v>9</v>
      </c>
      <c r="F5" s="71" t="s">
        <v>10</v>
      </c>
    </row>
    <row r="6" spans="1:18" x14ac:dyDescent="0.25">
      <c r="A6" s="98">
        <v>43573</v>
      </c>
      <c r="B6" s="99">
        <v>2.3856299999999999</v>
      </c>
      <c r="C6" s="98">
        <v>43635</v>
      </c>
      <c r="D6" s="99">
        <v>2.59</v>
      </c>
      <c r="E6" s="98">
        <v>44303</v>
      </c>
      <c r="F6" s="99">
        <v>2.4994000000000001</v>
      </c>
      <c r="P6" s="54"/>
      <c r="R6" s="54"/>
    </row>
    <row r="7" spans="1:18" x14ac:dyDescent="0.25">
      <c r="A7" s="98">
        <v>43602</v>
      </c>
      <c r="B7" s="99">
        <v>2.4873799999999999</v>
      </c>
      <c r="C7" s="98">
        <v>43726</v>
      </c>
      <c r="D7" s="99">
        <v>2.5550000000000002</v>
      </c>
      <c r="E7" s="98">
        <v>44668</v>
      </c>
      <c r="F7" s="99">
        <v>2.4405999999999999</v>
      </c>
      <c r="O7" s="54"/>
      <c r="R7" s="54"/>
    </row>
    <row r="8" spans="1:18" x14ac:dyDescent="0.25">
      <c r="A8" s="98">
        <v>43633</v>
      </c>
      <c r="B8" s="99">
        <v>2.5436299999999998</v>
      </c>
      <c r="C8" s="98">
        <v>43817</v>
      </c>
      <c r="D8" s="99">
        <v>2.5550000000000002</v>
      </c>
      <c r="E8" s="98">
        <v>45033</v>
      </c>
      <c r="F8" s="99">
        <v>2.4253999999999998</v>
      </c>
      <c r="P8" s="54"/>
      <c r="R8" s="54"/>
    </row>
    <row r="9" spans="1:18" x14ac:dyDescent="0.25">
      <c r="A9" s="98">
        <v>43663</v>
      </c>
      <c r="B9" s="99">
        <v>2.5914999999999999</v>
      </c>
      <c r="C9" s="98">
        <v>43908</v>
      </c>
      <c r="D9" s="99">
        <v>2.46</v>
      </c>
      <c r="E9" s="98">
        <v>45399</v>
      </c>
      <c r="F9" s="99">
        <v>2.4365000000000001</v>
      </c>
      <c r="P9" s="54"/>
      <c r="R9" s="54"/>
    </row>
    <row r="10" spans="1:18" x14ac:dyDescent="0.25">
      <c r="A10" s="98">
        <v>43755</v>
      </c>
      <c r="B10" s="99">
        <v>2.6336300000000001</v>
      </c>
      <c r="C10" s="98">
        <v>43999</v>
      </c>
      <c r="D10" s="99">
        <v>2.39</v>
      </c>
      <c r="E10" s="98">
        <v>45764</v>
      </c>
      <c r="F10" s="99">
        <v>2.4601999999999999</v>
      </c>
      <c r="P10" s="54"/>
      <c r="R10" s="54"/>
    </row>
    <row r="11" spans="1:18" x14ac:dyDescent="0.25">
      <c r="A11" s="98">
        <v>43938</v>
      </c>
      <c r="B11" s="99">
        <v>2.7618800000000001</v>
      </c>
      <c r="C11" s="98">
        <v>44090</v>
      </c>
      <c r="D11" s="99">
        <v>2.335</v>
      </c>
      <c r="E11" s="98">
        <v>46129</v>
      </c>
      <c r="F11" s="99">
        <v>2.4876</v>
      </c>
      <c r="P11" s="54"/>
      <c r="R11" s="54"/>
    </row>
    <row r="12" spans="1:18" x14ac:dyDescent="0.25">
      <c r="A12" s="99"/>
      <c r="B12" s="99"/>
      <c r="C12" s="98">
        <v>44181</v>
      </c>
      <c r="D12" s="99">
        <v>2.3199999999999998</v>
      </c>
      <c r="E12" s="98">
        <v>46494</v>
      </c>
      <c r="F12" s="99">
        <v>2.5192000000000001</v>
      </c>
      <c r="P12" s="54"/>
      <c r="R12" s="54"/>
    </row>
    <row r="13" spans="1:18" x14ac:dyDescent="0.25">
      <c r="A13" s="99"/>
      <c r="B13" s="99"/>
      <c r="C13" s="98">
        <v>44272</v>
      </c>
      <c r="D13" s="99">
        <v>2.2949999999999999</v>
      </c>
      <c r="E13" s="98">
        <v>46860</v>
      </c>
      <c r="F13" s="99">
        <v>2.5512000000000001</v>
      </c>
      <c r="P13" s="54"/>
      <c r="R13" s="54"/>
    </row>
    <row r="14" spans="1:18" x14ac:dyDescent="0.25">
      <c r="A14" s="99"/>
      <c r="B14" s="99"/>
      <c r="C14" s="99"/>
      <c r="D14" s="99"/>
      <c r="E14" s="98">
        <v>47225</v>
      </c>
      <c r="F14" s="99">
        <v>2.5831</v>
      </c>
      <c r="P14" s="54"/>
      <c r="R14" s="54"/>
    </row>
    <row r="15" spans="1:18" x14ac:dyDescent="0.25">
      <c r="A15" s="99"/>
      <c r="B15" s="99"/>
      <c r="C15" s="99"/>
      <c r="D15" s="99"/>
      <c r="E15" s="98">
        <v>47590</v>
      </c>
      <c r="F15" s="99">
        <v>2.6114999999999999</v>
      </c>
      <c r="P15" s="54"/>
      <c r="R15" s="54"/>
    </row>
    <row r="16" spans="1:18" x14ac:dyDescent="0.25">
      <c r="A16" s="99"/>
      <c r="B16" s="99"/>
      <c r="C16" s="99"/>
      <c r="D16" s="99"/>
      <c r="E16" s="98">
        <v>47955</v>
      </c>
      <c r="F16" s="99">
        <v>2.6372</v>
      </c>
      <c r="P16" s="54"/>
      <c r="R16" s="54"/>
    </row>
    <row r="17" spans="1:18" x14ac:dyDescent="0.25">
      <c r="A17" s="99"/>
      <c r="B17" s="99"/>
      <c r="C17" s="99"/>
      <c r="D17" s="99"/>
      <c r="E17" s="98">
        <v>48321</v>
      </c>
      <c r="F17" s="99">
        <v>2.6579999999999999</v>
      </c>
      <c r="P17" s="54"/>
      <c r="R17" s="54"/>
    </row>
    <row r="18" spans="1:18" x14ac:dyDescent="0.25">
      <c r="A18" s="99"/>
      <c r="B18" s="99"/>
      <c r="C18" s="99"/>
      <c r="D18" s="99"/>
      <c r="E18" s="98">
        <v>48686</v>
      </c>
      <c r="F18" s="99">
        <v>2.6779999999999999</v>
      </c>
      <c r="P18" s="54"/>
      <c r="R18" s="54"/>
    </row>
    <row r="19" spans="1:18" x14ac:dyDescent="0.25">
      <c r="A19" s="99"/>
      <c r="B19" s="99"/>
      <c r="C19" s="99"/>
      <c r="D19" s="99"/>
      <c r="E19" s="98">
        <v>49051</v>
      </c>
      <c r="F19" s="99">
        <v>2.6941000000000002</v>
      </c>
      <c r="P19" s="54"/>
      <c r="R19" s="54"/>
    </row>
    <row r="20" spans="1:18" x14ac:dyDescent="0.25">
      <c r="A20" s="99"/>
      <c r="B20" s="99"/>
      <c r="C20" s="99"/>
      <c r="D20" s="99"/>
      <c r="E20" s="98">
        <v>49416</v>
      </c>
      <c r="F20" s="99">
        <v>2.7075</v>
      </c>
      <c r="P20" s="54"/>
      <c r="R20" s="54"/>
    </row>
    <row r="21" spans="1:18" x14ac:dyDescent="0.25">
      <c r="A21" s="99"/>
      <c r="B21" s="99"/>
      <c r="C21" s="99"/>
      <c r="D21" s="99"/>
      <c r="E21" s="98">
        <v>49782</v>
      </c>
      <c r="F21" s="99">
        <v>2.72</v>
      </c>
      <c r="P21" s="54"/>
      <c r="R21" s="54"/>
    </row>
    <row r="22" spans="1:18" x14ac:dyDescent="0.25">
      <c r="A22" s="99"/>
      <c r="B22" s="99"/>
      <c r="C22" s="99"/>
      <c r="D22" s="99"/>
      <c r="E22" s="98">
        <v>50877</v>
      </c>
      <c r="F22" s="99">
        <v>2.7422</v>
      </c>
      <c r="P22" s="54"/>
      <c r="R22" s="54"/>
    </row>
    <row r="23" spans="1:18" x14ac:dyDescent="0.25">
      <c r="A23" s="99"/>
      <c r="B23" s="99"/>
      <c r="C23" s="99"/>
      <c r="D23" s="99"/>
      <c r="E23" s="98">
        <v>52704</v>
      </c>
      <c r="F23" s="99">
        <v>2.7576999999999998</v>
      </c>
      <c r="P23" s="54"/>
      <c r="R23" s="54"/>
    </row>
    <row r="24" spans="1:18" x14ac:dyDescent="0.25">
      <c r="A24" s="99"/>
      <c r="B24" s="99"/>
      <c r="C24" s="99"/>
      <c r="D24" s="99"/>
      <c r="E24" s="98">
        <v>54530</v>
      </c>
      <c r="F24" s="99">
        <v>2.762</v>
      </c>
      <c r="P24" s="54"/>
      <c r="R24" s="54"/>
    </row>
    <row r="25" spans="1:18" x14ac:dyDescent="0.25">
      <c r="A25" s="99"/>
      <c r="B25" s="99"/>
      <c r="C25" s="99"/>
      <c r="D25" s="99"/>
      <c r="E25" s="98">
        <v>58182</v>
      </c>
      <c r="F25" s="99">
        <v>2.7446000000000002</v>
      </c>
      <c r="P25" s="54"/>
      <c r="R25" s="54"/>
    </row>
    <row r="26" spans="1:18" x14ac:dyDescent="0.25">
      <c r="A26" s="99"/>
      <c r="B26" s="99"/>
      <c r="C26" s="99"/>
      <c r="D26" s="99"/>
      <c r="E26" s="98">
        <v>58548</v>
      </c>
      <c r="F26" s="99">
        <v>2.7446000000000002</v>
      </c>
    </row>
    <row r="29" spans="1:18" x14ac:dyDescent="0.25">
      <c r="A29" s="71" t="s">
        <v>1</v>
      </c>
      <c r="B29" s="71">
        <v>6</v>
      </c>
      <c r="C29" s="71"/>
      <c r="D29" s="71">
        <v>7</v>
      </c>
      <c r="E29" s="71"/>
      <c r="F29" s="71">
        <v>100</v>
      </c>
    </row>
    <row r="30" spans="1:18" x14ac:dyDescent="0.25">
      <c r="A30" s="71" t="s">
        <v>5</v>
      </c>
      <c r="B30" s="71" t="s">
        <v>6</v>
      </c>
      <c r="C30" s="71" t="s">
        <v>7</v>
      </c>
      <c r="D30" s="71" t="s">
        <v>8</v>
      </c>
      <c r="E30" s="71" t="s">
        <v>9</v>
      </c>
      <c r="F30" s="71" t="s">
        <v>10</v>
      </c>
    </row>
    <row r="31" spans="1:18" x14ac:dyDescent="0.25">
      <c r="A31" s="52">
        <v>43573</v>
      </c>
      <c r="B31" s="13">
        <v>-0.36470000000000002</v>
      </c>
      <c r="C31" s="52">
        <v>43635</v>
      </c>
      <c r="D31" s="13">
        <v>-0.31</v>
      </c>
      <c r="E31" s="52">
        <v>44303</v>
      </c>
      <c r="F31" s="13">
        <v>-0.19570000000000001</v>
      </c>
      <c r="P31" s="54"/>
      <c r="R31" s="54"/>
    </row>
    <row r="32" spans="1:18" x14ac:dyDescent="0.25">
      <c r="A32" s="52">
        <v>43602</v>
      </c>
      <c r="B32" s="13">
        <v>-0.36799999999999999</v>
      </c>
      <c r="C32" s="52">
        <v>43726</v>
      </c>
      <c r="D32" s="13">
        <v>-0.31</v>
      </c>
      <c r="E32" s="52">
        <v>44668</v>
      </c>
      <c r="F32" s="13">
        <v>-0.1191</v>
      </c>
      <c r="P32" s="54"/>
      <c r="R32" s="54"/>
    </row>
    <row r="33" spans="1:18" x14ac:dyDescent="0.25">
      <c r="A33" s="52">
        <v>43633</v>
      </c>
      <c r="B33" s="13">
        <v>-0.33950000000000002</v>
      </c>
      <c r="C33" s="52">
        <v>43817</v>
      </c>
      <c r="D33" s="13">
        <v>-0.31</v>
      </c>
      <c r="E33" s="52">
        <v>45033</v>
      </c>
      <c r="F33" s="13">
        <v>-2.5600000000000001E-2</v>
      </c>
      <c r="P33" s="54"/>
      <c r="R33" s="54"/>
    </row>
    <row r="34" spans="1:18" x14ac:dyDescent="0.25">
      <c r="A34" s="52">
        <v>43663</v>
      </c>
      <c r="B34" s="13">
        <v>-0.311</v>
      </c>
      <c r="C34" s="52">
        <v>43908</v>
      </c>
      <c r="D34" s="13">
        <v>-0.29499999999999998</v>
      </c>
      <c r="E34" s="52">
        <v>45399</v>
      </c>
      <c r="F34" s="13">
        <v>7.5600000000000001E-2</v>
      </c>
      <c r="P34" s="54"/>
      <c r="R34" s="54"/>
    </row>
    <row r="35" spans="1:18" x14ac:dyDescent="0.25">
      <c r="A35" s="52">
        <v>43755</v>
      </c>
      <c r="B35" s="13">
        <v>-0.23200000000000001</v>
      </c>
      <c r="C35" s="52">
        <v>43999</v>
      </c>
      <c r="D35" s="13">
        <v>-0.26500000000000001</v>
      </c>
      <c r="E35" s="52">
        <v>45764</v>
      </c>
      <c r="F35" s="13">
        <v>0.17899999999999999</v>
      </c>
      <c r="P35" s="54"/>
      <c r="R35" s="54"/>
    </row>
    <row r="36" spans="1:18" x14ac:dyDescent="0.25">
      <c r="A36" s="52">
        <v>43938</v>
      </c>
      <c r="B36" s="13">
        <v>-0.112</v>
      </c>
      <c r="C36" s="52">
        <v>44090</v>
      </c>
      <c r="D36" s="13">
        <v>-0.23</v>
      </c>
      <c r="E36" s="52">
        <v>46129</v>
      </c>
      <c r="F36" s="13">
        <v>0.28289999999999998</v>
      </c>
      <c r="P36" s="54"/>
      <c r="R36" s="54"/>
    </row>
    <row r="37" spans="1:18" x14ac:dyDescent="0.25">
      <c r="C37" s="52">
        <v>44181</v>
      </c>
      <c r="D37" s="13">
        <v>-0.19500000000000001</v>
      </c>
      <c r="E37" s="52">
        <v>46494</v>
      </c>
      <c r="F37" s="13">
        <v>0.38700000000000001</v>
      </c>
      <c r="P37" s="54"/>
      <c r="R37" s="54"/>
    </row>
    <row r="38" spans="1:18" x14ac:dyDescent="0.25">
      <c r="C38" s="52">
        <v>44272</v>
      </c>
      <c r="D38" s="13">
        <v>-0.14499999999999999</v>
      </c>
      <c r="E38" s="52">
        <v>46860</v>
      </c>
      <c r="F38" s="13">
        <v>0.48699999999999999</v>
      </c>
      <c r="P38" s="54"/>
      <c r="R38" s="54"/>
    </row>
    <row r="39" spans="1:18" x14ac:dyDescent="0.25">
      <c r="E39" s="52">
        <v>47225</v>
      </c>
      <c r="F39" s="13">
        <v>0.58050000000000002</v>
      </c>
      <c r="P39" s="54"/>
      <c r="R39" s="54"/>
    </row>
    <row r="40" spans="1:18" x14ac:dyDescent="0.25">
      <c r="E40" s="52">
        <v>47590</v>
      </c>
      <c r="F40" s="13">
        <v>0.66749999999999998</v>
      </c>
      <c r="P40" s="54"/>
      <c r="R40" s="54"/>
    </row>
    <row r="41" spans="1:18" x14ac:dyDescent="0.25">
      <c r="E41" s="52">
        <v>47955</v>
      </c>
      <c r="F41" s="13">
        <v>0.746</v>
      </c>
      <c r="P41" s="54"/>
      <c r="R41" s="54"/>
    </row>
    <row r="42" spans="1:18" x14ac:dyDescent="0.25">
      <c r="E42" s="52">
        <v>48321</v>
      </c>
      <c r="F42" s="13">
        <v>0.81840000000000002</v>
      </c>
      <c r="P42" s="54"/>
      <c r="R42" s="54"/>
    </row>
    <row r="43" spans="1:18" x14ac:dyDescent="0.25">
      <c r="E43" s="52">
        <v>48686</v>
      </c>
      <c r="F43" s="13">
        <v>0.87860000000000005</v>
      </c>
      <c r="P43" s="54"/>
      <c r="R43" s="54"/>
    </row>
    <row r="44" spans="1:18" x14ac:dyDescent="0.25">
      <c r="E44" s="52">
        <v>49051</v>
      </c>
      <c r="F44" s="13">
        <v>0.93220000000000003</v>
      </c>
      <c r="P44" s="54"/>
      <c r="R44" s="54"/>
    </row>
    <row r="45" spans="1:18" x14ac:dyDescent="0.25">
      <c r="E45" s="52">
        <v>49416</v>
      </c>
      <c r="F45" s="13">
        <v>0.97819999999999996</v>
      </c>
      <c r="P45" s="54"/>
      <c r="R45" s="54"/>
    </row>
    <row r="46" spans="1:18" x14ac:dyDescent="0.25">
      <c r="E46" s="52">
        <v>49782</v>
      </c>
      <c r="F46" s="13">
        <v>1.02</v>
      </c>
      <c r="P46" s="54"/>
      <c r="R46" s="54"/>
    </row>
    <row r="47" spans="1:18" x14ac:dyDescent="0.25">
      <c r="E47" s="52">
        <v>50877</v>
      </c>
      <c r="F47" s="13">
        <v>1.1032</v>
      </c>
      <c r="P47" s="54"/>
      <c r="R47" s="54"/>
    </row>
    <row r="48" spans="1:18" x14ac:dyDescent="0.25">
      <c r="E48" s="52">
        <v>52704</v>
      </c>
      <c r="F48" s="13">
        <v>1.1659999999999999</v>
      </c>
      <c r="P48" s="54"/>
      <c r="R48" s="54"/>
    </row>
    <row r="49" spans="1:18" x14ac:dyDescent="0.25">
      <c r="E49" s="52">
        <v>54530</v>
      </c>
      <c r="F49" s="13">
        <v>1.1830000000000001</v>
      </c>
      <c r="P49" s="54"/>
      <c r="R49" s="54"/>
    </row>
    <row r="50" spans="1:18" x14ac:dyDescent="0.25">
      <c r="E50" s="52">
        <v>58182</v>
      </c>
      <c r="F50" s="13">
        <v>1.1741999999999999</v>
      </c>
      <c r="P50" s="54"/>
      <c r="R50" s="54"/>
    </row>
    <row r="51" spans="1:18" x14ac:dyDescent="0.25">
      <c r="E51" s="52">
        <v>58548</v>
      </c>
      <c r="F51" s="13">
        <v>1.1741999999999999</v>
      </c>
    </row>
    <row r="54" spans="1:18" x14ac:dyDescent="0.25">
      <c r="A54" s="71" t="s">
        <v>3</v>
      </c>
      <c r="B54" s="71">
        <v>6</v>
      </c>
      <c r="C54" s="71"/>
      <c r="D54" s="71">
        <v>7</v>
      </c>
      <c r="E54" s="71"/>
      <c r="F54" s="71">
        <v>100</v>
      </c>
    </row>
    <row r="55" spans="1:18" x14ac:dyDescent="0.25">
      <c r="A55" s="71" t="s">
        <v>5</v>
      </c>
      <c r="B55" s="71" t="s">
        <v>6</v>
      </c>
      <c r="C55" s="71" t="s">
        <v>7</v>
      </c>
      <c r="D55" s="71" t="s">
        <v>8</v>
      </c>
      <c r="E55" s="71" t="s">
        <v>9</v>
      </c>
      <c r="F55" s="71" t="s">
        <v>10</v>
      </c>
    </row>
    <row r="56" spans="1:18" ht="15.6" customHeight="1" x14ac:dyDescent="0.25">
      <c r="A56" s="52">
        <v>43573</v>
      </c>
      <c r="B56" s="13">
        <v>-5.9830000000000001E-2</v>
      </c>
      <c r="C56" s="52">
        <v>43635</v>
      </c>
      <c r="D56" s="13">
        <v>0.125</v>
      </c>
      <c r="E56" s="52">
        <v>44303</v>
      </c>
      <c r="F56" s="13">
        <v>-1.2500000000000001E-2</v>
      </c>
      <c r="P56" s="54"/>
      <c r="R56" s="54"/>
    </row>
    <row r="57" spans="1:18" ht="15.6" customHeight="1" x14ac:dyDescent="0.25">
      <c r="A57" s="52">
        <v>43602</v>
      </c>
      <c r="B57" s="13">
        <v>-9.9000000000000005E-2</v>
      </c>
      <c r="C57" s="52">
        <v>43726</v>
      </c>
      <c r="D57" s="13">
        <v>-4.4999999999999998E-2</v>
      </c>
      <c r="E57" s="52">
        <v>44668</v>
      </c>
      <c r="F57" s="13">
        <v>-1.125E-2</v>
      </c>
      <c r="P57" s="54"/>
      <c r="R57" s="54"/>
    </row>
    <row r="58" spans="1:18" ht="15.6" customHeight="1" x14ac:dyDescent="0.25">
      <c r="A58" s="52">
        <v>43633</v>
      </c>
      <c r="B58" s="13">
        <v>-8.5999999999999993E-2</v>
      </c>
      <c r="C58" s="52">
        <v>43817</v>
      </c>
      <c r="D58" s="13">
        <v>-0.05</v>
      </c>
      <c r="E58" s="52">
        <v>45033</v>
      </c>
      <c r="F58" s="13">
        <v>-5.0000000000000001E-3</v>
      </c>
      <c r="P58" s="54"/>
      <c r="R58" s="54"/>
    </row>
    <row r="59" spans="1:18" x14ac:dyDescent="0.25">
      <c r="A59" s="52">
        <v>43663</v>
      </c>
      <c r="B59" s="13">
        <v>-6.2E-2</v>
      </c>
      <c r="C59" s="52">
        <v>43908</v>
      </c>
      <c r="D59" s="13">
        <v>-5.5E-2</v>
      </c>
      <c r="E59" s="52">
        <v>45399</v>
      </c>
      <c r="F59" s="13">
        <v>1.375E-2</v>
      </c>
      <c r="P59" s="54"/>
      <c r="R59" s="54"/>
    </row>
    <row r="60" spans="1:18" x14ac:dyDescent="0.25">
      <c r="A60" s="52">
        <v>43755</v>
      </c>
      <c r="B60" s="13">
        <v>4.3299999999999996E-3</v>
      </c>
      <c r="C60" s="52">
        <v>43999</v>
      </c>
      <c r="D60" s="13">
        <v>-5.5E-2</v>
      </c>
      <c r="E60" s="52">
        <v>45764</v>
      </c>
      <c r="F60" s="13">
        <v>3.7499999999999999E-2</v>
      </c>
      <c r="P60" s="54"/>
      <c r="R60" s="54"/>
    </row>
    <row r="61" spans="1:18" x14ac:dyDescent="0.25">
      <c r="A61" s="52">
        <v>43938</v>
      </c>
      <c r="B61" s="13">
        <v>9.4329999999999997E-2</v>
      </c>
      <c r="C61" s="52">
        <v>44090</v>
      </c>
      <c r="D61" s="13">
        <v>-5.2499999999999998E-2</v>
      </c>
      <c r="E61" s="52">
        <v>46129</v>
      </c>
      <c r="F61" s="13">
        <v>6.5000000000000002E-2</v>
      </c>
      <c r="P61" s="54"/>
      <c r="R61" s="54"/>
    </row>
    <row r="62" spans="1:18" x14ac:dyDescent="0.25">
      <c r="C62" s="52">
        <v>44181</v>
      </c>
      <c r="D62" s="13">
        <v>-0.05</v>
      </c>
      <c r="E62" s="52">
        <v>46494</v>
      </c>
      <c r="F62" s="13">
        <v>9.5000000000000001E-2</v>
      </c>
      <c r="P62" s="54"/>
      <c r="R62" s="54"/>
    </row>
    <row r="63" spans="1:18" x14ac:dyDescent="0.25">
      <c r="C63" s="52">
        <v>44272</v>
      </c>
      <c r="D63" s="13">
        <v>-0.05</v>
      </c>
      <c r="E63" s="52">
        <v>46860</v>
      </c>
      <c r="F63" s="13">
        <v>0.12875</v>
      </c>
      <c r="P63" s="54"/>
      <c r="R63" s="54"/>
    </row>
    <row r="64" spans="1:18" x14ac:dyDescent="0.25">
      <c r="E64" s="52">
        <v>47225</v>
      </c>
      <c r="F64" s="13">
        <v>0.16375000000000001</v>
      </c>
      <c r="P64" s="54"/>
      <c r="R64" s="54"/>
    </row>
    <row r="65" spans="1:18" x14ac:dyDescent="0.25">
      <c r="E65" s="52">
        <v>47590</v>
      </c>
      <c r="F65" s="13">
        <v>0.19875000000000001</v>
      </c>
      <c r="P65" s="54"/>
      <c r="R65" s="54"/>
    </row>
    <row r="66" spans="1:18" x14ac:dyDescent="0.25">
      <c r="E66" s="52">
        <v>47955</v>
      </c>
      <c r="F66" s="13">
        <v>0.23375000000000001</v>
      </c>
      <c r="P66" s="54"/>
      <c r="R66" s="54"/>
    </row>
    <row r="67" spans="1:18" x14ac:dyDescent="0.25">
      <c r="E67" s="52">
        <v>48321</v>
      </c>
      <c r="F67" s="13">
        <v>0.26874999999999999</v>
      </c>
      <c r="P67" s="54"/>
      <c r="R67" s="54"/>
    </row>
    <row r="68" spans="1:18" x14ac:dyDescent="0.25">
      <c r="E68" s="52">
        <v>48686</v>
      </c>
      <c r="F68" s="13">
        <v>0.30249999999999999</v>
      </c>
      <c r="P68" s="54"/>
      <c r="R68" s="54"/>
    </row>
    <row r="69" spans="1:18" x14ac:dyDescent="0.25">
      <c r="E69" s="52">
        <v>49051</v>
      </c>
      <c r="F69" s="13">
        <v>0.33750000000000002</v>
      </c>
      <c r="P69" s="54"/>
      <c r="R69" s="54"/>
    </row>
    <row r="70" spans="1:18" x14ac:dyDescent="0.25">
      <c r="E70" s="52">
        <v>49416</v>
      </c>
      <c r="F70" s="13">
        <v>0.36499999999999999</v>
      </c>
      <c r="P70" s="54"/>
      <c r="R70" s="54"/>
    </row>
    <row r="71" spans="1:18" x14ac:dyDescent="0.25">
      <c r="E71" s="52">
        <v>49782</v>
      </c>
      <c r="F71" s="13">
        <v>0.39250000000000002</v>
      </c>
      <c r="P71" s="54"/>
      <c r="R71" s="54"/>
    </row>
    <row r="72" spans="1:18" x14ac:dyDescent="0.25">
      <c r="E72" s="52">
        <v>50877</v>
      </c>
      <c r="F72" s="13">
        <v>0.47625000000000001</v>
      </c>
      <c r="P72" s="54"/>
      <c r="R72" s="54"/>
    </row>
    <row r="73" spans="1:18" x14ac:dyDescent="0.25">
      <c r="E73" s="52">
        <v>52704</v>
      </c>
      <c r="F73" s="13">
        <v>0.55874999999999997</v>
      </c>
      <c r="P73" s="54"/>
      <c r="R73" s="54"/>
    </row>
    <row r="74" spans="1:18" x14ac:dyDescent="0.25">
      <c r="E74" s="52">
        <v>54530</v>
      </c>
      <c r="F74" s="13">
        <v>0.60875000000000001</v>
      </c>
      <c r="P74" s="54"/>
      <c r="R74" s="54"/>
    </row>
    <row r="75" spans="1:18" x14ac:dyDescent="0.25">
      <c r="E75" s="52">
        <v>58182</v>
      </c>
      <c r="F75" s="13">
        <v>0.64249999999999996</v>
      </c>
      <c r="P75" s="54"/>
      <c r="R75" s="54"/>
    </row>
    <row r="76" spans="1:18" x14ac:dyDescent="0.25">
      <c r="E76" s="52">
        <v>58548</v>
      </c>
      <c r="F76" s="13">
        <v>0.64249999999999996</v>
      </c>
    </row>
    <row r="79" spans="1:18" x14ac:dyDescent="0.25">
      <c r="A79" s="71" t="s">
        <v>2</v>
      </c>
      <c r="B79" s="71">
        <v>6</v>
      </c>
      <c r="C79" s="71"/>
      <c r="D79" s="71">
        <v>7</v>
      </c>
      <c r="E79" s="71"/>
      <c r="F79" s="71">
        <v>100</v>
      </c>
    </row>
    <row r="80" spans="1:18" x14ac:dyDescent="0.25">
      <c r="A80" s="71" t="s">
        <v>5</v>
      </c>
      <c r="B80" s="71" t="s">
        <v>6</v>
      </c>
      <c r="C80" s="71" t="s">
        <v>7</v>
      </c>
      <c r="D80" s="71" t="s">
        <v>8</v>
      </c>
      <c r="E80" s="71" t="s">
        <v>9</v>
      </c>
      <c r="F80" s="71" t="s">
        <v>10</v>
      </c>
    </row>
    <row r="81" spans="1:18" x14ac:dyDescent="0.25">
      <c r="A81" s="52">
        <v>43573</v>
      </c>
      <c r="B81" s="13">
        <v>0.67313000000000001</v>
      </c>
      <c r="C81" s="52">
        <v>43635</v>
      </c>
      <c r="D81" s="13">
        <v>0.85</v>
      </c>
      <c r="E81" s="52">
        <v>44303</v>
      </c>
      <c r="F81" s="13">
        <v>1.0683</v>
      </c>
      <c r="P81" s="54"/>
      <c r="R81" s="54"/>
    </row>
    <row r="82" spans="1:18" x14ac:dyDescent="0.25">
      <c r="A82" s="52">
        <v>43602</v>
      </c>
      <c r="B82" s="13">
        <v>0.73375000000000001</v>
      </c>
      <c r="C82" s="52">
        <v>43726</v>
      </c>
      <c r="D82" s="13">
        <v>0.9</v>
      </c>
      <c r="E82" s="52">
        <v>44668</v>
      </c>
      <c r="F82" s="13">
        <v>1.1372</v>
      </c>
      <c r="P82" s="54"/>
      <c r="R82" s="54"/>
    </row>
    <row r="83" spans="1:18" x14ac:dyDescent="0.25">
      <c r="A83" s="52">
        <v>43633</v>
      </c>
      <c r="B83" s="13">
        <v>0.77312999999999998</v>
      </c>
      <c r="C83" s="52">
        <v>43817</v>
      </c>
      <c r="D83" s="13">
        <v>0.95499999999999996</v>
      </c>
      <c r="E83" s="52">
        <v>45033</v>
      </c>
      <c r="F83" s="13">
        <v>1.1977500000000001</v>
      </c>
      <c r="P83" s="54"/>
      <c r="R83" s="54"/>
    </row>
    <row r="84" spans="1:18" x14ac:dyDescent="0.25">
      <c r="A84" s="52">
        <v>43663</v>
      </c>
      <c r="B84" s="13">
        <v>0.82650000000000001</v>
      </c>
      <c r="C84" s="52">
        <v>43908</v>
      </c>
      <c r="D84" s="13">
        <v>0.97499999999999998</v>
      </c>
      <c r="E84" s="52">
        <v>45399</v>
      </c>
      <c r="F84" s="13">
        <v>1.2468999999999999</v>
      </c>
      <c r="P84" s="54"/>
      <c r="R84" s="54"/>
    </row>
    <row r="85" spans="1:18" x14ac:dyDescent="0.25">
      <c r="A85" s="52">
        <v>43755</v>
      </c>
      <c r="B85" s="13">
        <v>0.94850000000000001</v>
      </c>
      <c r="C85" s="52">
        <v>43999</v>
      </c>
      <c r="D85" s="13">
        <v>1.02</v>
      </c>
      <c r="E85" s="52">
        <v>45764</v>
      </c>
      <c r="F85" s="13">
        <v>1.2882499999999999</v>
      </c>
      <c r="P85" s="54"/>
      <c r="R85" s="54"/>
    </row>
    <row r="86" spans="1:18" x14ac:dyDescent="0.25">
      <c r="A86" s="52">
        <v>43938</v>
      </c>
      <c r="B86" s="13">
        <v>1.10138</v>
      </c>
      <c r="C86" s="52">
        <v>44090</v>
      </c>
      <c r="D86" s="13">
        <v>1.075</v>
      </c>
      <c r="E86" s="52">
        <v>46129</v>
      </c>
      <c r="F86" s="13">
        <v>1.3252999999999999</v>
      </c>
      <c r="P86" s="54"/>
      <c r="R86" s="54"/>
    </row>
    <row r="87" spans="1:18" x14ac:dyDescent="0.25">
      <c r="C87" s="52">
        <v>44181</v>
      </c>
      <c r="D87" s="13">
        <v>1.125</v>
      </c>
      <c r="E87" s="52">
        <v>46494</v>
      </c>
      <c r="F87" s="13">
        <v>1.3592</v>
      </c>
      <c r="P87" s="54"/>
      <c r="R87" s="54"/>
    </row>
    <row r="88" spans="1:18" x14ac:dyDescent="0.25">
      <c r="C88" s="52">
        <v>44272</v>
      </c>
      <c r="D88" s="13">
        <v>1.155</v>
      </c>
      <c r="E88" s="52">
        <v>46860</v>
      </c>
      <c r="F88" s="13">
        <v>1.3912</v>
      </c>
      <c r="P88" s="54"/>
      <c r="R88" s="54"/>
    </row>
    <row r="89" spans="1:18" x14ac:dyDescent="0.25">
      <c r="E89" s="52">
        <v>47225</v>
      </c>
      <c r="F89" s="13">
        <v>1.4213</v>
      </c>
      <c r="P89" s="54"/>
      <c r="R89" s="54"/>
    </row>
    <row r="90" spans="1:18" x14ac:dyDescent="0.25">
      <c r="E90" s="52">
        <v>47590</v>
      </c>
      <c r="F90" s="13">
        <v>1.4482999999999999</v>
      </c>
      <c r="P90" s="54"/>
      <c r="R90" s="54"/>
    </row>
    <row r="91" spans="1:18" x14ac:dyDescent="0.25">
      <c r="E91" s="52">
        <v>47955</v>
      </c>
      <c r="F91" s="13">
        <v>1.4715499999999999</v>
      </c>
      <c r="P91" s="54"/>
      <c r="R91" s="54"/>
    </row>
    <row r="92" spans="1:18" x14ac:dyDescent="0.25">
      <c r="E92" s="52">
        <v>48321</v>
      </c>
      <c r="F92" s="13">
        <v>1.4903999999999999</v>
      </c>
      <c r="P92" s="54"/>
      <c r="R92" s="54"/>
    </row>
    <row r="93" spans="1:18" x14ac:dyDescent="0.25">
      <c r="E93" s="52">
        <v>48686</v>
      </c>
      <c r="F93" s="13">
        <v>1.5061</v>
      </c>
      <c r="P93" s="54"/>
      <c r="R93" s="54"/>
    </row>
    <row r="94" spans="1:18" x14ac:dyDescent="0.25">
      <c r="E94" s="52">
        <v>49051</v>
      </c>
      <c r="F94" s="13">
        <v>1.5193000000000001</v>
      </c>
      <c r="P94" s="54"/>
      <c r="R94" s="54"/>
    </row>
    <row r="95" spans="1:18" x14ac:dyDescent="0.25">
      <c r="E95" s="52">
        <v>49416</v>
      </c>
      <c r="F95" s="13">
        <v>1.5306</v>
      </c>
      <c r="P95" s="54"/>
      <c r="R95" s="54"/>
    </row>
    <row r="96" spans="1:18" x14ac:dyDescent="0.25">
      <c r="E96" s="52">
        <v>49782</v>
      </c>
      <c r="F96" s="13">
        <v>1.5402</v>
      </c>
      <c r="P96" s="54"/>
      <c r="R96" s="54"/>
    </row>
    <row r="97" spans="1:18" x14ac:dyDescent="0.25">
      <c r="E97" s="52">
        <v>50877</v>
      </c>
      <c r="F97" s="13">
        <v>1.5583</v>
      </c>
      <c r="P97" s="54"/>
      <c r="R97" s="54"/>
    </row>
    <row r="98" spans="1:18" x14ac:dyDescent="0.25">
      <c r="E98" s="52">
        <v>52704</v>
      </c>
      <c r="F98" s="13">
        <v>1.56355</v>
      </c>
      <c r="P98" s="54"/>
      <c r="R98" s="54"/>
    </row>
    <row r="99" spans="1:18" x14ac:dyDescent="0.25">
      <c r="E99" s="52">
        <v>54530</v>
      </c>
      <c r="F99" s="13">
        <v>1.5592999999999999</v>
      </c>
      <c r="P99" s="54"/>
      <c r="R99" s="54"/>
    </row>
    <row r="100" spans="1:18" x14ac:dyDescent="0.25">
      <c r="E100" s="52">
        <v>58182</v>
      </c>
      <c r="F100" s="13">
        <v>1.5295000000000001</v>
      </c>
      <c r="P100" s="54"/>
      <c r="R100" s="54"/>
    </row>
    <row r="101" spans="1:18" x14ac:dyDescent="0.25">
      <c r="E101" s="52">
        <v>58548</v>
      </c>
      <c r="F101" s="13">
        <v>1.5295000000000001</v>
      </c>
    </row>
    <row r="104" spans="1:18" x14ac:dyDescent="0.25">
      <c r="A104" s="76" t="s">
        <v>13</v>
      </c>
      <c r="B104" s="76">
        <v>6</v>
      </c>
      <c r="C104" s="76"/>
      <c r="D104" s="76">
        <v>7</v>
      </c>
      <c r="E104" s="76"/>
      <c r="F104" s="76">
        <v>100</v>
      </c>
    </row>
    <row r="105" spans="1:18" x14ac:dyDescent="0.25">
      <c r="A105" s="76" t="s">
        <v>5</v>
      </c>
      <c r="B105" s="76" t="s">
        <v>6</v>
      </c>
      <c r="C105" s="76" t="s">
        <v>7</v>
      </c>
      <c r="D105" s="76" t="s">
        <v>8</v>
      </c>
      <c r="E105" s="76" t="s">
        <v>9</v>
      </c>
      <c r="F105" s="76" t="s">
        <v>10</v>
      </c>
    </row>
    <row r="106" spans="1:18" x14ac:dyDescent="0.25">
      <c r="A106" s="52">
        <v>43573</v>
      </c>
      <c r="B106" s="13">
        <v>-0.79359999999999997</v>
      </c>
      <c r="C106" s="52">
        <v>43635</v>
      </c>
      <c r="D106" s="13">
        <v>-0.71</v>
      </c>
      <c r="E106" s="52">
        <v>44303</v>
      </c>
      <c r="F106" s="13">
        <v>-0.622</v>
      </c>
      <c r="P106" s="54"/>
      <c r="R106" s="54"/>
    </row>
    <row r="107" spans="1:18" x14ac:dyDescent="0.25">
      <c r="A107" s="52">
        <v>43602</v>
      </c>
      <c r="B107" s="13">
        <v>-0.78680000000000005</v>
      </c>
      <c r="C107" s="52">
        <v>43726</v>
      </c>
      <c r="D107" s="13">
        <v>-0.73</v>
      </c>
      <c r="E107" s="52">
        <v>44668</v>
      </c>
      <c r="F107" s="13">
        <v>-0.54749999999999999</v>
      </c>
      <c r="P107" s="54"/>
      <c r="R107" s="54"/>
    </row>
    <row r="108" spans="1:18" x14ac:dyDescent="0.25">
      <c r="A108" s="52">
        <v>43633</v>
      </c>
      <c r="B108" s="13">
        <v>-0.73519999999999996</v>
      </c>
      <c r="C108" s="52">
        <v>43817</v>
      </c>
      <c r="D108" s="13">
        <v>-0.72</v>
      </c>
      <c r="E108" s="52">
        <v>45033</v>
      </c>
      <c r="F108" s="13">
        <v>-0.45910000000000001</v>
      </c>
      <c r="P108" s="54"/>
      <c r="R108" s="54"/>
    </row>
    <row r="109" spans="1:18" x14ac:dyDescent="0.25">
      <c r="A109" s="52">
        <v>43663</v>
      </c>
      <c r="B109" s="13">
        <v>-0.71619999999999995</v>
      </c>
      <c r="C109" s="52">
        <v>43908</v>
      </c>
      <c r="D109" s="13">
        <v>-0.71</v>
      </c>
      <c r="E109" s="52">
        <v>45399</v>
      </c>
      <c r="F109" s="13">
        <v>-0.36499999999999999</v>
      </c>
      <c r="P109" s="54"/>
      <c r="R109" s="54"/>
    </row>
    <row r="110" spans="1:18" x14ac:dyDescent="0.25">
      <c r="A110" s="52">
        <v>43755</v>
      </c>
      <c r="B110" s="13">
        <v>-0.65100000000000002</v>
      </c>
      <c r="C110" s="52">
        <v>43999</v>
      </c>
      <c r="D110" s="13">
        <v>-0.69</v>
      </c>
      <c r="E110" s="52">
        <v>45764</v>
      </c>
      <c r="F110" s="13">
        <v>-0.27</v>
      </c>
      <c r="P110" s="54"/>
      <c r="R110" s="54"/>
    </row>
    <row r="111" spans="1:18" x14ac:dyDescent="0.25">
      <c r="A111" s="52">
        <v>43938</v>
      </c>
      <c r="B111" s="13">
        <v>-0.51180000000000003</v>
      </c>
      <c r="C111" s="52">
        <v>44090</v>
      </c>
      <c r="D111" s="13">
        <v>-0.66</v>
      </c>
      <c r="E111" s="52">
        <v>46129</v>
      </c>
      <c r="F111" s="13">
        <v>-0.16500000000000001</v>
      </c>
      <c r="P111" s="54"/>
      <c r="R111" s="54"/>
    </row>
    <row r="112" spans="1:18" x14ac:dyDescent="0.25">
      <c r="C112" s="52">
        <v>44181</v>
      </c>
      <c r="D112" s="13">
        <v>-0.62</v>
      </c>
      <c r="E112" s="52">
        <v>46494</v>
      </c>
      <c r="F112" s="13">
        <v>-5.8000000000000003E-2</v>
      </c>
      <c r="P112" s="54"/>
      <c r="R112" s="54"/>
    </row>
    <row r="113" spans="3:18" x14ac:dyDescent="0.25">
      <c r="C113" s="52">
        <v>44272</v>
      </c>
      <c r="D113" s="13">
        <v>-0.56999999999999995</v>
      </c>
      <c r="E113" s="52">
        <v>46860</v>
      </c>
      <c r="F113" s="13">
        <v>2.75E-2</v>
      </c>
      <c r="P113" s="54"/>
      <c r="R113" s="54"/>
    </row>
    <row r="114" spans="3:18" x14ac:dyDescent="0.25">
      <c r="E114" s="52">
        <v>47225</v>
      </c>
      <c r="F114" s="13">
        <v>0.1225</v>
      </c>
      <c r="P114" s="54"/>
      <c r="R114" s="54"/>
    </row>
    <row r="115" spans="3:18" x14ac:dyDescent="0.25">
      <c r="E115" s="52">
        <v>47590</v>
      </c>
      <c r="F115" s="13">
        <v>0.19500000000000001</v>
      </c>
      <c r="P115" s="54"/>
      <c r="R115" s="54"/>
    </row>
    <row r="116" spans="3:18" x14ac:dyDescent="0.25">
      <c r="E116" s="52">
        <v>47955</v>
      </c>
      <c r="F116" s="13">
        <v>0.26250000000000001</v>
      </c>
      <c r="P116" s="54"/>
      <c r="R116" s="54"/>
    </row>
    <row r="117" spans="3:18" x14ac:dyDescent="0.25">
      <c r="E117" s="52">
        <v>48321</v>
      </c>
      <c r="F117" s="13">
        <v>0.32750000000000001</v>
      </c>
      <c r="P117" s="54"/>
      <c r="R117" s="54"/>
    </row>
    <row r="118" spans="3:18" x14ac:dyDescent="0.25">
      <c r="E118" s="52">
        <v>48686</v>
      </c>
      <c r="F118" s="13">
        <v>0.4269</v>
      </c>
      <c r="P118" s="54"/>
      <c r="R118" s="54"/>
    </row>
    <row r="119" spans="3:18" x14ac:dyDescent="0.25">
      <c r="E119" s="52">
        <v>49051</v>
      </c>
      <c r="F119" s="13">
        <v>0.4325</v>
      </c>
      <c r="P119" s="54"/>
      <c r="R119" s="54"/>
    </row>
    <row r="120" spans="3:18" x14ac:dyDescent="0.25">
      <c r="E120" s="52">
        <v>50877</v>
      </c>
      <c r="F120" s="13">
        <v>0.58499999999999996</v>
      </c>
      <c r="P120" s="54"/>
      <c r="R120" s="54"/>
    </row>
    <row r="121" spans="3:18" x14ac:dyDescent="0.25">
      <c r="E121" s="52">
        <v>52704</v>
      </c>
      <c r="F121" s="13">
        <v>0.62250000000000005</v>
      </c>
      <c r="P121" s="54"/>
      <c r="R121" s="54"/>
    </row>
    <row r="122" spans="3:18" x14ac:dyDescent="0.25">
      <c r="E122" s="52">
        <v>54530</v>
      </c>
      <c r="F122" s="13">
        <v>0.64500000000000002</v>
      </c>
      <c r="P122" s="54"/>
      <c r="R122" s="54"/>
    </row>
    <row r="123" spans="3:18" x14ac:dyDescent="0.25">
      <c r="E123" s="52">
        <v>58182</v>
      </c>
      <c r="F123" s="13">
        <v>0.66249999999999998</v>
      </c>
      <c r="P123" s="54"/>
      <c r="R123" s="54"/>
    </row>
    <row r="124" spans="3:18" x14ac:dyDescent="0.25">
      <c r="E124" s="52">
        <v>58548</v>
      </c>
      <c r="F124" s="13">
        <v>0.66249999999999998</v>
      </c>
      <c r="P124" s="54"/>
      <c r="R124" s="54"/>
    </row>
    <row r="125" spans="3:18" x14ac:dyDescent="0.25">
      <c r="E125" s="52"/>
      <c r="P125" s="54"/>
      <c r="R125" s="54"/>
    </row>
    <row r="129" spans="1:18" x14ac:dyDescent="0.25">
      <c r="A129" s="76" t="s">
        <v>4</v>
      </c>
      <c r="B129" s="76">
        <v>6</v>
      </c>
      <c r="C129" s="76"/>
      <c r="D129" s="76">
        <v>7</v>
      </c>
      <c r="E129" s="76"/>
      <c r="F129" s="76">
        <v>100</v>
      </c>
    </row>
    <row r="130" spans="1:18" x14ac:dyDescent="0.25">
      <c r="A130" s="71" t="s">
        <v>5</v>
      </c>
      <c r="B130" s="71" t="s">
        <v>6</v>
      </c>
      <c r="C130" s="71" t="s">
        <v>7</v>
      </c>
      <c r="D130" s="71" t="s">
        <v>8</v>
      </c>
      <c r="E130" s="71" t="s">
        <v>9</v>
      </c>
      <c r="F130" s="71" t="s">
        <v>10</v>
      </c>
    </row>
    <row r="131" spans="1:18" x14ac:dyDescent="0.25">
      <c r="A131" s="52">
        <v>43573</v>
      </c>
      <c r="B131" s="13">
        <v>1.75</v>
      </c>
      <c r="C131" s="52">
        <v>43635</v>
      </c>
      <c r="D131" s="13">
        <v>2.0299999999999998</v>
      </c>
      <c r="E131" s="52">
        <v>44303</v>
      </c>
      <c r="F131" s="13">
        <v>1.996</v>
      </c>
      <c r="P131" s="54"/>
      <c r="R131" s="54"/>
    </row>
    <row r="132" spans="1:18" x14ac:dyDescent="0.25">
      <c r="A132" s="52">
        <v>43602</v>
      </c>
      <c r="B132" s="13">
        <v>1.9775</v>
      </c>
      <c r="C132" s="52">
        <v>43726</v>
      </c>
      <c r="D132" s="13">
        <v>2</v>
      </c>
      <c r="E132" s="52">
        <v>44668</v>
      </c>
      <c r="F132" s="13">
        <v>2.0093000000000001</v>
      </c>
      <c r="P132" s="54"/>
      <c r="R132" s="54"/>
    </row>
    <row r="133" spans="1:18" x14ac:dyDescent="0.25">
      <c r="A133" s="52">
        <v>43633</v>
      </c>
      <c r="B133" s="13">
        <v>2</v>
      </c>
      <c r="C133" s="52">
        <v>43817</v>
      </c>
      <c r="D133" s="13">
        <v>2.02</v>
      </c>
      <c r="E133" s="52">
        <v>45033</v>
      </c>
      <c r="F133" s="13">
        <v>2.0202</v>
      </c>
      <c r="P133" s="54"/>
      <c r="R133" s="54"/>
    </row>
    <row r="134" spans="1:18" x14ac:dyDescent="0.25">
      <c r="A134" s="52">
        <v>43663</v>
      </c>
      <c r="B134" s="13">
        <v>2.0175000000000001</v>
      </c>
      <c r="C134" s="52">
        <v>43908</v>
      </c>
      <c r="D134" s="13">
        <v>1.99</v>
      </c>
      <c r="E134" s="52">
        <v>45399</v>
      </c>
      <c r="F134" s="13">
        <v>2.0394999999999999</v>
      </c>
      <c r="P134" s="54"/>
      <c r="R134" s="54"/>
    </row>
    <row r="135" spans="1:18" x14ac:dyDescent="0.25">
      <c r="A135" s="52">
        <v>43755</v>
      </c>
      <c r="B135" s="13">
        <v>2.0962499999999999</v>
      </c>
      <c r="C135" s="52">
        <v>43999</v>
      </c>
      <c r="D135" s="13">
        <v>1.98</v>
      </c>
      <c r="E135" s="52">
        <v>45764</v>
      </c>
      <c r="F135" s="13">
        <v>2.0847000000000002</v>
      </c>
      <c r="P135" s="54"/>
      <c r="R135" s="54"/>
    </row>
    <row r="136" spans="1:18" x14ac:dyDescent="0.25">
      <c r="A136" s="52">
        <v>43938</v>
      </c>
      <c r="B136" s="13">
        <v>2.2625000000000002</v>
      </c>
      <c r="C136" s="52">
        <v>44090</v>
      </c>
      <c r="D136" s="13">
        <v>1.9650000000000001</v>
      </c>
      <c r="E136" s="52">
        <v>46129</v>
      </c>
      <c r="F136" s="13">
        <v>2.1177999999999999</v>
      </c>
      <c r="P136" s="54"/>
      <c r="R136" s="54"/>
    </row>
    <row r="137" spans="1:18" x14ac:dyDescent="0.25">
      <c r="C137" s="52">
        <v>44181</v>
      </c>
      <c r="D137" s="13">
        <v>1.9550000000000001</v>
      </c>
      <c r="E137" s="52">
        <v>46494</v>
      </c>
      <c r="F137" s="13">
        <v>2.1608000000000001</v>
      </c>
      <c r="P137" s="54"/>
      <c r="R137" s="54"/>
    </row>
    <row r="138" spans="1:18" x14ac:dyDescent="0.25">
      <c r="C138" s="52">
        <v>44272</v>
      </c>
      <c r="D138" s="13">
        <v>1.9550000000000001</v>
      </c>
      <c r="E138" s="52">
        <v>46860</v>
      </c>
      <c r="F138" s="13">
        <v>2.2061999999999999</v>
      </c>
      <c r="P138" s="54"/>
      <c r="R138" s="54"/>
    </row>
    <row r="139" spans="1:18" x14ac:dyDescent="0.25">
      <c r="E139" s="52">
        <v>47225</v>
      </c>
      <c r="F139" s="13">
        <v>2.2490000000000001</v>
      </c>
      <c r="P139" s="54"/>
      <c r="R139" s="54"/>
    </row>
    <row r="140" spans="1:18" x14ac:dyDescent="0.25">
      <c r="E140" s="52">
        <v>47955</v>
      </c>
      <c r="F140" s="13">
        <v>2.3353999999999999</v>
      </c>
      <c r="P140" s="54"/>
      <c r="R140" s="54"/>
    </row>
    <row r="141" spans="1:18" x14ac:dyDescent="0.25">
      <c r="E141" s="52">
        <v>49051</v>
      </c>
      <c r="F141" s="13">
        <v>2.4388000000000001</v>
      </c>
      <c r="P141" s="54"/>
      <c r="R141" s="54"/>
    </row>
    <row r="142" spans="1:18" x14ac:dyDescent="0.25">
      <c r="E142" s="52">
        <v>50877</v>
      </c>
      <c r="F142" s="13">
        <v>2.5354000000000001</v>
      </c>
      <c r="P142" s="54"/>
      <c r="R142" s="54"/>
    </row>
    <row r="143" spans="1:18" x14ac:dyDescent="0.25">
      <c r="E143" s="52">
        <v>52704</v>
      </c>
      <c r="F143" s="13">
        <v>2.5581999999999998</v>
      </c>
      <c r="P143" s="54"/>
      <c r="R143" s="54"/>
    </row>
    <row r="144" spans="1:18" x14ac:dyDescent="0.25">
      <c r="E144" s="52">
        <v>54530</v>
      </c>
      <c r="F144" s="13">
        <v>2.5417999999999998</v>
      </c>
      <c r="P144" s="54"/>
      <c r="R144" s="54"/>
    </row>
    <row r="145" spans="1:18" x14ac:dyDescent="0.25">
      <c r="E145" s="52">
        <v>58182</v>
      </c>
      <c r="F145" s="13">
        <v>2.5238999999999998</v>
      </c>
      <c r="P145" s="54"/>
      <c r="R145" s="54"/>
    </row>
    <row r="146" spans="1:18" x14ac:dyDescent="0.25">
      <c r="E146" s="52">
        <v>58548</v>
      </c>
      <c r="F146" s="13">
        <v>2.5238999999999998</v>
      </c>
    </row>
    <row r="154" spans="1:18" x14ac:dyDescent="0.25">
      <c r="A154" s="76" t="s">
        <v>12</v>
      </c>
      <c r="B154" s="76">
        <v>6</v>
      </c>
      <c r="C154" s="76"/>
      <c r="D154" s="76">
        <v>0</v>
      </c>
      <c r="E154" s="76"/>
      <c r="F154" s="76">
        <v>100</v>
      </c>
    </row>
    <row r="155" spans="1:18" x14ac:dyDescent="0.25">
      <c r="A155" s="71" t="s">
        <v>5</v>
      </c>
      <c r="B155" s="71" t="s">
        <v>6</v>
      </c>
      <c r="C155" s="71" t="s">
        <v>7</v>
      </c>
      <c r="D155" s="71" t="s">
        <v>8</v>
      </c>
      <c r="E155" s="71" t="s">
        <v>9</v>
      </c>
      <c r="F155" s="71" t="s">
        <v>10</v>
      </c>
    </row>
    <row r="156" spans="1:18" x14ac:dyDescent="0.25">
      <c r="A156" s="52">
        <v>43573</v>
      </c>
      <c r="B156" s="13">
        <v>6.4086999999999996</v>
      </c>
      <c r="C156" s="52"/>
      <c r="E156" s="52">
        <v>43938</v>
      </c>
      <c r="F156" s="13">
        <v>6.5609000000000002</v>
      </c>
      <c r="L156" s="55"/>
      <c r="P156" s="54"/>
      <c r="R156" s="54"/>
    </row>
    <row r="157" spans="1:18" x14ac:dyDescent="0.25">
      <c r="A157" s="52">
        <v>43602</v>
      </c>
      <c r="B157" s="13">
        <v>6.4086999999999996</v>
      </c>
      <c r="C157" s="52"/>
      <c r="E157" s="52">
        <v>44303</v>
      </c>
      <c r="F157" s="13">
        <v>7.3487</v>
      </c>
      <c r="P157" s="56"/>
      <c r="R157" s="54"/>
    </row>
    <row r="158" spans="1:18" x14ac:dyDescent="0.25">
      <c r="A158" s="52">
        <v>43633</v>
      </c>
      <c r="B158" s="13">
        <v>6.4086999999999996</v>
      </c>
      <c r="C158" s="52"/>
      <c r="E158" s="52">
        <v>44668</v>
      </c>
      <c r="F158" s="13">
        <v>7.9718999999999998</v>
      </c>
      <c r="P158" s="56"/>
      <c r="R158" s="54"/>
    </row>
    <row r="159" spans="1:18" x14ac:dyDescent="0.25">
      <c r="A159" s="52">
        <v>43663</v>
      </c>
      <c r="B159" s="13">
        <v>6.4278000000000004</v>
      </c>
      <c r="C159" s="52"/>
      <c r="E159" s="52">
        <v>45033</v>
      </c>
      <c r="F159" s="13">
        <v>8.3770000000000007</v>
      </c>
      <c r="P159" s="56"/>
      <c r="R159" s="54"/>
    </row>
    <row r="160" spans="1:18" x14ac:dyDescent="0.25">
      <c r="A160" s="52">
        <v>43755</v>
      </c>
      <c r="B160" s="13">
        <v>6.4522000000000004</v>
      </c>
      <c r="C160" s="52"/>
      <c r="E160" s="52">
        <v>45399</v>
      </c>
      <c r="F160" s="13">
        <v>8.6736000000000004</v>
      </c>
      <c r="P160" s="56"/>
      <c r="R160" s="54"/>
    </row>
    <row r="161" spans="1:18" x14ac:dyDescent="0.25">
      <c r="A161" s="52">
        <v>43847</v>
      </c>
      <c r="B161" s="13">
        <v>6.4733000000000001</v>
      </c>
      <c r="C161" s="52"/>
      <c r="E161" s="52">
        <v>45764</v>
      </c>
      <c r="F161" s="13">
        <v>8.8589000000000002</v>
      </c>
      <c r="P161" s="56"/>
      <c r="R161" s="54"/>
    </row>
    <row r="162" spans="1:18" x14ac:dyDescent="0.25">
      <c r="A162" s="52"/>
      <c r="C162" s="52"/>
      <c r="E162" s="52">
        <v>46129</v>
      </c>
      <c r="F162" s="13">
        <v>9.0089000000000006</v>
      </c>
      <c r="P162" s="56"/>
      <c r="R162" s="54"/>
    </row>
    <row r="163" spans="1:18" x14ac:dyDescent="0.25">
      <c r="A163" s="52"/>
      <c r="C163" s="52"/>
      <c r="E163" s="52">
        <v>46494</v>
      </c>
      <c r="F163" s="13">
        <v>9.1547000000000001</v>
      </c>
      <c r="P163" s="54"/>
      <c r="R163" s="54"/>
    </row>
    <row r="164" spans="1:18" x14ac:dyDescent="0.25">
      <c r="E164" s="52">
        <v>46860</v>
      </c>
      <c r="F164" s="13">
        <v>9.2332000000000001</v>
      </c>
      <c r="P164" s="54"/>
      <c r="R164" s="54"/>
    </row>
    <row r="165" spans="1:18" x14ac:dyDescent="0.25">
      <c r="E165" s="52">
        <v>47225</v>
      </c>
      <c r="F165" s="13">
        <v>9.2758000000000003</v>
      </c>
      <c r="P165" s="54"/>
      <c r="R165" s="54"/>
    </row>
    <row r="166" spans="1:18" x14ac:dyDescent="0.25">
      <c r="E166" s="52">
        <v>47955</v>
      </c>
      <c r="F166" s="13">
        <v>9.5165500000000005</v>
      </c>
      <c r="P166" s="54"/>
      <c r="R166" s="54"/>
    </row>
    <row r="167" spans="1:18" x14ac:dyDescent="0.25">
      <c r="E167" s="52">
        <v>49051</v>
      </c>
      <c r="F167" s="13">
        <v>10.1187</v>
      </c>
      <c r="P167" s="54"/>
      <c r="R167" s="54"/>
    </row>
    <row r="168" spans="1:18" x14ac:dyDescent="0.25">
      <c r="E168" s="52">
        <v>50877</v>
      </c>
      <c r="F168" s="13">
        <v>11.3231</v>
      </c>
      <c r="P168" s="54"/>
      <c r="R168" s="54"/>
    </row>
    <row r="169" spans="1:18" x14ac:dyDescent="0.25">
      <c r="E169" s="52">
        <v>52704</v>
      </c>
      <c r="F169" s="13">
        <v>13.130100000000001</v>
      </c>
      <c r="P169" s="54"/>
      <c r="R169" s="54"/>
    </row>
    <row r="170" spans="1:18" x14ac:dyDescent="0.25">
      <c r="E170" s="52">
        <v>54530</v>
      </c>
      <c r="F170" s="13">
        <v>15.539199999999999</v>
      </c>
      <c r="P170" s="54"/>
      <c r="R170" s="54"/>
    </row>
    <row r="171" spans="1:18" x14ac:dyDescent="0.25">
      <c r="E171" s="52">
        <v>58182</v>
      </c>
      <c r="F171" s="13">
        <v>19.152699999999999</v>
      </c>
      <c r="P171" s="54"/>
      <c r="R171" s="54"/>
    </row>
    <row r="172" spans="1:18" x14ac:dyDescent="0.25">
      <c r="E172" s="52"/>
      <c r="P172" s="54"/>
      <c r="R172" s="54"/>
    </row>
    <row r="173" spans="1:18" x14ac:dyDescent="0.25">
      <c r="E173" s="52"/>
    </row>
    <row r="174" spans="1:18" x14ac:dyDescent="0.25">
      <c r="E174" s="52"/>
    </row>
    <row r="175" spans="1:18" x14ac:dyDescent="0.25">
      <c r="E175" s="52"/>
    </row>
    <row r="179" spans="1:18" x14ac:dyDescent="0.25">
      <c r="A179" s="71" t="s">
        <v>14</v>
      </c>
      <c r="B179" s="71">
        <v>6</v>
      </c>
      <c r="C179" s="71"/>
      <c r="D179" s="71">
        <v>0</v>
      </c>
      <c r="E179" s="71"/>
      <c r="F179" s="71">
        <v>100</v>
      </c>
    </row>
    <row r="180" spans="1:18" x14ac:dyDescent="0.25">
      <c r="A180" s="71" t="s">
        <v>5</v>
      </c>
      <c r="B180" s="71" t="s">
        <v>6</v>
      </c>
      <c r="C180" s="71" t="s">
        <v>7</v>
      </c>
      <c r="D180" s="71" t="s">
        <v>8</v>
      </c>
      <c r="E180" s="71" t="s">
        <v>9</v>
      </c>
      <c r="F180" s="71" t="s">
        <v>10</v>
      </c>
    </row>
    <row r="181" spans="1:18" x14ac:dyDescent="0.25">
      <c r="A181" s="52">
        <v>43573</v>
      </c>
      <c r="B181" s="13">
        <v>4.25</v>
      </c>
      <c r="C181" s="52"/>
      <c r="E181" s="52">
        <v>44303</v>
      </c>
      <c r="F181" s="13">
        <v>4.5449999999999999</v>
      </c>
      <c r="P181" s="54"/>
      <c r="R181" s="54"/>
    </row>
    <row r="182" spans="1:18" x14ac:dyDescent="0.25">
      <c r="A182" s="52">
        <v>43602</v>
      </c>
      <c r="B182" s="13">
        <v>4.125</v>
      </c>
      <c r="C182" s="52"/>
      <c r="E182" s="52">
        <v>44668</v>
      </c>
      <c r="F182" s="13">
        <v>4.7750000000000004</v>
      </c>
      <c r="P182" s="54"/>
      <c r="R182" s="54"/>
    </row>
    <row r="183" spans="1:18" x14ac:dyDescent="0.25">
      <c r="A183" s="52">
        <v>43633</v>
      </c>
      <c r="B183" s="13">
        <v>4.13</v>
      </c>
      <c r="C183" s="52"/>
      <c r="E183" s="52">
        <v>45033</v>
      </c>
      <c r="F183" s="13">
        <v>5.0149999999999997</v>
      </c>
      <c r="P183" s="54"/>
      <c r="R183" s="54"/>
    </row>
    <row r="184" spans="1:18" x14ac:dyDescent="0.25">
      <c r="A184" s="52">
        <v>43663</v>
      </c>
      <c r="B184" s="13">
        <v>4.1349999999999998</v>
      </c>
      <c r="C184" s="52"/>
      <c r="E184" s="52">
        <v>45399</v>
      </c>
      <c r="F184" s="13">
        <v>5.18</v>
      </c>
      <c r="P184" s="54"/>
      <c r="R184" s="54"/>
    </row>
    <row r="185" spans="1:18" x14ac:dyDescent="0.25">
      <c r="A185" s="52">
        <v>43755</v>
      </c>
      <c r="B185" s="13">
        <v>4.2850000000000001</v>
      </c>
      <c r="C185" s="52"/>
      <c r="E185" s="52">
        <v>45764</v>
      </c>
      <c r="F185" s="13">
        <v>5.33</v>
      </c>
      <c r="P185" s="54"/>
      <c r="R185" s="54"/>
    </row>
    <row r="186" spans="1:18" x14ac:dyDescent="0.25">
      <c r="A186" s="52">
        <v>43938</v>
      </c>
      <c r="B186" s="13">
        <v>4.3499999999999996</v>
      </c>
      <c r="C186" s="52"/>
      <c r="E186" s="52">
        <v>46129</v>
      </c>
      <c r="F186" s="13">
        <v>5.4850000000000003</v>
      </c>
      <c r="P186" s="54"/>
      <c r="R186" s="54"/>
    </row>
    <row r="187" spans="1:18" x14ac:dyDescent="0.25">
      <c r="A187" s="52"/>
      <c r="C187" s="52"/>
      <c r="E187" s="52">
        <v>46494</v>
      </c>
      <c r="F187" s="13">
        <v>5.63</v>
      </c>
      <c r="P187" s="54"/>
      <c r="R187" s="54"/>
    </row>
    <row r="188" spans="1:18" x14ac:dyDescent="0.25">
      <c r="A188" s="52"/>
      <c r="C188" s="52"/>
      <c r="E188" s="52">
        <v>46860</v>
      </c>
      <c r="F188" s="13">
        <v>5.7249999999999996</v>
      </c>
      <c r="P188" s="54"/>
      <c r="R188" s="54"/>
    </row>
    <row r="189" spans="1:18" x14ac:dyDescent="0.25">
      <c r="E189" s="52">
        <v>47225</v>
      </c>
      <c r="F189" s="13">
        <v>5.8150000000000004</v>
      </c>
      <c r="P189" s="54"/>
      <c r="R189" s="54"/>
    </row>
    <row r="190" spans="1:18" x14ac:dyDescent="0.25">
      <c r="E190" s="52">
        <v>47590</v>
      </c>
      <c r="F190" s="13">
        <v>5.8775000000000004</v>
      </c>
      <c r="P190" s="54"/>
      <c r="R190" s="54"/>
    </row>
    <row r="191" spans="1:18" x14ac:dyDescent="0.25">
      <c r="E191" s="52">
        <v>47955</v>
      </c>
      <c r="F191" s="13">
        <v>5.94</v>
      </c>
      <c r="P191" s="54"/>
      <c r="R191" s="54"/>
    </row>
    <row r="192" spans="1:18" x14ac:dyDescent="0.25">
      <c r="E192" s="52">
        <v>48321</v>
      </c>
      <c r="F192" s="13">
        <v>5.9933300000000003</v>
      </c>
      <c r="P192" s="54"/>
      <c r="R192" s="54"/>
    </row>
    <row r="193" spans="5:18" x14ac:dyDescent="0.25">
      <c r="E193" s="52">
        <v>48686</v>
      </c>
      <c r="F193" s="13">
        <v>6.0466699999999998</v>
      </c>
      <c r="P193" s="54"/>
      <c r="R193" s="54"/>
    </row>
    <row r="194" spans="5:18" x14ac:dyDescent="0.25">
      <c r="E194" s="52">
        <v>49051</v>
      </c>
      <c r="F194" s="13">
        <v>6.1</v>
      </c>
      <c r="P194" s="54"/>
      <c r="R194" s="54"/>
    </row>
    <row r="195" spans="5:18" x14ac:dyDescent="0.25">
      <c r="E195" s="52">
        <v>49416</v>
      </c>
      <c r="F195" s="13">
        <v>6.1440000000000001</v>
      </c>
      <c r="P195" s="54"/>
      <c r="R195" s="54"/>
    </row>
    <row r="196" spans="5:18" x14ac:dyDescent="0.25">
      <c r="E196" s="52">
        <v>49782</v>
      </c>
      <c r="F196" s="13">
        <v>6.1879999999999997</v>
      </c>
      <c r="P196" s="54"/>
      <c r="R196" s="54"/>
    </row>
    <row r="197" spans="5:18" x14ac:dyDescent="0.25">
      <c r="E197" s="52">
        <v>50877</v>
      </c>
      <c r="F197" s="13">
        <v>6.32</v>
      </c>
      <c r="P197" s="54"/>
      <c r="R197" s="54"/>
    </row>
    <row r="198" spans="5:18" x14ac:dyDescent="0.25">
      <c r="E198" s="52">
        <v>52704</v>
      </c>
      <c r="F198" s="13">
        <v>6.32</v>
      </c>
    </row>
    <row r="199" spans="5:18" x14ac:dyDescent="0.25">
      <c r="E199" s="52">
        <v>54530</v>
      </c>
      <c r="F199" s="13">
        <v>6.32</v>
      </c>
    </row>
    <row r="200" spans="5:18" x14ac:dyDescent="0.25">
      <c r="E200" s="52">
        <v>58182</v>
      </c>
      <c r="F200" s="13">
        <v>6.32</v>
      </c>
    </row>
    <row r="201" spans="5:18" x14ac:dyDescent="0.25">
      <c r="E201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0611-7EC3-43D4-BB87-11C6CC7656E0}">
  <sheetPr codeName="Sheet36"/>
  <dimension ref="A1:F201"/>
  <sheetViews>
    <sheetView tabSelected="1" topLeftCell="A28" zoomScaleNormal="100" workbookViewId="0">
      <selection activeCell="G36" sqref="G36"/>
    </sheetView>
  </sheetViews>
  <sheetFormatPr defaultColWidth="8.88671875" defaultRowHeight="13.8" x14ac:dyDescent="0.25"/>
  <cols>
    <col min="1" max="2" width="19.44140625" style="13" customWidth="1"/>
    <col min="3" max="6" width="12.33203125" style="13" customWidth="1"/>
    <col min="7" max="7" width="11.6640625" style="13" customWidth="1"/>
    <col min="8" max="8" width="8.88671875" style="13"/>
    <col min="9" max="9" width="12.44140625" style="13" customWidth="1"/>
    <col min="10" max="16384" width="8.88671875" style="13"/>
  </cols>
  <sheetData>
    <row r="1" spans="1:6" ht="17.399999999999999" x14ac:dyDescent="0.25">
      <c r="A1" s="59" t="s">
        <v>120</v>
      </c>
      <c r="B1" s="61">
        <f ca="1">Pre_Date</f>
        <v>43572</v>
      </c>
    </row>
    <row r="4" spans="1:6" x14ac:dyDescent="0.25">
      <c r="A4" s="71" t="s">
        <v>0</v>
      </c>
      <c r="B4" s="71">
        <v>7</v>
      </c>
      <c r="C4" s="71"/>
      <c r="D4" s="71">
        <v>7</v>
      </c>
      <c r="E4" s="71"/>
      <c r="F4" s="71">
        <v>100</v>
      </c>
    </row>
    <row r="5" spans="1:6" x14ac:dyDescent="0.25">
      <c r="A5" s="71" t="s">
        <v>5</v>
      </c>
      <c r="B5" s="71" t="s">
        <v>6</v>
      </c>
      <c r="C5" s="71" t="s">
        <v>7</v>
      </c>
      <c r="D5" s="71" t="s">
        <v>8</v>
      </c>
      <c r="E5" s="71" t="s">
        <v>9</v>
      </c>
      <c r="F5" s="71" t="s">
        <v>10</v>
      </c>
    </row>
    <row r="6" spans="1:6" x14ac:dyDescent="0.25">
      <c r="A6" s="52">
        <v>43573</v>
      </c>
      <c r="B6" s="13">
        <v>2.3856299999999999</v>
      </c>
      <c r="C6" s="52">
        <v>43635</v>
      </c>
      <c r="D6" s="13">
        <v>2.59</v>
      </c>
      <c r="E6" s="52">
        <v>44303</v>
      </c>
      <c r="F6" s="13">
        <v>2.5013000000000001</v>
      </c>
    </row>
    <row r="7" spans="1:6" x14ac:dyDescent="0.25">
      <c r="A7" s="52">
        <v>43602</v>
      </c>
      <c r="B7" s="13">
        <v>2.4873799999999999</v>
      </c>
      <c r="C7" s="52">
        <v>43726</v>
      </c>
      <c r="D7" s="13">
        <v>2.5550000000000002</v>
      </c>
      <c r="E7" s="52">
        <v>44668</v>
      </c>
      <c r="F7" s="13">
        <v>2.4451000000000001</v>
      </c>
    </row>
    <row r="8" spans="1:6" x14ac:dyDescent="0.25">
      <c r="A8" s="52">
        <v>43633</v>
      </c>
      <c r="B8" s="13">
        <v>2.5436299999999998</v>
      </c>
      <c r="C8" s="52">
        <v>43817</v>
      </c>
      <c r="D8" s="13">
        <v>2.5550000000000002</v>
      </c>
      <c r="E8" s="52">
        <v>45033</v>
      </c>
      <c r="F8" s="13">
        <v>2.4298000000000002</v>
      </c>
    </row>
    <row r="9" spans="1:6" x14ac:dyDescent="0.25">
      <c r="A9" s="52">
        <v>43663</v>
      </c>
      <c r="B9" s="13">
        <v>2.5914999999999999</v>
      </c>
      <c r="C9" s="52">
        <v>43908</v>
      </c>
      <c r="D9" s="13">
        <v>2.46</v>
      </c>
      <c r="E9" s="52">
        <v>45399</v>
      </c>
      <c r="F9" s="13">
        <v>2.4407999999999999</v>
      </c>
    </row>
    <row r="10" spans="1:6" x14ac:dyDescent="0.25">
      <c r="A10" s="52">
        <v>43755</v>
      </c>
      <c r="B10" s="13">
        <v>2.6336300000000001</v>
      </c>
      <c r="C10" s="52">
        <v>43999</v>
      </c>
      <c r="D10" s="13">
        <v>2.39</v>
      </c>
      <c r="E10" s="52">
        <v>45764</v>
      </c>
      <c r="F10" s="13">
        <v>2.4645999999999999</v>
      </c>
    </row>
    <row r="11" spans="1:6" x14ac:dyDescent="0.25">
      <c r="A11" s="52">
        <v>43938</v>
      </c>
      <c r="B11" s="13">
        <v>2.7618800000000001</v>
      </c>
      <c r="C11" s="52">
        <v>44090</v>
      </c>
      <c r="D11" s="13">
        <v>2.335</v>
      </c>
      <c r="E11" s="52">
        <v>46129</v>
      </c>
      <c r="F11" s="13">
        <v>2.4923999999999999</v>
      </c>
    </row>
    <row r="12" spans="1:6" x14ac:dyDescent="0.25">
      <c r="A12" s="52"/>
      <c r="C12" s="52">
        <v>44181</v>
      </c>
      <c r="D12" s="13">
        <v>2.3199999999999998</v>
      </c>
      <c r="E12" s="52">
        <v>46494</v>
      </c>
      <c r="F12" s="13">
        <v>2.5232999999999999</v>
      </c>
    </row>
    <row r="13" spans="1:6" x14ac:dyDescent="0.25">
      <c r="C13" s="52">
        <v>44272</v>
      </c>
      <c r="D13" s="13">
        <v>2.2949999999999999</v>
      </c>
      <c r="E13" s="52">
        <v>46860</v>
      </c>
      <c r="F13" s="13">
        <v>2.556</v>
      </c>
    </row>
    <row r="14" spans="1:6" x14ac:dyDescent="0.25">
      <c r="E14" s="52">
        <v>47225</v>
      </c>
      <c r="F14" s="13">
        <v>2.5870000000000002</v>
      </c>
    </row>
    <row r="15" spans="1:6" x14ac:dyDescent="0.25">
      <c r="E15" s="52">
        <v>47590</v>
      </c>
      <c r="F15" s="13">
        <v>2.617</v>
      </c>
    </row>
    <row r="16" spans="1:6" x14ac:dyDescent="0.25">
      <c r="E16" s="52">
        <v>47955</v>
      </c>
      <c r="F16" s="13">
        <v>2.6425000000000001</v>
      </c>
    </row>
    <row r="17" spans="1:6" x14ac:dyDescent="0.25">
      <c r="E17" s="52">
        <v>48321</v>
      </c>
      <c r="F17" s="13">
        <v>2.6579999999999999</v>
      </c>
    </row>
    <row r="18" spans="1:6" x14ac:dyDescent="0.25">
      <c r="E18" s="52">
        <v>48686</v>
      </c>
      <c r="F18" s="13">
        <v>2.6840000000000002</v>
      </c>
    </row>
    <row r="19" spans="1:6" x14ac:dyDescent="0.25">
      <c r="E19" s="52">
        <v>49051</v>
      </c>
      <c r="F19" s="13">
        <v>2.6995</v>
      </c>
    </row>
    <row r="20" spans="1:6" x14ac:dyDescent="0.25">
      <c r="E20" s="52">
        <v>49416</v>
      </c>
      <c r="F20" s="13">
        <v>2.714</v>
      </c>
    </row>
    <row r="21" spans="1:6" x14ac:dyDescent="0.25">
      <c r="E21" s="52">
        <v>49782</v>
      </c>
      <c r="F21" s="13">
        <v>2.7252999999999998</v>
      </c>
    </row>
    <row r="22" spans="1:6" x14ac:dyDescent="0.25">
      <c r="E22" s="52">
        <v>50877</v>
      </c>
      <c r="F22" s="13">
        <v>2.7484999999999999</v>
      </c>
    </row>
    <row r="23" spans="1:6" x14ac:dyDescent="0.25">
      <c r="E23" s="52">
        <v>52704</v>
      </c>
      <c r="F23" s="13">
        <v>2.7635000000000001</v>
      </c>
    </row>
    <row r="24" spans="1:6" x14ac:dyDescent="0.25">
      <c r="E24" s="52">
        <v>54530</v>
      </c>
      <c r="F24" s="13">
        <v>2.7685</v>
      </c>
    </row>
    <row r="25" spans="1:6" x14ac:dyDescent="0.25">
      <c r="E25" s="52">
        <v>58182</v>
      </c>
      <c r="F25" s="13">
        <v>2.7498</v>
      </c>
    </row>
    <row r="26" spans="1:6" x14ac:dyDescent="0.25">
      <c r="E26" s="52">
        <v>58548</v>
      </c>
      <c r="F26" s="13">
        <v>2.7498</v>
      </c>
    </row>
    <row r="29" spans="1:6" x14ac:dyDescent="0.25">
      <c r="A29" s="71" t="s">
        <v>1</v>
      </c>
      <c r="B29" s="71">
        <v>7</v>
      </c>
      <c r="C29" s="71"/>
      <c r="D29" s="71">
        <v>7</v>
      </c>
      <c r="E29" s="71"/>
      <c r="F29" s="71">
        <v>100</v>
      </c>
    </row>
    <row r="30" spans="1:6" x14ac:dyDescent="0.25">
      <c r="A30" s="71" t="s">
        <v>5</v>
      </c>
      <c r="B30" s="71" t="s">
        <v>6</v>
      </c>
      <c r="C30" s="71" t="s">
        <v>7</v>
      </c>
      <c r="D30" s="71" t="s">
        <v>8</v>
      </c>
      <c r="E30" s="71" t="s">
        <v>9</v>
      </c>
      <c r="F30" s="71" t="s">
        <v>10</v>
      </c>
    </row>
    <row r="31" spans="1:6" x14ac:dyDescent="0.25">
      <c r="A31" s="52">
        <v>43573</v>
      </c>
      <c r="B31" s="13">
        <v>-0.50470000000000004</v>
      </c>
      <c r="C31" s="52">
        <v>43635</v>
      </c>
      <c r="D31" s="13">
        <v>-0.45</v>
      </c>
      <c r="E31" s="52">
        <v>44303</v>
      </c>
      <c r="F31" s="13">
        <v>-0.31</v>
      </c>
    </row>
    <row r="32" spans="1:6" x14ac:dyDescent="0.25">
      <c r="A32" s="52">
        <v>43602</v>
      </c>
      <c r="B32" s="13">
        <v>-0.50800000000000001</v>
      </c>
      <c r="C32" s="52">
        <v>43726</v>
      </c>
      <c r="D32" s="13">
        <v>-0.45</v>
      </c>
      <c r="E32" s="52">
        <v>44668</v>
      </c>
      <c r="F32" s="13">
        <v>-0.255</v>
      </c>
    </row>
    <row r="33" spans="1:6" x14ac:dyDescent="0.25">
      <c r="A33" s="52">
        <v>43633</v>
      </c>
      <c r="B33" s="13">
        <v>-0.47949999999999998</v>
      </c>
      <c r="C33" s="52">
        <v>43817</v>
      </c>
      <c r="D33" s="13">
        <v>-0.45</v>
      </c>
      <c r="E33" s="52">
        <v>45033</v>
      </c>
      <c r="F33" s="13">
        <v>-0.16975000000000001</v>
      </c>
    </row>
    <row r="34" spans="1:6" x14ac:dyDescent="0.25">
      <c r="A34" s="52">
        <v>43663</v>
      </c>
      <c r="B34" s="13">
        <v>-0.45100000000000001</v>
      </c>
      <c r="C34" s="52">
        <v>43908</v>
      </c>
      <c r="D34" s="13">
        <v>-0.42499999999999999</v>
      </c>
      <c r="E34" s="52">
        <v>45399</v>
      </c>
      <c r="F34" s="13">
        <v>-7.6249999999999998E-2</v>
      </c>
    </row>
    <row r="35" spans="1:6" x14ac:dyDescent="0.25">
      <c r="A35" s="52">
        <v>43755</v>
      </c>
      <c r="B35" s="13">
        <v>-0.372</v>
      </c>
      <c r="C35" s="52">
        <v>43999</v>
      </c>
      <c r="D35" s="13">
        <v>-0.39500000000000002</v>
      </c>
      <c r="E35" s="52">
        <v>45764</v>
      </c>
      <c r="F35" s="13">
        <v>2.1499999999999998E-2</v>
      </c>
    </row>
    <row r="36" spans="1:6" x14ac:dyDescent="0.25">
      <c r="A36" s="52">
        <v>43938</v>
      </c>
      <c r="B36" s="13">
        <v>-0.252</v>
      </c>
      <c r="C36" s="52">
        <v>44090</v>
      </c>
      <c r="D36" s="13">
        <v>-0.37</v>
      </c>
      <c r="E36" s="52">
        <v>46129</v>
      </c>
      <c r="F36" s="13">
        <v>0.11975</v>
      </c>
    </row>
    <row r="37" spans="1:6" x14ac:dyDescent="0.25">
      <c r="C37" s="52">
        <v>44181</v>
      </c>
      <c r="D37" s="13">
        <v>-0.33500000000000002</v>
      </c>
      <c r="E37" s="52">
        <v>46494</v>
      </c>
      <c r="F37" s="13">
        <v>0.22</v>
      </c>
    </row>
    <row r="38" spans="1:6" x14ac:dyDescent="0.25">
      <c r="C38" s="52">
        <v>44272</v>
      </c>
      <c r="D38" s="13">
        <v>-0.28499999999999998</v>
      </c>
      <c r="E38" s="52">
        <v>46860</v>
      </c>
      <c r="F38" s="13">
        <v>0.31830000000000003</v>
      </c>
    </row>
    <row r="39" spans="1:6" x14ac:dyDescent="0.25">
      <c r="E39" s="52">
        <v>47225</v>
      </c>
      <c r="F39" s="13">
        <v>0.41325000000000001</v>
      </c>
    </row>
    <row r="40" spans="1:6" x14ac:dyDescent="0.25">
      <c r="E40" s="52">
        <v>47590</v>
      </c>
      <c r="F40" s="13">
        <v>0.50424999999999998</v>
      </c>
    </row>
    <row r="41" spans="1:6" x14ac:dyDescent="0.25">
      <c r="E41" s="52">
        <v>47955</v>
      </c>
      <c r="F41" s="13">
        <v>0.58650000000000002</v>
      </c>
    </row>
    <row r="42" spans="1:6" x14ac:dyDescent="0.25">
      <c r="E42" s="52">
        <v>48321</v>
      </c>
      <c r="F42" s="13">
        <v>0.66374999999999995</v>
      </c>
    </row>
    <row r="43" spans="1:6" x14ac:dyDescent="0.25">
      <c r="E43" s="52">
        <v>48686</v>
      </c>
      <c r="F43" s="13">
        <v>0.73050000000000004</v>
      </c>
    </row>
    <row r="44" spans="1:6" x14ac:dyDescent="0.25">
      <c r="E44" s="52">
        <v>49051</v>
      </c>
      <c r="F44" s="13">
        <v>0.79225000000000001</v>
      </c>
    </row>
    <row r="45" spans="1:6" x14ac:dyDescent="0.25">
      <c r="E45" s="52">
        <v>49416</v>
      </c>
      <c r="F45" s="13">
        <v>0.8448</v>
      </c>
    </row>
    <row r="46" spans="1:6" x14ac:dyDescent="0.25">
      <c r="E46" s="52">
        <v>49782</v>
      </c>
      <c r="F46" s="13">
        <v>0.89975000000000005</v>
      </c>
    </row>
    <row r="47" spans="1:6" x14ac:dyDescent="0.25">
      <c r="E47" s="52">
        <v>50877</v>
      </c>
      <c r="F47" s="13">
        <v>1.0129999999999999</v>
      </c>
    </row>
    <row r="48" spans="1:6" x14ac:dyDescent="0.25">
      <c r="E48" s="52">
        <v>52704</v>
      </c>
      <c r="F48" s="13">
        <v>1.1220000000000001</v>
      </c>
    </row>
    <row r="49" spans="1:6" x14ac:dyDescent="0.25">
      <c r="E49" s="52">
        <v>54530</v>
      </c>
      <c r="F49" s="13">
        <v>1.1665000000000001</v>
      </c>
    </row>
    <row r="50" spans="1:6" x14ac:dyDescent="0.25">
      <c r="E50" s="52">
        <v>58182</v>
      </c>
      <c r="F50" s="13">
        <v>1.165</v>
      </c>
    </row>
    <row r="51" spans="1:6" x14ac:dyDescent="0.25">
      <c r="E51" s="52">
        <v>58548</v>
      </c>
      <c r="F51" s="13">
        <v>1.165</v>
      </c>
    </row>
    <row r="54" spans="1:6" x14ac:dyDescent="0.25">
      <c r="A54" s="71" t="s">
        <v>3</v>
      </c>
      <c r="B54" s="71">
        <v>7</v>
      </c>
      <c r="C54" s="71"/>
      <c r="D54" s="71">
        <v>7</v>
      </c>
      <c r="E54" s="71"/>
      <c r="F54" s="71">
        <v>100</v>
      </c>
    </row>
    <row r="55" spans="1:6" x14ac:dyDescent="0.25">
      <c r="A55" s="71" t="s">
        <v>5</v>
      </c>
      <c r="B55" s="71" t="s">
        <v>6</v>
      </c>
      <c r="C55" s="71" t="s">
        <v>7</v>
      </c>
      <c r="D55" s="71" t="s">
        <v>8</v>
      </c>
      <c r="E55" s="71" t="s">
        <v>9</v>
      </c>
      <c r="F55" s="71" t="s">
        <v>10</v>
      </c>
    </row>
    <row r="56" spans="1:6" ht="15.6" customHeight="1" x14ac:dyDescent="0.25">
      <c r="A56" s="52">
        <v>43573</v>
      </c>
      <c r="B56" s="13">
        <v>-0.32233000000000001</v>
      </c>
      <c r="C56" s="52">
        <v>43635</v>
      </c>
      <c r="D56" s="13">
        <v>-0.3075</v>
      </c>
      <c r="E56" s="52">
        <v>44303</v>
      </c>
      <c r="F56" s="13">
        <v>-0.31069999999999998</v>
      </c>
    </row>
    <row r="57" spans="1:6" ht="15.6" customHeight="1" x14ac:dyDescent="0.25">
      <c r="A57" s="52">
        <v>43602</v>
      </c>
      <c r="B57" s="13">
        <v>-0.36149999999999999</v>
      </c>
      <c r="C57" s="52">
        <v>43726</v>
      </c>
      <c r="D57" s="13">
        <v>-4.4999999999999998E-2</v>
      </c>
      <c r="E57" s="52">
        <v>44668</v>
      </c>
      <c r="F57" s="13">
        <v>-0.35249999999999998</v>
      </c>
    </row>
    <row r="58" spans="1:6" ht="15.6" customHeight="1" x14ac:dyDescent="0.25">
      <c r="A58" s="52">
        <v>43633</v>
      </c>
      <c r="B58" s="13">
        <v>-0.34849999999999998</v>
      </c>
      <c r="C58" s="52">
        <v>43817</v>
      </c>
      <c r="D58" s="13">
        <v>-0.05</v>
      </c>
      <c r="E58" s="52">
        <v>45033</v>
      </c>
      <c r="F58" s="13">
        <v>-0.38129999999999997</v>
      </c>
    </row>
    <row r="59" spans="1:6" x14ac:dyDescent="0.25">
      <c r="A59" s="52">
        <v>43663</v>
      </c>
      <c r="B59" s="13">
        <v>-0.32450000000000001</v>
      </c>
      <c r="C59" s="52">
        <v>43908</v>
      </c>
      <c r="D59" s="13">
        <v>-5.5E-2</v>
      </c>
      <c r="E59" s="52">
        <v>45399</v>
      </c>
      <c r="F59" s="13">
        <v>-0.40749999999999997</v>
      </c>
    </row>
    <row r="60" spans="1:6" x14ac:dyDescent="0.25">
      <c r="A60" s="52">
        <v>43755</v>
      </c>
      <c r="B60" s="13">
        <v>-0.25817000000000001</v>
      </c>
      <c r="C60" s="52">
        <v>43999</v>
      </c>
      <c r="D60" s="13">
        <v>-5.5E-2</v>
      </c>
      <c r="E60" s="52">
        <v>45764</v>
      </c>
      <c r="F60" s="13">
        <v>-0.41499999999999998</v>
      </c>
    </row>
    <row r="61" spans="1:6" x14ac:dyDescent="0.25">
      <c r="A61" s="52">
        <v>43938</v>
      </c>
      <c r="B61" s="13">
        <v>-0.16816999999999999</v>
      </c>
      <c r="C61" s="52">
        <v>44090</v>
      </c>
      <c r="D61" s="13">
        <v>-0.05</v>
      </c>
      <c r="E61" s="52">
        <v>46129</v>
      </c>
      <c r="F61" s="13">
        <v>-0.41225000000000001</v>
      </c>
    </row>
    <row r="62" spans="1:6" x14ac:dyDescent="0.25">
      <c r="A62" s="52"/>
      <c r="C62" s="52">
        <v>44181</v>
      </c>
      <c r="D62" s="13">
        <v>-0.05</v>
      </c>
      <c r="E62" s="52">
        <v>46494</v>
      </c>
      <c r="F62" s="13">
        <v>-0.39800000000000002</v>
      </c>
    </row>
    <row r="63" spans="1:6" x14ac:dyDescent="0.25">
      <c r="A63" s="52"/>
      <c r="C63" s="52">
        <v>44272</v>
      </c>
      <c r="D63" s="13">
        <v>-0.05</v>
      </c>
      <c r="E63" s="52">
        <v>46860</v>
      </c>
      <c r="F63" s="13">
        <v>-0.3735</v>
      </c>
    </row>
    <row r="64" spans="1:6" x14ac:dyDescent="0.25">
      <c r="E64" s="52">
        <v>47225</v>
      </c>
      <c r="F64" s="13">
        <v>-0.33750000000000002</v>
      </c>
    </row>
    <row r="65" spans="1:6" x14ac:dyDescent="0.25">
      <c r="E65" s="52">
        <v>47590</v>
      </c>
      <c r="F65" s="13">
        <v>-0.30499999999999999</v>
      </c>
    </row>
    <row r="66" spans="1:6" x14ac:dyDescent="0.25">
      <c r="E66" s="52">
        <v>47955</v>
      </c>
      <c r="F66" s="13">
        <v>-0.26624999999999999</v>
      </c>
    </row>
    <row r="67" spans="1:6" x14ac:dyDescent="0.25">
      <c r="E67" s="52">
        <v>48321</v>
      </c>
      <c r="F67" s="13">
        <v>-0.23</v>
      </c>
    </row>
    <row r="68" spans="1:6" x14ac:dyDescent="0.25">
      <c r="E68" s="52">
        <v>48686</v>
      </c>
      <c r="F68" s="13">
        <v>-0.19</v>
      </c>
    </row>
    <row r="69" spans="1:6" x14ac:dyDescent="0.25">
      <c r="E69" s="52">
        <v>49051</v>
      </c>
      <c r="F69" s="13">
        <v>-0.14374999999999999</v>
      </c>
    </row>
    <row r="70" spans="1:6" x14ac:dyDescent="0.25">
      <c r="E70" s="52">
        <v>49416</v>
      </c>
      <c r="F70" s="13">
        <v>-0.114</v>
      </c>
    </row>
    <row r="71" spans="1:6" x14ac:dyDescent="0.25">
      <c r="E71" s="52">
        <v>49782</v>
      </c>
      <c r="F71" s="13">
        <v>-7.9250000000000001E-2</v>
      </c>
    </row>
    <row r="72" spans="1:6" x14ac:dyDescent="0.25">
      <c r="E72" s="52">
        <v>50877</v>
      </c>
      <c r="F72" s="13">
        <v>2.1250000000000002E-2</v>
      </c>
    </row>
    <row r="73" spans="1:6" x14ac:dyDescent="0.25">
      <c r="E73" s="52">
        <v>52704</v>
      </c>
      <c r="F73" s="13">
        <v>0.13625000000000001</v>
      </c>
    </row>
    <row r="74" spans="1:6" x14ac:dyDescent="0.25">
      <c r="E74" s="52">
        <v>54530</v>
      </c>
      <c r="F74" s="13">
        <v>0.2175</v>
      </c>
    </row>
    <row r="75" spans="1:6" x14ac:dyDescent="0.25">
      <c r="E75" s="52">
        <v>58182</v>
      </c>
      <c r="F75" s="13">
        <v>0.29062500000000002</v>
      </c>
    </row>
    <row r="76" spans="1:6" x14ac:dyDescent="0.25">
      <c r="E76" s="52">
        <v>58548</v>
      </c>
      <c r="F76" s="13">
        <v>0.29062500000000002</v>
      </c>
    </row>
    <row r="79" spans="1:6" x14ac:dyDescent="0.25">
      <c r="A79" s="71" t="s">
        <v>2</v>
      </c>
      <c r="B79" s="71">
        <v>7</v>
      </c>
      <c r="C79" s="71"/>
      <c r="D79" s="71">
        <v>7</v>
      </c>
      <c r="E79" s="71"/>
      <c r="F79" s="71">
        <v>100</v>
      </c>
    </row>
    <row r="80" spans="1:6" x14ac:dyDescent="0.25">
      <c r="A80" s="71" t="s">
        <v>5</v>
      </c>
      <c r="B80" s="71" t="s">
        <v>6</v>
      </c>
      <c r="C80" s="71" t="s">
        <v>7</v>
      </c>
      <c r="D80" s="71" t="s">
        <v>8</v>
      </c>
      <c r="E80" s="71" t="s">
        <v>9</v>
      </c>
      <c r="F80" s="71" t="s">
        <v>10</v>
      </c>
    </row>
    <row r="81" spans="1:6" x14ac:dyDescent="0.25">
      <c r="A81" s="52">
        <v>43573</v>
      </c>
      <c r="B81" s="13">
        <v>0.67188000000000003</v>
      </c>
      <c r="C81" s="52">
        <v>43635</v>
      </c>
      <c r="D81" s="13">
        <v>0.84875</v>
      </c>
      <c r="E81" s="52">
        <v>44303</v>
      </c>
      <c r="F81" s="13">
        <v>1.0887500000000001</v>
      </c>
    </row>
    <row r="82" spans="1:6" x14ac:dyDescent="0.25">
      <c r="A82" s="52">
        <v>43602</v>
      </c>
      <c r="B82" s="13">
        <v>0.73250000000000004</v>
      </c>
      <c r="C82" s="52">
        <v>43726</v>
      </c>
      <c r="D82" s="13">
        <v>0.89875000000000005</v>
      </c>
      <c r="E82" s="52">
        <v>44668</v>
      </c>
      <c r="F82" s="13">
        <v>1.1737500000000001</v>
      </c>
    </row>
    <row r="83" spans="1:6" x14ac:dyDescent="0.25">
      <c r="A83" s="52">
        <v>43633</v>
      </c>
      <c r="B83" s="13">
        <v>0.77188000000000001</v>
      </c>
      <c r="C83" s="52">
        <v>43817</v>
      </c>
      <c r="D83" s="13">
        <v>0.95374999999999999</v>
      </c>
      <c r="E83" s="52">
        <v>45033</v>
      </c>
      <c r="F83" s="13">
        <v>1.2415</v>
      </c>
    </row>
    <row r="84" spans="1:6" x14ac:dyDescent="0.25">
      <c r="A84" s="52">
        <v>43663</v>
      </c>
      <c r="B84" s="13">
        <v>0.82525000000000004</v>
      </c>
      <c r="C84" s="52">
        <v>43908</v>
      </c>
      <c r="D84" s="13">
        <v>0.97375</v>
      </c>
      <c r="E84" s="52">
        <v>45399</v>
      </c>
      <c r="F84" s="13">
        <v>1.2982499999999999</v>
      </c>
    </row>
    <row r="85" spans="1:6" x14ac:dyDescent="0.25">
      <c r="A85" s="52">
        <v>43755</v>
      </c>
      <c r="B85" s="13">
        <v>0.94725000000000004</v>
      </c>
      <c r="C85" s="52">
        <v>43999</v>
      </c>
      <c r="D85" s="13">
        <v>1.01875</v>
      </c>
      <c r="E85" s="52">
        <v>45764</v>
      </c>
      <c r="F85" s="13">
        <v>1.34975</v>
      </c>
    </row>
    <row r="86" spans="1:6" x14ac:dyDescent="0.25">
      <c r="A86" s="52">
        <v>43938</v>
      </c>
      <c r="B86" s="13">
        <v>1.1001300000000001</v>
      </c>
      <c r="C86" s="52">
        <v>44090</v>
      </c>
      <c r="D86" s="13">
        <v>1.07375</v>
      </c>
      <c r="E86" s="52">
        <v>46129</v>
      </c>
      <c r="F86" s="13">
        <v>1.3979999999999999</v>
      </c>
    </row>
    <row r="87" spans="1:6" x14ac:dyDescent="0.25">
      <c r="A87" s="52"/>
      <c r="C87" s="52">
        <v>44181</v>
      </c>
      <c r="D87" s="13">
        <v>1.12375</v>
      </c>
      <c r="E87" s="52">
        <v>46494</v>
      </c>
      <c r="F87" s="13">
        <v>1.44075</v>
      </c>
    </row>
    <row r="88" spans="1:6" x14ac:dyDescent="0.25">
      <c r="C88" s="52">
        <v>44272</v>
      </c>
      <c r="D88" s="13">
        <v>1.1537500000000001</v>
      </c>
      <c r="E88" s="52">
        <v>46860</v>
      </c>
      <c r="F88" s="13">
        <v>1.48125</v>
      </c>
    </row>
    <row r="89" spans="1:6" x14ac:dyDescent="0.25">
      <c r="E89" s="52">
        <v>47225</v>
      </c>
      <c r="F89" s="13">
        <v>1.5172000000000001</v>
      </c>
    </row>
    <row r="90" spans="1:6" x14ac:dyDescent="0.25">
      <c r="E90" s="52">
        <v>47590</v>
      </c>
      <c r="F90" s="13">
        <v>1.5505</v>
      </c>
    </row>
    <row r="91" spans="1:6" x14ac:dyDescent="0.25">
      <c r="E91" s="52">
        <v>47955</v>
      </c>
      <c r="F91" s="13">
        <v>1.5762499999999999</v>
      </c>
    </row>
    <row r="92" spans="1:6" x14ac:dyDescent="0.25">
      <c r="E92" s="52">
        <v>48321</v>
      </c>
      <c r="F92" s="13">
        <v>1.5942499999999999</v>
      </c>
    </row>
    <row r="93" spans="1:6" x14ac:dyDescent="0.25">
      <c r="E93" s="52">
        <v>48686</v>
      </c>
      <c r="F93" s="13">
        <v>1.60775</v>
      </c>
    </row>
    <row r="94" spans="1:6" x14ac:dyDescent="0.25">
      <c r="E94" s="52">
        <v>49051</v>
      </c>
      <c r="F94" s="13">
        <v>1.6178999999999999</v>
      </c>
    </row>
    <row r="95" spans="1:6" x14ac:dyDescent="0.25">
      <c r="E95" s="52">
        <v>49416</v>
      </c>
      <c r="F95" s="13">
        <v>1.6274999999999999</v>
      </c>
    </row>
    <row r="96" spans="1:6" x14ac:dyDescent="0.25">
      <c r="E96" s="52">
        <v>49782</v>
      </c>
      <c r="F96" s="13">
        <v>1.63425</v>
      </c>
    </row>
    <row r="97" spans="1:6" x14ac:dyDescent="0.25">
      <c r="E97" s="52">
        <v>50877</v>
      </c>
      <c r="F97" s="13">
        <v>1.6428</v>
      </c>
    </row>
    <row r="98" spans="1:6" x14ac:dyDescent="0.25">
      <c r="E98" s="52">
        <v>52704</v>
      </c>
      <c r="F98" s="13">
        <v>1.6445000000000001</v>
      </c>
    </row>
    <row r="99" spans="1:6" x14ac:dyDescent="0.25">
      <c r="E99" s="52">
        <v>54530</v>
      </c>
      <c r="F99" s="13">
        <v>1.66092</v>
      </c>
    </row>
    <row r="100" spans="1:6" x14ac:dyDescent="0.25">
      <c r="E100" s="52">
        <v>58182</v>
      </c>
      <c r="F100" s="13">
        <v>1.6708499999999999</v>
      </c>
    </row>
    <row r="101" spans="1:6" x14ac:dyDescent="0.25">
      <c r="E101" s="52">
        <v>58548</v>
      </c>
      <c r="F101" s="13">
        <v>1.6708499999999999</v>
      </c>
    </row>
    <row r="104" spans="1:6" x14ac:dyDescent="0.25">
      <c r="A104" s="71" t="s">
        <v>13</v>
      </c>
      <c r="B104" s="71">
        <v>7</v>
      </c>
      <c r="C104" s="71"/>
      <c r="D104" s="71">
        <v>7</v>
      </c>
      <c r="E104" s="71"/>
      <c r="F104" s="71">
        <v>100</v>
      </c>
    </row>
    <row r="105" spans="1:6" x14ac:dyDescent="0.25">
      <c r="A105" s="71" t="s">
        <v>5</v>
      </c>
      <c r="B105" s="71" t="s">
        <v>6</v>
      </c>
      <c r="C105" s="71" t="s">
        <v>7</v>
      </c>
      <c r="D105" s="71" t="s">
        <v>8</v>
      </c>
      <c r="E105" s="71" t="s">
        <v>9</v>
      </c>
      <c r="F105" s="71" t="s">
        <v>10</v>
      </c>
    </row>
    <row r="106" spans="1:6" x14ac:dyDescent="0.25">
      <c r="A106" s="52">
        <v>43573</v>
      </c>
      <c r="B106" s="13">
        <v>-0.89610000000000001</v>
      </c>
      <c r="C106" s="52">
        <v>43635</v>
      </c>
      <c r="D106" s="13">
        <v>-0.8125</v>
      </c>
      <c r="E106" s="52">
        <v>44303</v>
      </c>
      <c r="F106" s="13">
        <v>-0.71750000000000003</v>
      </c>
    </row>
    <row r="107" spans="1:6" x14ac:dyDescent="0.25">
      <c r="A107" s="52">
        <v>43602</v>
      </c>
      <c r="B107" s="13">
        <v>-0.88929999999999998</v>
      </c>
      <c r="C107" s="52">
        <v>43726</v>
      </c>
      <c r="D107" s="13">
        <v>-0.83250000000000002</v>
      </c>
      <c r="E107" s="52">
        <v>44668</v>
      </c>
      <c r="F107" s="13">
        <v>-0.65200000000000002</v>
      </c>
    </row>
    <row r="108" spans="1:6" x14ac:dyDescent="0.25">
      <c r="A108" s="52">
        <v>43633</v>
      </c>
      <c r="B108" s="13">
        <v>-0.8377</v>
      </c>
      <c r="C108" s="52">
        <v>43817</v>
      </c>
      <c r="D108" s="13">
        <v>-0.82250000000000001</v>
      </c>
      <c r="E108" s="52">
        <v>45033</v>
      </c>
      <c r="F108" s="13">
        <v>-0.56899999999999995</v>
      </c>
    </row>
    <row r="109" spans="1:6" x14ac:dyDescent="0.25">
      <c r="A109" s="52">
        <v>43663</v>
      </c>
      <c r="B109" s="13">
        <v>-0.81869999999999998</v>
      </c>
      <c r="C109" s="52">
        <v>43908</v>
      </c>
      <c r="D109" s="13">
        <v>-0.8125</v>
      </c>
      <c r="E109" s="52">
        <v>45399</v>
      </c>
      <c r="F109" s="13">
        <v>-0.48599999999999999</v>
      </c>
    </row>
    <row r="110" spans="1:6" x14ac:dyDescent="0.25">
      <c r="A110" s="52">
        <v>43755</v>
      </c>
      <c r="B110" s="13">
        <v>-0.75349999999999995</v>
      </c>
      <c r="C110" s="52">
        <v>43999</v>
      </c>
      <c r="D110" s="13">
        <v>-0.79249999999999998</v>
      </c>
      <c r="E110" s="52">
        <v>45764</v>
      </c>
      <c r="F110" s="13">
        <v>-0.40579999999999999</v>
      </c>
    </row>
    <row r="111" spans="1:6" x14ac:dyDescent="0.25">
      <c r="A111" s="52">
        <v>43938</v>
      </c>
      <c r="B111" s="13">
        <v>-0.61429999999999996</v>
      </c>
      <c r="C111" s="52">
        <v>44090</v>
      </c>
      <c r="D111" s="13">
        <v>-0.76249999999999996</v>
      </c>
      <c r="E111" s="52">
        <v>46129</v>
      </c>
      <c r="F111" s="13">
        <v>-0.33050000000000002</v>
      </c>
    </row>
    <row r="112" spans="1:6" x14ac:dyDescent="0.25">
      <c r="A112" s="52"/>
      <c r="C112" s="52">
        <v>44181</v>
      </c>
      <c r="D112" s="13">
        <v>-0.72250000000000003</v>
      </c>
      <c r="E112" s="52">
        <v>46494</v>
      </c>
      <c r="F112" s="13">
        <v>-0.2475</v>
      </c>
    </row>
    <row r="113" spans="3:6" x14ac:dyDescent="0.25">
      <c r="C113" s="52">
        <v>44272</v>
      </c>
      <c r="D113" s="13">
        <v>-0.56999999999999995</v>
      </c>
      <c r="E113" s="52">
        <v>46860</v>
      </c>
      <c r="F113" s="13">
        <v>-0.16750000000000001</v>
      </c>
    </row>
    <row r="114" spans="3:6" x14ac:dyDescent="0.25">
      <c r="E114" s="52">
        <v>47225</v>
      </c>
      <c r="F114" s="13">
        <v>-9.5000000000000001E-2</v>
      </c>
    </row>
    <row r="115" spans="3:6" x14ac:dyDescent="0.25">
      <c r="E115" s="52">
        <v>47590</v>
      </c>
      <c r="F115" s="13">
        <v>-0.02</v>
      </c>
    </row>
    <row r="116" spans="3:6" x14ac:dyDescent="0.25">
      <c r="E116" s="52">
        <v>47955</v>
      </c>
      <c r="F116" s="13">
        <v>4.5499999999999999E-2</v>
      </c>
    </row>
    <row r="117" spans="3:6" x14ac:dyDescent="0.25">
      <c r="E117" s="52">
        <v>48321</v>
      </c>
      <c r="F117" s="13">
        <v>9.3333299999999994E-2</v>
      </c>
    </row>
    <row r="118" spans="3:6" x14ac:dyDescent="0.25">
      <c r="E118" s="52">
        <v>48686</v>
      </c>
      <c r="F118" s="13">
        <v>0.157967</v>
      </c>
    </row>
    <row r="119" spans="3:6" x14ac:dyDescent="0.25">
      <c r="E119" s="52">
        <v>49051</v>
      </c>
      <c r="F119" s="13">
        <v>0.2175</v>
      </c>
    </row>
    <row r="120" spans="3:6" x14ac:dyDescent="0.25">
      <c r="E120" s="52">
        <v>50877</v>
      </c>
      <c r="F120" s="13">
        <v>0.38250000000000001</v>
      </c>
    </row>
    <row r="121" spans="3:6" x14ac:dyDescent="0.25">
      <c r="E121" s="52">
        <v>52704</v>
      </c>
      <c r="F121" s="13">
        <v>0.44287500000000002</v>
      </c>
    </row>
    <row r="122" spans="3:6" x14ac:dyDescent="0.25">
      <c r="E122" s="52">
        <v>54530</v>
      </c>
      <c r="F122" s="13">
        <v>0.47625000000000001</v>
      </c>
    </row>
    <row r="123" spans="3:6" x14ac:dyDescent="0.25">
      <c r="E123" s="52">
        <v>58182</v>
      </c>
      <c r="F123" s="13">
        <v>0.49125000000000002</v>
      </c>
    </row>
    <row r="124" spans="3:6" x14ac:dyDescent="0.25">
      <c r="E124" s="52">
        <v>58548</v>
      </c>
      <c r="F124" s="13">
        <v>0.49125000000000002</v>
      </c>
    </row>
    <row r="125" spans="3:6" x14ac:dyDescent="0.25">
      <c r="E125" s="52"/>
    </row>
    <row r="129" spans="1:6" x14ac:dyDescent="0.25">
      <c r="A129" s="71" t="s">
        <v>4</v>
      </c>
      <c r="B129" s="71">
        <v>7</v>
      </c>
      <c r="C129" s="71"/>
      <c r="D129" s="71">
        <v>7</v>
      </c>
      <c r="E129" s="71"/>
      <c r="F129" s="71">
        <v>100</v>
      </c>
    </row>
    <row r="130" spans="1:6" x14ac:dyDescent="0.25">
      <c r="A130" s="71" t="s">
        <v>5</v>
      </c>
      <c r="B130" s="71" t="s">
        <v>6</v>
      </c>
      <c r="C130" s="71" t="s">
        <v>7</v>
      </c>
      <c r="D130" s="71" t="s">
        <v>8</v>
      </c>
      <c r="E130" s="71" t="s">
        <v>9</v>
      </c>
      <c r="F130" s="71" t="s">
        <v>10</v>
      </c>
    </row>
    <row r="131" spans="1:6" x14ac:dyDescent="0.25">
      <c r="A131" s="52">
        <v>43573</v>
      </c>
      <c r="B131" s="13">
        <v>1.5349999999999999</v>
      </c>
      <c r="C131" s="52">
        <v>43635</v>
      </c>
      <c r="D131" s="13">
        <v>1.8149999999999999</v>
      </c>
      <c r="E131" s="52">
        <v>44303</v>
      </c>
      <c r="F131" s="13">
        <v>1.8268</v>
      </c>
    </row>
    <row r="132" spans="1:6" x14ac:dyDescent="0.25">
      <c r="A132" s="52">
        <v>43602</v>
      </c>
      <c r="B132" s="13">
        <v>1.7625</v>
      </c>
      <c r="C132" s="52">
        <v>43726</v>
      </c>
      <c r="D132" s="13">
        <v>1.7849999999999999</v>
      </c>
      <c r="E132" s="52">
        <v>44668</v>
      </c>
      <c r="F132" s="13">
        <v>1.8562000000000001</v>
      </c>
    </row>
    <row r="133" spans="1:6" x14ac:dyDescent="0.25">
      <c r="A133" s="52">
        <v>43633</v>
      </c>
      <c r="B133" s="13">
        <v>1.7849999999999999</v>
      </c>
      <c r="C133" s="52">
        <v>43817</v>
      </c>
      <c r="D133" s="13">
        <v>1.8049999999999999</v>
      </c>
      <c r="E133" s="52">
        <v>45033</v>
      </c>
      <c r="F133" s="13">
        <v>1.9056999999999999</v>
      </c>
    </row>
    <row r="134" spans="1:6" x14ac:dyDescent="0.25">
      <c r="A134" s="52">
        <v>43663</v>
      </c>
      <c r="B134" s="13">
        <v>1.8025</v>
      </c>
      <c r="C134" s="52">
        <v>43908</v>
      </c>
      <c r="D134" s="13">
        <v>1.7749999999999999</v>
      </c>
      <c r="E134" s="52">
        <v>45399</v>
      </c>
      <c r="F134" s="13">
        <v>1.964</v>
      </c>
    </row>
    <row r="135" spans="1:6" x14ac:dyDescent="0.25">
      <c r="A135" s="52">
        <v>43755</v>
      </c>
      <c r="B135" s="13">
        <v>1.8812500000000001</v>
      </c>
      <c r="C135" s="52">
        <v>43999</v>
      </c>
      <c r="D135" s="13">
        <v>1.7649999999999999</v>
      </c>
      <c r="E135" s="52">
        <v>45764</v>
      </c>
      <c r="F135" s="13">
        <v>2.0175000000000001</v>
      </c>
    </row>
    <row r="136" spans="1:6" x14ac:dyDescent="0.25">
      <c r="A136" s="52">
        <v>43938</v>
      </c>
      <c r="B136" s="13">
        <v>2.0474999999999999</v>
      </c>
      <c r="C136" s="52">
        <v>44090</v>
      </c>
      <c r="D136" s="13">
        <v>1.75</v>
      </c>
      <c r="E136" s="52">
        <v>46129</v>
      </c>
      <c r="F136" s="13">
        <v>2.0688</v>
      </c>
    </row>
    <row r="137" spans="1:6" x14ac:dyDescent="0.25">
      <c r="A137" s="52"/>
      <c r="C137" s="52">
        <v>44181</v>
      </c>
      <c r="D137" s="13">
        <v>1.74</v>
      </c>
      <c r="E137" s="52">
        <v>46494</v>
      </c>
      <c r="F137" s="13">
        <v>2.1217999999999999</v>
      </c>
    </row>
    <row r="138" spans="1:6" x14ac:dyDescent="0.25">
      <c r="C138" s="52">
        <v>44272</v>
      </c>
      <c r="D138" s="13">
        <v>1.74</v>
      </c>
      <c r="E138" s="52">
        <v>46860</v>
      </c>
      <c r="F138" s="13">
        <v>2.1772999999999998</v>
      </c>
    </row>
    <row r="139" spans="1:6" x14ac:dyDescent="0.25">
      <c r="E139" s="52">
        <v>47225</v>
      </c>
      <c r="F139" s="13">
        <v>2.2216</v>
      </c>
    </row>
    <row r="140" spans="1:6" x14ac:dyDescent="0.25">
      <c r="E140" s="52">
        <v>47955</v>
      </c>
      <c r="F140" s="13">
        <v>2.32023</v>
      </c>
    </row>
    <row r="141" spans="1:6" x14ac:dyDescent="0.25">
      <c r="E141" s="52">
        <v>49051</v>
      </c>
      <c r="F141" s="13">
        <v>2.4249999999999998</v>
      </c>
    </row>
    <row r="142" spans="1:6" x14ac:dyDescent="0.25">
      <c r="E142" s="52">
        <v>50877</v>
      </c>
      <c r="F142" s="13">
        <v>2.4958999999999998</v>
      </c>
    </row>
    <row r="143" spans="1:6" x14ac:dyDescent="0.25">
      <c r="E143" s="52">
        <v>52704</v>
      </c>
      <c r="F143" s="13">
        <v>2.38015</v>
      </c>
    </row>
    <row r="144" spans="1:6" x14ac:dyDescent="0.25">
      <c r="E144" s="52">
        <v>54530</v>
      </c>
      <c r="F144" s="13">
        <v>2.3777499999999998</v>
      </c>
    </row>
    <row r="145" spans="1:6" x14ac:dyDescent="0.25">
      <c r="E145" s="52">
        <v>58182</v>
      </c>
      <c r="F145" s="13">
        <v>2.3602500000000002</v>
      </c>
    </row>
    <row r="146" spans="1:6" x14ac:dyDescent="0.25">
      <c r="E146" s="52">
        <v>58548</v>
      </c>
      <c r="F146" s="13">
        <v>2.3602500000000002</v>
      </c>
    </row>
    <row r="154" spans="1:6" x14ac:dyDescent="0.25">
      <c r="A154" s="71" t="s">
        <v>12</v>
      </c>
      <c r="B154" s="71">
        <v>7</v>
      </c>
      <c r="C154" s="71"/>
      <c r="D154" s="71">
        <v>0</v>
      </c>
      <c r="E154" s="71"/>
      <c r="F154" s="71">
        <v>100</v>
      </c>
    </row>
    <row r="155" spans="1:6" x14ac:dyDescent="0.25">
      <c r="A155" s="71" t="s">
        <v>5</v>
      </c>
      <c r="B155" s="71" t="s">
        <v>6</v>
      </c>
      <c r="C155" s="71" t="s">
        <v>7</v>
      </c>
      <c r="D155" s="71" t="s">
        <v>8</v>
      </c>
      <c r="E155" s="71" t="s">
        <v>9</v>
      </c>
      <c r="F155" s="71" t="s">
        <v>10</v>
      </c>
    </row>
    <row r="156" spans="1:6" x14ac:dyDescent="0.25">
      <c r="A156" s="52">
        <v>43602</v>
      </c>
      <c r="B156" s="13">
        <v>5.3277999999999999</v>
      </c>
      <c r="C156" s="52"/>
      <c r="E156" s="52">
        <v>44303</v>
      </c>
      <c r="F156" s="13">
        <v>5.48</v>
      </c>
    </row>
    <row r="157" spans="1:6" x14ac:dyDescent="0.25">
      <c r="A157" s="52">
        <v>43633</v>
      </c>
      <c r="B157" s="13">
        <v>5.3277999999999999</v>
      </c>
      <c r="C157" s="52"/>
      <c r="E157" s="52">
        <v>44668</v>
      </c>
      <c r="F157" s="13">
        <v>5.7721999999999998</v>
      </c>
    </row>
    <row r="158" spans="1:6" x14ac:dyDescent="0.25">
      <c r="A158" s="52">
        <v>43663</v>
      </c>
      <c r="B158" s="13">
        <v>5.3468999999999998</v>
      </c>
      <c r="C158" s="52"/>
      <c r="E158" s="52">
        <v>45033</v>
      </c>
      <c r="F158" s="13">
        <v>6.0785</v>
      </c>
    </row>
    <row r="159" spans="1:6" x14ac:dyDescent="0.25">
      <c r="A159" s="52">
        <v>43755</v>
      </c>
      <c r="B159" s="13">
        <v>5.3712999999999997</v>
      </c>
      <c r="C159" s="52"/>
      <c r="E159" s="52">
        <v>45399</v>
      </c>
      <c r="F159" s="13">
        <v>6.4847000000000001</v>
      </c>
    </row>
    <row r="160" spans="1:6" x14ac:dyDescent="0.25">
      <c r="A160" s="52">
        <v>43938</v>
      </c>
      <c r="B160" s="13">
        <v>5.3924000000000003</v>
      </c>
      <c r="C160" s="52"/>
      <c r="E160" s="52">
        <v>45764</v>
      </c>
      <c r="F160" s="13">
        <v>6.6764000000000001</v>
      </c>
    </row>
    <row r="161" spans="1:6" x14ac:dyDescent="0.25">
      <c r="A161" s="52">
        <v>44244</v>
      </c>
      <c r="B161" s="13">
        <v>5.3924000000000003</v>
      </c>
      <c r="C161" s="52"/>
      <c r="E161" s="52">
        <v>46129</v>
      </c>
      <c r="F161" s="13">
        <v>8.4314</v>
      </c>
    </row>
    <row r="162" spans="1:6" x14ac:dyDescent="0.25">
      <c r="A162" s="52"/>
      <c r="C162" s="52"/>
      <c r="E162" s="52">
        <v>46494</v>
      </c>
      <c r="F162" s="13">
        <v>8.4344000000000001</v>
      </c>
    </row>
    <row r="163" spans="1:6" x14ac:dyDescent="0.25">
      <c r="A163" s="52"/>
      <c r="C163" s="52"/>
      <c r="E163" s="52">
        <v>46860</v>
      </c>
      <c r="F163" s="13">
        <v>8.4344000000000001</v>
      </c>
    </row>
    <row r="164" spans="1:6" x14ac:dyDescent="0.25">
      <c r="E164" s="52">
        <v>47225</v>
      </c>
      <c r="F164" s="13">
        <v>8.4344000000000001</v>
      </c>
    </row>
    <row r="165" spans="1:6" x14ac:dyDescent="0.25">
      <c r="E165" s="52">
        <v>47955</v>
      </c>
      <c r="F165" s="13">
        <v>8.4770000000000003</v>
      </c>
    </row>
    <row r="166" spans="1:6" x14ac:dyDescent="0.25">
      <c r="E166" s="52">
        <v>49051</v>
      </c>
      <c r="F166" s="13">
        <v>8.5899400000000004</v>
      </c>
    </row>
    <row r="167" spans="1:6" x14ac:dyDescent="0.25">
      <c r="E167" s="52">
        <v>50877</v>
      </c>
      <c r="F167" s="13">
        <v>8.7781000000000002</v>
      </c>
    </row>
    <row r="168" spans="1:6" x14ac:dyDescent="0.25">
      <c r="E168" s="52">
        <v>52704</v>
      </c>
      <c r="F168" s="13">
        <v>8.9286499999999993</v>
      </c>
    </row>
    <row r="169" spans="1:6" x14ac:dyDescent="0.25">
      <c r="E169" s="52">
        <v>54530</v>
      </c>
      <c r="F169" s="13">
        <v>9.0039300000000004</v>
      </c>
    </row>
    <row r="170" spans="1:6" x14ac:dyDescent="0.25">
      <c r="E170" s="52">
        <v>58182</v>
      </c>
      <c r="F170" s="13">
        <v>9.0415600000000005</v>
      </c>
    </row>
    <row r="171" spans="1:6" x14ac:dyDescent="0.25">
      <c r="E171" s="52">
        <v>58548</v>
      </c>
      <c r="F171" s="13">
        <v>9.0509699999999995</v>
      </c>
    </row>
    <row r="172" spans="1:6" x14ac:dyDescent="0.25">
      <c r="E172" s="52"/>
    </row>
    <row r="173" spans="1:6" x14ac:dyDescent="0.25">
      <c r="E173" s="52"/>
    </row>
    <row r="174" spans="1:6" x14ac:dyDescent="0.25">
      <c r="E174" s="52"/>
    </row>
    <row r="175" spans="1:6" x14ac:dyDescent="0.25">
      <c r="E175" s="52"/>
    </row>
    <row r="179" spans="1:6" x14ac:dyDescent="0.25">
      <c r="A179" s="71" t="s">
        <v>14</v>
      </c>
      <c r="B179" s="71">
        <v>6</v>
      </c>
      <c r="C179" s="71"/>
      <c r="D179" s="71">
        <v>0</v>
      </c>
      <c r="E179" s="71"/>
      <c r="F179" s="71">
        <v>100</v>
      </c>
    </row>
    <row r="180" spans="1:6" x14ac:dyDescent="0.25">
      <c r="A180" s="71" t="s">
        <v>5</v>
      </c>
      <c r="B180" s="71" t="s">
        <v>6</v>
      </c>
      <c r="C180" s="71" t="s">
        <v>7</v>
      </c>
      <c r="D180" s="71" t="s">
        <v>8</v>
      </c>
      <c r="E180" s="71" t="s">
        <v>9</v>
      </c>
      <c r="F180" s="71" t="s">
        <v>10</v>
      </c>
    </row>
    <row r="181" spans="1:6" x14ac:dyDescent="0.25">
      <c r="A181" s="52">
        <v>43573</v>
      </c>
      <c r="B181" s="13">
        <v>4.25</v>
      </c>
      <c r="C181" s="52"/>
      <c r="E181" s="52">
        <v>44169</v>
      </c>
      <c r="F181" s="13">
        <v>4.5350000000000001</v>
      </c>
    </row>
    <row r="182" spans="1:6" x14ac:dyDescent="0.25">
      <c r="A182" s="52">
        <v>43602</v>
      </c>
      <c r="B182" s="13">
        <v>4.125</v>
      </c>
      <c r="C182" s="52"/>
      <c r="E182" s="52">
        <v>44534</v>
      </c>
      <c r="F182" s="13">
        <v>4.7750000000000004</v>
      </c>
    </row>
    <row r="183" spans="1:6" x14ac:dyDescent="0.25">
      <c r="A183" s="52">
        <v>43633</v>
      </c>
      <c r="B183" s="13">
        <v>4.13</v>
      </c>
      <c r="C183" s="52"/>
      <c r="E183" s="52">
        <v>44899</v>
      </c>
      <c r="F183" s="13">
        <v>5.0149999999999997</v>
      </c>
    </row>
    <row r="184" spans="1:6" x14ac:dyDescent="0.25">
      <c r="A184" s="52">
        <v>43663</v>
      </c>
      <c r="B184" s="13">
        <v>4.1349999999999998</v>
      </c>
      <c r="C184" s="52"/>
      <c r="E184" s="52">
        <v>45264</v>
      </c>
      <c r="F184" s="13">
        <v>5.18</v>
      </c>
    </row>
    <row r="185" spans="1:6" x14ac:dyDescent="0.25">
      <c r="A185" s="52">
        <v>43755</v>
      </c>
      <c r="B185" s="13">
        <v>4.2850000000000001</v>
      </c>
      <c r="C185" s="52"/>
      <c r="E185" s="52">
        <v>45630</v>
      </c>
      <c r="F185" s="13">
        <v>5.33</v>
      </c>
    </row>
    <row r="186" spans="1:6" x14ac:dyDescent="0.25">
      <c r="A186" s="52">
        <v>43938</v>
      </c>
      <c r="B186" s="13">
        <v>4.3499999999999996</v>
      </c>
      <c r="C186" s="52"/>
      <c r="E186" s="52">
        <v>45995</v>
      </c>
      <c r="F186" s="13">
        <v>5.49</v>
      </c>
    </row>
    <row r="187" spans="1:6" x14ac:dyDescent="0.25">
      <c r="A187" s="52"/>
      <c r="C187" s="52"/>
      <c r="E187" s="52">
        <v>46360</v>
      </c>
      <c r="F187" s="13">
        <v>5.6150000000000002</v>
      </c>
    </row>
    <row r="188" spans="1:6" x14ac:dyDescent="0.25">
      <c r="A188" s="52"/>
      <c r="C188" s="52"/>
      <c r="E188" s="52">
        <v>46725</v>
      </c>
      <c r="F188" s="13">
        <v>5.7249999999999996</v>
      </c>
    </row>
    <row r="189" spans="1:6" x14ac:dyDescent="0.25">
      <c r="E189" s="52">
        <v>47091</v>
      </c>
      <c r="F189" s="13">
        <v>5.8150000000000004</v>
      </c>
    </row>
    <row r="190" spans="1:6" x14ac:dyDescent="0.25">
      <c r="E190" s="52">
        <v>47456</v>
      </c>
      <c r="F190" s="13">
        <v>5.8775000000000004</v>
      </c>
    </row>
    <row r="191" spans="1:6" x14ac:dyDescent="0.25">
      <c r="E191" s="52">
        <v>47821</v>
      </c>
      <c r="F191" s="13">
        <v>5.94</v>
      </c>
    </row>
    <row r="192" spans="1:6" x14ac:dyDescent="0.25">
      <c r="E192" s="52">
        <v>48186</v>
      </c>
      <c r="F192" s="13">
        <v>5.9950000000000001</v>
      </c>
    </row>
    <row r="193" spans="5:6" x14ac:dyDescent="0.25">
      <c r="E193" s="52">
        <v>48552</v>
      </c>
      <c r="F193" s="13">
        <v>6.05</v>
      </c>
    </row>
    <row r="194" spans="5:6" x14ac:dyDescent="0.25">
      <c r="E194" s="52">
        <v>48917</v>
      </c>
      <c r="F194" s="13">
        <v>6.1050000000000004</v>
      </c>
    </row>
    <row r="195" spans="5:6" x14ac:dyDescent="0.25">
      <c r="E195" s="52">
        <v>49282</v>
      </c>
      <c r="F195" s="13">
        <v>6.1479999999999997</v>
      </c>
    </row>
    <row r="196" spans="5:6" x14ac:dyDescent="0.25">
      <c r="E196" s="52">
        <v>49647</v>
      </c>
      <c r="F196" s="13">
        <v>6.1909999999999998</v>
      </c>
    </row>
    <row r="197" spans="5:6" x14ac:dyDescent="0.25">
      <c r="E197" s="52">
        <v>50743</v>
      </c>
      <c r="F197" s="13">
        <v>6.32</v>
      </c>
    </row>
    <row r="198" spans="5:6" x14ac:dyDescent="0.25">
      <c r="E198" s="52">
        <v>52569</v>
      </c>
      <c r="F198" s="13">
        <v>6.32</v>
      </c>
    </row>
    <row r="199" spans="5:6" x14ac:dyDescent="0.25">
      <c r="E199" s="52">
        <v>54396</v>
      </c>
      <c r="F199" s="13">
        <v>6.32</v>
      </c>
    </row>
    <row r="200" spans="5:6" x14ac:dyDescent="0.25">
      <c r="E200" s="52">
        <v>58048</v>
      </c>
      <c r="F200" s="13">
        <v>6.32</v>
      </c>
    </row>
    <row r="201" spans="5:6" x14ac:dyDescent="0.25">
      <c r="E201" s="5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C3AFC-C1DA-47E6-AD93-40DB73C18584}">
  <sheetPr codeName="Sheet5"/>
  <dimension ref="A1:E16"/>
  <sheetViews>
    <sheetView workbookViewId="0">
      <selection activeCell="E16" sqref="E16"/>
    </sheetView>
  </sheetViews>
  <sheetFormatPr defaultRowHeight="14.4" x14ac:dyDescent="0.3"/>
  <cols>
    <col min="1" max="2" width="17.44140625" customWidth="1"/>
    <col min="3" max="3" width="11.44140625" customWidth="1"/>
    <col min="5" max="5" width="13.33203125" customWidth="1"/>
  </cols>
  <sheetData>
    <row r="1" spans="1:5" ht="18" x14ac:dyDescent="0.3">
      <c r="A1" s="57" t="s">
        <v>126</v>
      </c>
      <c r="B1" s="58" t="s">
        <v>127</v>
      </c>
      <c r="C1" s="57" t="s">
        <v>11</v>
      </c>
      <c r="D1" s="3"/>
      <c r="E1" s="3"/>
    </row>
    <row r="2" spans="1:5" x14ac:dyDescent="0.3">
      <c r="A2" s="29" t="s">
        <v>87</v>
      </c>
      <c r="B2" s="29">
        <v>1.3931</v>
      </c>
      <c r="C2" s="3" t="s">
        <v>131</v>
      </c>
      <c r="D2" s="3"/>
      <c r="E2" s="5"/>
    </row>
    <row r="3" spans="1:5" x14ac:dyDescent="0.3">
      <c r="A3" s="29" t="s">
        <v>81</v>
      </c>
      <c r="B3" s="29">
        <v>3.9407999999999999</v>
      </c>
      <c r="C3" s="3" t="s">
        <v>12</v>
      </c>
      <c r="D3" s="3"/>
      <c r="E3" s="5"/>
    </row>
    <row r="4" spans="1:5" x14ac:dyDescent="0.3">
      <c r="A4" s="29" t="s">
        <v>80</v>
      </c>
      <c r="B4" s="29">
        <v>1.3341000000000001</v>
      </c>
      <c r="C4" s="3" t="s">
        <v>4</v>
      </c>
      <c r="D4" s="3"/>
      <c r="E4" s="5"/>
    </row>
    <row r="5" spans="1:5" x14ac:dyDescent="0.3">
      <c r="A5" s="29" t="s">
        <v>88</v>
      </c>
      <c r="B5" s="29">
        <v>1.0105</v>
      </c>
      <c r="C5" s="3" t="s">
        <v>13</v>
      </c>
      <c r="D5" s="3"/>
      <c r="E5" s="5"/>
    </row>
    <row r="6" spans="1:5" x14ac:dyDescent="0.3">
      <c r="A6" s="60" t="s">
        <v>89</v>
      </c>
      <c r="B6" s="29">
        <v>3160.87</v>
      </c>
      <c r="C6" s="3" t="s">
        <v>14</v>
      </c>
      <c r="D6" s="3"/>
      <c r="E6" s="5"/>
    </row>
    <row r="7" spans="1:5" x14ac:dyDescent="0.3">
      <c r="A7" s="60" t="s">
        <v>77</v>
      </c>
      <c r="B7" s="29">
        <v>0.88529999999999998</v>
      </c>
      <c r="C7" s="3" t="s">
        <v>1</v>
      </c>
      <c r="D7" s="3"/>
      <c r="E7" s="5"/>
    </row>
    <row r="8" spans="1:5" x14ac:dyDescent="0.3">
      <c r="A8" s="60" t="s">
        <v>78</v>
      </c>
      <c r="B8" s="29">
        <v>0.76649999999999996</v>
      </c>
      <c r="C8" s="3" t="s">
        <v>2</v>
      </c>
      <c r="D8" s="3"/>
      <c r="E8" s="5"/>
    </row>
    <row r="9" spans="1:5" x14ac:dyDescent="0.3">
      <c r="A9" s="60" t="s">
        <v>79</v>
      </c>
      <c r="B9" s="29">
        <v>112.06</v>
      </c>
      <c r="C9" s="3" t="s">
        <v>3</v>
      </c>
      <c r="D9" s="3"/>
      <c r="E9" s="5"/>
    </row>
    <row r="10" spans="1:5" x14ac:dyDescent="0.3">
      <c r="A10" s="60" t="s">
        <v>115</v>
      </c>
      <c r="B10" s="29">
        <v>1132.32</v>
      </c>
      <c r="C10" s="3" t="s">
        <v>132</v>
      </c>
      <c r="D10" s="3"/>
      <c r="E10" s="5"/>
    </row>
    <row r="11" spans="1:5" x14ac:dyDescent="0.3">
      <c r="A11" s="60" t="s">
        <v>116</v>
      </c>
      <c r="B11" s="29">
        <v>8.4948999999999995</v>
      </c>
      <c r="C11" s="3" t="s">
        <v>133</v>
      </c>
      <c r="D11" s="3"/>
      <c r="E11" s="5"/>
    </row>
    <row r="12" spans="1:5" x14ac:dyDescent="0.3">
      <c r="A12" s="29" t="s">
        <v>118</v>
      </c>
      <c r="B12" s="29">
        <v>1.4863999999999999</v>
      </c>
      <c r="C12" s="3" t="s">
        <v>134</v>
      </c>
      <c r="D12" s="3"/>
      <c r="E12" s="5"/>
    </row>
    <row r="13" spans="1:5" x14ac:dyDescent="0.3">
      <c r="A13" s="29" t="s">
        <v>119</v>
      </c>
      <c r="B13" s="29">
        <v>3.7502</v>
      </c>
      <c r="C13" s="3" t="s">
        <v>135</v>
      </c>
      <c r="D13" s="3"/>
      <c r="E13" s="5"/>
    </row>
    <row r="14" spans="1:5" x14ac:dyDescent="0.3">
      <c r="A14" s="29" t="s">
        <v>91</v>
      </c>
      <c r="B14" s="29">
        <v>9.2486999999999995</v>
      </c>
      <c r="C14" s="3" t="s">
        <v>136</v>
      </c>
      <c r="D14" s="3"/>
      <c r="E14" s="5"/>
    </row>
    <row r="15" spans="1:5" x14ac:dyDescent="0.3">
      <c r="A15" s="29" t="s">
        <v>90</v>
      </c>
      <c r="B15" s="29">
        <v>30.777999999999999</v>
      </c>
      <c r="C15" s="3" t="s">
        <v>137</v>
      </c>
      <c r="D15" s="3"/>
      <c r="E15" s="5"/>
    </row>
    <row r="16" spans="1:5" x14ac:dyDescent="0.3">
      <c r="A16" s="29" t="s">
        <v>117</v>
      </c>
      <c r="B16" s="29">
        <v>1</v>
      </c>
      <c r="C16" s="2" t="s">
        <v>0</v>
      </c>
      <c r="D16" s="2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D0FC-6518-47AF-B3E8-D494277BEFD1}">
  <sheetPr codeName="Sheet4"/>
  <dimension ref="A1:V80"/>
  <sheetViews>
    <sheetView workbookViewId="0">
      <selection activeCell="G13" sqref="G13"/>
    </sheetView>
  </sheetViews>
  <sheetFormatPr defaultColWidth="9.109375" defaultRowHeight="13.8" x14ac:dyDescent="0.25"/>
  <cols>
    <col min="1" max="1" width="25.109375" style="29" customWidth="1"/>
    <col min="2" max="2" width="20.5546875" style="13" customWidth="1"/>
    <col min="3" max="16384" width="9.109375" style="13"/>
  </cols>
  <sheetData>
    <row r="1" spans="1:22" x14ac:dyDescent="0.25">
      <c r="A1" s="70" t="s">
        <v>37</v>
      </c>
      <c r="B1" s="77" t="s">
        <v>38</v>
      </c>
      <c r="C1" s="154" t="s">
        <v>39</v>
      </c>
      <c r="D1" s="154"/>
      <c r="E1" s="154"/>
      <c r="F1" s="154"/>
    </row>
    <row r="2" spans="1:22" s="29" customFormat="1" x14ac:dyDescent="0.3">
      <c r="A2" s="72">
        <f ca="1">Pre_Date</f>
        <v>43572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22" s="29" customFormat="1" x14ac:dyDescent="0.3">
      <c r="A3" s="70" t="s">
        <v>40</v>
      </c>
      <c r="B3" s="73">
        <v>2.5000000000000001E-3</v>
      </c>
      <c r="C3" s="73">
        <v>5.0000000000000001E-3</v>
      </c>
      <c r="D3" s="73">
        <v>7.4999999999999997E-3</v>
      </c>
      <c r="E3" s="73">
        <v>0.01</v>
      </c>
      <c r="F3" s="73">
        <v>1.4999999999999999E-2</v>
      </c>
      <c r="G3" s="73">
        <v>0.02</v>
      </c>
      <c r="H3" s="73">
        <v>2.5000000000000001E-2</v>
      </c>
      <c r="I3" s="73">
        <v>0.03</v>
      </c>
      <c r="J3" s="73">
        <v>0.04</v>
      </c>
      <c r="K3" s="73">
        <v>0.05</v>
      </c>
      <c r="L3" s="73">
        <v>0.06</v>
      </c>
      <c r="M3" s="73">
        <v>7.0000000000000007E-2</v>
      </c>
      <c r="N3" s="70"/>
      <c r="O3" s="70"/>
      <c r="P3" s="70"/>
      <c r="Q3" s="70"/>
      <c r="R3" s="70"/>
      <c r="S3" s="70"/>
      <c r="T3" s="70"/>
      <c r="U3" s="70"/>
      <c r="V3" s="70"/>
    </row>
    <row r="4" spans="1:22" x14ac:dyDescent="0.25">
      <c r="A4" s="70">
        <v>1</v>
      </c>
      <c r="B4" s="13">
        <v>132.78</v>
      </c>
      <c r="C4" s="13">
        <v>125.79</v>
      </c>
      <c r="D4" s="13">
        <v>117.51</v>
      </c>
      <c r="E4" s="13">
        <v>106.51</v>
      </c>
      <c r="F4" s="13">
        <v>82.81</v>
      </c>
      <c r="G4" s="13">
        <v>56.77</v>
      </c>
      <c r="H4" s="13">
        <v>30.19</v>
      </c>
      <c r="I4" s="13">
        <v>55.58</v>
      </c>
      <c r="J4" s="13">
        <v>119.55</v>
      </c>
      <c r="K4" s="13">
        <v>185.45</v>
      </c>
      <c r="L4" s="13">
        <v>77.5</v>
      </c>
      <c r="M4" s="13">
        <v>93.2</v>
      </c>
    </row>
    <row r="5" spans="1:22" x14ac:dyDescent="0.25">
      <c r="A5" s="70">
        <v>2</v>
      </c>
      <c r="B5" s="13">
        <v>83.64</v>
      </c>
      <c r="C5" s="13">
        <v>79.680000000000007</v>
      </c>
      <c r="D5" s="13">
        <v>75.92</v>
      </c>
      <c r="E5" s="13">
        <v>72.16</v>
      </c>
      <c r="F5" s="13">
        <v>64.650000000000006</v>
      </c>
      <c r="G5" s="13">
        <v>56.48</v>
      </c>
      <c r="H5" s="13">
        <v>45.28</v>
      </c>
      <c r="I5" s="13">
        <v>52.3</v>
      </c>
      <c r="J5" s="13">
        <v>75.23</v>
      </c>
      <c r="K5" s="13">
        <v>104.89</v>
      </c>
      <c r="L5" s="13">
        <v>82.6</v>
      </c>
      <c r="M5" s="13">
        <v>98.7</v>
      </c>
    </row>
    <row r="6" spans="1:22" x14ac:dyDescent="0.25">
      <c r="A6" s="70">
        <v>3</v>
      </c>
      <c r="B6" s="13">
        <v>81.569999999999993</v>
      </c>
      <c r="C6" s="13">
        <v>78.739999999999995</v>
      </c>
      <c r="D6" s="13">
        <v>75.900000000000006</v>
      </c>
      <c r="E6" s="13">
        <v>72.86</v>
      </c>
      <c r="F6" s="13">
        <v>66.63</v>
      </c>
      <c r="G6" s="13">
        <v>60.08</v>
      </c>
      <c r="H6" s="13">
        <v>52.15</v>
      </c>
      <c r="I6" s="13">
        <v>56.78</v>
      </c>
      <c r="J6" s="13">
        <v>71</v>
      </c>
      <c r="K6" s="13">
        <v>89.28</v>
      </c>
      <c r="L6" s="13">
        <v>91.9</v>
      </c>
      <c r="M6" s="13">
        <v>106.9</v>
      </c>
    </row>
    <row r="7" spans="1:22" x14ac:dyDescent="0.25">
      <c r="A7" s="70">
        <v>4</v>
      </c>
      <c r="B7" s="13">
        <v>80.510000000000005</v>
      </c>
      <c r="C7" s="13">
        <v>78.14</v>
      </c>
      <c r="D7" s="13">
        <v>75.75</v>
      </c>
      <c r="E7" s="13">
        <v>73.239999999999995</v>
      </c>
      <c r="F7" s="13">
        <v>67.95</v>
      </c>
      <c r="G7" s="13">
        <v>62.47</v>
      </c>
      <c r="H7" s="13">
        <v>56.46</v>
      </c>
      <c r="I7" s="13">
        <v>59.93</v>
      </c>
      <c r="J7" s="13">
        <v>70.91</v>
      </c>
      <c r="K7" s="13">
        <v>84.03</v>
      </c>
      <c r="L7" s="13">
        <v>95</v>
      </c>
      <c r="M7" s="13">
        <v>109.8</v>
      </c>
    </row>
    <row r="8" spans="1:22" x14ac:dyDescent="0.25">
      <c r="A8" s="70">
        <v>5</v>
      </c>
      <c r="B8" s="13">
        <v>78.36</v>
      </c>
      <c r="C8" s="13">
        <v>76.53</v>
      </c>
      <c r="D8" s="13">
        <v>74.489999999999995</v>
      </c>
      <c r="E8" s="13">
        <v>72.44</v>
      </c>
      <c r="F8" s="13">
        <v>68.19</v>
      </c>
      <c r="G8" s="13">
        <v>63.53</v>
      </c>
      <c r="H8" s="13">
        <v>58.91</v>
      </c>
      <c r="I8" s="13">
        <v>61.71</v>
      </c>
      <c r="J8" s="13">
        <v>70.61</v>
      </c>
      <c r="K8" s="13">
        <v>81.23</v>
      </c>
      <c r="L8" s="13">
        <v>92.2</v>
      </c>
      <c r="M8" s="13">
        <v>105.6</v>
      </c>
    </row>
    <row r="9" spans="1:22" x14ac:dyDescent="0.25">
      <c r="A9" s="70">
        <v>7</v>
      </c>
      <c r="B9" s="13">
        <v>75.510000000000005</v>
      </c>
      <c r="C9" s="13">
        <v>74.2</v>
      </c>
      <c r="D9" s="13">
        <v>72.900000000000006</v>
      </c>
      <c r="E9" s="13">
        <v>71.42</v>
      </c>
      <c r="F9" s="13">
        <v>68.37</v>
      </c>
      <c r="G9" s="13">
        <v>65.27</v>
      </c>
      <c r="H9" s="13">
        <v>62.28</v>
      </c>
      <c r="I9" s="13">
        <v>64.56</v>
      </c>
      <c r="J9" s="13">
        <v>71.489999999999995</v>
      </c>
      <c r="K9" s="13">
        <v>79.849999999999994</v>
      </c>
      <c r="L9" s="13">
        <v>88.6</v>
      </c>
      <c r="M9" s="13">
        <v>100.4</v>
      </c>
    </row>
    <row r="10" spans="1:22" x14ac:dyDescent="0.25">
      <c r="A10" s="70">
        <v>10</v>
      </c>
      <c r="B10" s="13">
        <v>73.010000000000005</v>
      </c>
      <c r="C10" s="13">
        <v>71.97</v>
      </c>
      <c r="D10" s="13">
        <v>70.86</v>
      </c>
      <c r="E10" s="13">
        <v>69.7</v>
      </c>
      <c r="F10" s="13">
        <v>67.38</v>
      </c>
      <c r="G10" s="13">
        <v>65.040000000000006</v>
      </c>
      <c r="H10" s="13">
        <v>63</v>
      </c>
      <c r="I10" s="13">
        <v>64.52</v>
      </c>
      <c r="J10" s="13">
        <v>70.040000000000006</v>
      </c>
      <c r="K10" s="13">
        <v>77.150000000000006</v>
      </c>
      <c r="L10" s="13">
        <v>85.9</v>
      </c>
      <c r="M10" s="13">
        <v>96.9</v>
      </c>
    </row>
    <row r="11" spans="1:22" x14ac:dyDescent="0.25">
      <c r="A11" s="70">
        <v>12</v>
      </c>
      <c r="B11" s="13">
        <v>71.16</v>
      </c>
      <c r="C11" s="13">
        <v>70.13</v>
      </c>
      <c r="D11" s="13">
        <v>69.14</v>
      </c>
      <c r="E11" s="13">
        <v>68.11</v>
      </c>
      <c r="F11" s="13">
        <v>65.97</v>
      </c>
      <c r="G11" s="13">
        <v>63.86</v>
      </c>
      <c r="H11" s="13">
        <v>62.08</v>
      </c>
      <c r="I11" s="13">
        <v>63.32</v>
      </c>
      <c r="J11" s="13">
        <v>68.06</v>
      </c>
      <c r="K11" s="13">
        <v>74.94</v>
      </c>
      <c r="L11" s="13">
        <v>84.4</v>
      </c>
      <c r="M11" s="13">
        <v>94.9</v>
      </c>
    </row>
    <row r="12" spans="1:22" x14ac:dyDescent="0.25">
      <c r="A12" s="70">
        <v>15</v>
      </c>
      <c r="B12" s="13">
        <v>70.11</v>
      </c>
      <c r="C12" s="13">
        <v>69.16</v>
      </c>
      <c r="D12" s="13">
        <v>68.16</v>
      </c>
      <c r="E12" s="13">
        <v>67.22</v>
      </c>
      <c r="F12" s="13">
        <v>65.22</v>
      </c>
      <c r="G12" s="13">
        <v>63.29</v>
      </c>
      <c r="H12" s="13">
        <v>61.84</v>
      </c>
      <c r="I12" s="13">
        <v>62.76</v>
      </c>
      <c r="J12" s="13">
        <v>67.06</v>
      </c>
      <c r="K12" s="13">
        <v>73.75</v>
      </c>
      <c r="L12" s="13">
        <v>83</v>
      </c>
      <c r="M12" s="13">
        <v>93.2</v>
      </c>
    </row>
    <row r="13" spans="1:22" x14ac:dyDescent="0.25">
      <c r="A13" s="70">
        <v>20</v>
      </c>
      <c r="B13" s="13">
        <v>66.86</v>
      </c>
      <c r="C13" s="13">
        <v>66.16</v>
      </c>
      <c r="D13" s="13">
        <v>65.3</v>
      </c>
      <c r="E13" s="13">
        <v>64.48</v>
      </c>
      <c r="F13" s="13">
        <v>62.92</v>
      </c>
      <c r="G13" s="13">
        <v>61.51</v>
      </c>
      <c r="H13" s="13">
        <v>60.55</v>
      </c>
      <c r="I13" s="13">
        <v>61.55</v>
      </c>
      <c r="J13" s="13">
        <v>66.11</v>
      </c>
      <c r="K13" s="13">
        <v>73.150000000000006</v>
      </c>
      <c r="L13" s="13">
        <v>80.900000000000006</v>
      </c>
      <c r="M13" s="13">
        <v>90.7</v>
      </c>
    </row>
    <row r="21" spans="1:22" x14ac:dyDescent="0.25">
      <c r="A21" s="70" t="s">
        <v>42</v>
      </c>
      <c r="B21" s="77" t="s">
        <v>38</v>
      </c>
    </row>
    <row r="22" spans="1:22" s="29" customFormat="1" x14ac:dyDescent="0.3">
      <c r="A22" s="72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</row>
    <row r="23" spans="1:22" s="29" customFormat="1" x14ac:dyDescent="0.3">
      <c r="A23" s="70" t="s">
        <v>40</v>
      </c>
      <c r="B23" s="73">
        <v>-5.0000000000000001E-3</v>
      </c>
      <c r="C23" s="73">
        <v>-2.5000000000000001E-3</v>
      </c>
      <c r="D23" s="73">
        <v>-1.2999999999999999E-3</v>
      </c>
      <c r="E23" s="73">
        <v>0</v>
      </c>
      <c r="F23" s="73">
        <v>2.5000000000000001E-3</v>
      </c>
      <c r="G23" s="73">
        <v>5.0000000000000001E-3</v>
      </c>
      <c r="H23" s="73">
        <v>0.01</v>
      </c>
      <c r="I23" s="73">
        <v>1.4999999999999999E-2</v>
      </c>
      <c r="J23" s="73">
        <v>0.02</v>
      </c>
      <c r="K23" s="73">
        <v>0.03</v>
      </c>
      <c r="L23" s="73">
        <v>0.05</v>
      </c>
      <c r="M23" s="70" t="s">
        <v>41</v>
      </c>
      <c r="N23" s="70" t="s">
        <v>41</v>
      </c>
      <c r="O23" s="70" t="s">
        <v>41</v>
      </c>
      <c r="P23" s="70" t="s">
        <v>41</v>
      </c>
      <c r="Q23" s="70" t="s">
        <v>41</v>
      </c>
      <c r="R23" s="70" t="s">
        <v>41</v>
      </c>
      <c r="S23" s="70" t="s">
        <v>41</v>
      </c>
      <c r="T23" s="70" t="s">
        <v>41</v>
      </c>
      <c r="U23" s="70" t="s">
        <v>41</v>
      </c>
      <c r="V23" s="70" t="s">
        <v>41</v>
      </c>
    </row>
    <row r="24" spans="1:22" x14ac:dyDescent="0.25">
      <c r="A24" s="70">
        <v>1</v>
      </c>
      <c r="B24" s="13">
        <v>9.0500000000000007</v>
      </c>
      <c r="C24" s="13">
        <v>14.86</v>
      </c>
      <c r="D24" s="13">
        <v>19.47</v>
      </c>
      <c r="E24" s="13">
        <v>33.799999999999997</v>
      </c>
      <c r="F24" s="13">
        <v>31.6</v>
      </c>
      <c r="G24" s="13">
        <v>38.78</v>
      </c>
      <c r="H24" s="13">
        <v>52.2</v>
      </c>
      <c r="I24" s="13">
        <v>64.72</v>
      </c>
      <c r="J24" s="13">
        <v>75.52</v>
      </c>
      <c r="K24" s="13">
        <v>96.97</v>
      </c>
      <c r="L24" s="13">
        <v>137.9</v>
      </c>
    </row>
    <row r="25" spans="1:22" x14ac:dyDescent="0.25">
      <c r="A25" s="70">
        <v>2</v>
      </c>
      <c r="B25" s="13">
        <v>15.67</v>
      </c>
      <c r="C25" s="13">
        <v>18.78</v>
      </c>
      <c r="D25" s="13">
        <v>22.55</v>
      </c>
      <c r="E25" s="13">
        <v>29.7</v>
      </c>
      <c r="F25" s="13">
        <v>32.1</v>
      </c>
      <c r="G25" s="13">
        <v>37.9</v>
      </c>
      <c r="H25" s="13">
        <v>48.64</v>
      </c>
      <c r="I25" s="13">
        <v>58.71</v>
      </c>
      <c r="J25" s="13">
        <v>68.34</v>
      </c>
      <c r="K25" s="13">
        <v>86.28</v>
      </c>
      <c r="L25" s="13">
        <v>117.67</v>
      </c>
    </row>
    <row r="26" spans="1:22" x14ac:dyDescent="0.25">
      <c r="A26" s="70">
        <v>3</v>
      </c>
      <c r="B26" s="13">
        <v>21.18</v>
      </c>
      <c r="C26" s="13">
        <v>21.37</v>
      </c>
      <c r="D26" s="13">
        <v>24.38</v>
      </c>
      <c r="E26" s="13">
        <v>28.1</v>
      </c>
      <c r="F26" s="13">
        <v>32.83</v>
      </c>
      <c r="G26" s="13">
        <v>37.49</v>
      </c>
      <c r="H26" s="13">
        <v>46.18</v>
      </c>
      <c r="I26" s="13">
        <v>54.2</v>
      </c>
      <c r="J26" s="13">
        <v>62.2</v>
      </c>
      <c r="K26" s="13">
        <v>77.22</v>
      </c>
      <c r="L26" s="13">
        <v>105.73</v>
      </c>
    </row>
    <row r="27" spans="1:22" x14ac:dyDescent="0.25">
      <c r="A27" s="70">
        <v>4</v>
      </c>
      <c r="B27" s="13">
        <v>25.44</v>
      </c>
      <c r="C27" s="13">
        <v>25.46</v>
      </c>
      <c r="D27" s="13">
        <v>28.08</v>
      </c>
      <c r="E27" s="13">
        <v>30.88</v>
      </c>
      <c r="F27" s="13">
        <v>35.619999999999997</v>
      </c>
      <c r="G27" s="13">
        <v>39.700000000000003</v>
      </c>
      <c r="H27" s="13">
        <v>47.24</v>
      </c>
      <c r="I27" s="13">
        <v>54.3</v>
      </c>
      <c r="J27" s="13">
        <v>60.95</v>
      </c>
      <c r="K27" s="13">
        <v>73.930000000000007</v>
      </c>
      <c r="L27" s="13">
        <v>98.36</v>
      </c>
    </row>
    <row r="28" spans="1:22" x14ac:dyDescent="0.25">
      <c r="A28" s="70">
        <v>5</v>
      </c>
      <c r="B28" s="13">
        <v>29.15</v>
      </c>
      <c r="C28" s="13">
        <v>29.06</v>
      </c>
      <c r="D28" s="13">
        <v>31.5</v>
      </c>
      <c r="E28" s="13">
        <v>33.93</v>
      </c>
      <c r="F28" s="13">
        <v>38.57</v>
      </c>
      <c r="G28" s="13">
        <v>42.44</v>
      </c>
      <c r="H28" s="13">
        <v>49.36</v>
      </c>
      <c r="I28" s="13">
        <v>55.78</v>
      </c>
      <c r="J28" s="13">
        <v>61.8</v>
      </c>
      <c r="K28" s="13">
        <v>73.28</v>
      </c>
      <c r="L28" s="13">
        <v>94.32</v>
      </c>
    </row>
    <row r="29" spans="1:22" x14ac:dyDescent="0.25">
      <c r="A29" s="70">
        <v>7</v>
      </c>
      <c r="B29" s="13">
        <v>34.4</v>
      </c>
      <c r="C29" s="13">
        <v>34.35</v>
      </c>
      <c r="D29" s="13">
        <v>36.9</v>
      </c>
      <c r="E29" s="13">
        <v>38.4</v>
      </c>
      <c r="F29" s="13">
        <v>42.12</v>
      </c>
      <c r="G29" s="13">
        <v>45.62</v>
      </c>
      <c r="H29" s="13">
        <v>51.41</v>
      </c>
      <c r="I29" s="13">
        <v>56.76</v>
      </c>
      <c r="J29" s="13">
        <v>61.84</v>
      </c>
      <c r="K29" s="13">
        <v>71.599999999999994</v>
      </c>
      <c r="L29" s="13">
        <v>90.24</v>
      </c>
    </row>
    <row r="30" spans="1:22" x14ac:dyDescent="0.25">
      <c r="A30" s="70">
        <v>10</v>
      </c>
      <c r="B30" s="13">
        <v>39.67</v>
      </c>
      <c r="C30" s="13">
        <v>39.78</v>
      </c>
      <c r="D30" s="13">
        <v>41.11</v>
      </c>
      <c r="E30" s="13">
        <v>42.5</v>
      </c>
      <c r="F30" s="13">
        <v>45.82</v>
      </c>
      <c r="G30" s="13">
        <v>48.65</v>
      </c>
      <c r="H30" s="13">
        <v>53.12</v>
      </c>
      <c r="I30" s="13">
        <v>57.16</v>
      </c>
      <c r="J30" s="13">
        <v>60.81</v>
      </c>
      <c r="K30" s="13">
        <v>67.44</v>
      </c>
      <c r="L30" s="13">
        <v>80.290000000000006</v>
      </c>
    </row>
    <row r="31" spans="1:22" x14ac:dyDescent="0.25">
      <c r="A31" s="70">
        <v>12</v>
      </c>
      <c r="B31" s="13">
        <v>42.13</v>
      </c>
      <c r="C31" s="13">
        <v>41.97</v>
      </c>
      <c r="D31" s="13">
        <v>43.09</v>
      </c>
      <c r="E31" s="13">
        <v>44.52</v>
      </c>
      <c r="F31" s="13">
        <v>47.11</v>
      </c>
      <c r="G31" s="13">
        <v>49.3</v>
      </c>
      <c r="H31" s="13">
        <v>53.13</v>
      </c>
      <c r="I31" s="13">
        <v>56.35</v>
      </c>
      <c r="J31" s="13">
        <v>59.36</v>
      </c>
      <c r="K31" s="13">
        <v>65.319999999999993</v>
      </c>
      <c r="L31" s="13">
        <v>78.22</v>
      </c>
    </row>
    <row r="32" spans="1:22" x14ac:dyDescent="0.25">
      <c r="A32" s="70">
        <v>15</v>
      </c>
      <c r="B32" s="13">
        <v>44.3</v>
      </c>
      <c r="C32" s="13">
        <v>44.47</v>
      </c>
      <c r="D32" s="13">
        <v>45.28</v>
      </c>
      <c r="E32" s="13">
        <v>46.39</v>
      </c>
      <c r="F32" s="13">
        <v>48.5</v>
      </c>
      <c r="G32" s="13">
        <v>50.48</v>
      </c>
      <c r="H32" s="13">
        <v>53.7</v>
      </c>
      <c r="I32" s="13">
        <v>56.38</v>
      </c>
      <c r="J32" s="13">
        <v>58.74</v>
      </c>
      <c r="K32" s="13">
        <v>63.3</v>
      </c>
      <c r="L32" s="13">
        <v>72.37</v>
      </c>
    </row>
    <row r="33" spans="1:22" x14ac:dyDescent="0.25">
      <c r="A33" s="70">
        <v>20</v>
      </c>
      <c r="B33" s="13">
        <v>45.7</v>
      </c>
      <c r="C33" s="13">
        <v>46.13</v>
      </c>
      <c r="D33" s="13">
        <v>46.86</v>
      </c>
      <c r="E33" s="13">
        <v>47.65</v>
      </c>
      <c r="F33" s="13">
        <v>49.41</v>
      </c>
      <c r="G33" s="13">
        <v>51</v>
      </c>
      <c r="H33" s="13">
        <v>53.76</v>
      </c>
      <c r="I33" s="13">
        <v>56.15</v>
      </c>
      <c r="J33" s="13">
        <v>58.31</v>
      </c>
      <c r="K33" s="13">
        <v>62.4</v>
      </c>
      <c r="L33" s="13">
        <v>70.900000000000006</v>
      </c>
    </row>
    <row r="41" spans="1:22" s="29" customFormat="1" x14ac:dyDescent="0.3">
      <c r="A41" s="70" t="s">
        <v>43</v>
      </c>
      <c r="B41" s="76" t="s">
        <v>44</v>
      </c>
      <c r="C41" s="70"/>
    </row>
    <row r="42" spans="1:22" s="29" customFormat="1" x14ac:dyDescent="0.3">
      <c r="A42" s="72"/>
      <c r="B42" s="70"/>
      <c r="C42" s="70"/>
    </row>
    <row r="43" spans="1:22" s="29" customFormat="1" x14ac:dyDescent="0.3">
      <c r="A43" s="70" t="s">
        <v>45</v>
      </c>
      <c r="B43" s="74">
        <v>1</v>
      </c>
      <c r="C43" s="74">
        <v>2</v>
      </c>
      <c r="D43" s="74">
        <v>3</v>
      </c>
      <c r="E43" s="74">
        <v>4</v>
      </c>
      <c r="F43" s="74">
        <v>5</v>
      </c>
      <c r="G43" s="74">
        <v>6</v>
      </c>
      <c r="H43" s="74">
        <v>7</v>
      </c>
      <c r="I43" s="74">
        <v>8</v>
      </c>
      <c r="J43" s="74">
        <v>9</v>
      </c>
      <c r="K43" s="74">
        <v>10</v>
      </c>
      <c r="L43" s="74">
        <v>15</v>
      </c>
      <c r="M43" s="74">
        <v>20</v>
      </c>
      <c r="N43" s="74">
        <v>25</v>
      </c>
      <c r="O43" s="74">
        <v>30</v>
      </c>
      <c r="P43" s="78" t="s">
        <v>41</v>
      </c>
      <c r="Q43" s="78" t="s">
        <v>41</v>
      </c>
      <c r="R43" s="78" t="s">
        <v>41</v>
      </c>
      <c r="S43" s="78" t="s">
        <v>41</v>
      </c>
      <c r="T43" s="78" t="s">
        <v>41</v>
      </c>
      <c r="U43" s="70" t="s">
        <v>41</v>
      </c>
      <c r="V43" s="70" t="s">
        <v>41</v>
      </c>
    </row>
    <row r="44" spans="1:22" x14ac:dyDescent="0.25">
      <c r="A44" s="75">
        <v>44303</v>
      </c>
      <c r="B44" s="13">
        <v>62.437199999999997</v>
      </c>
      <c r="C44" s="13">
        <v>63.725000000000001</v>
      </c>
      <c r="D44" s="13">
        <v>62.8</v>
      </c>
      <c r="E44" s="13">
        <v>61.182400000000001</v>
      </c>
      <c r="F44" s="13">
        <v>60.634999999999998</v>
      </c>
      <c r="G44" s="13">
        <v>59.405000000000001</v>
      </c>
      <c r="H44" s="13">
        <v>58.921100000000003</v>
      </c>
      <c r="I44" s="13">
        <v>58.17</v>
      </c>
      <c r="J44" s="13">
        <v>57.7</v>
      </c>
      <c r="K44" s="13">
        <v>57.695</v>
      </c>
      <c r="L44" s="13">
        <v>54.255000000000003</v>
      </c>
      <c r="M44" s="13">
        <v>52.593299999999999</v>
      </c>
      <c r="N44" s="13">
        <v>51.67</v>
      </c>
      <c r="O44" s="13">
        <v>51.164999999999999</v>
      </c>
    </row>
    <row r="45" spans="1:22" x14ac:dyDescent="0.25">
      <c r="A45" s="75">
        <v>43938</v>
      </c>
      <c r="B45" s="13">
        <v>55.031799999999997</v>
      </c>
      <c r="C45" s="13">
        <v>59.545000000000002</v>
      </c>
      <c r="D45" s="13">
        <v>58.491300000000003</v>
      </c>
      <c r="E45" s="13">
        <v>58.41</v>
      </c>
      <c r="F45" s="13">
        <v>58.024999999999999</v>
      </c>
      <c r="G45" s="13">
        <v>57.11</v>
      </c>
      <c r="H45" s="13">
        <v>56.816000000000003</v>
      </c>
      <c r="I45" s="13">
        <v>56.01</v>
      </c>
      <c r="J45" s="13">
        <v>55.555</v>
      </c>
      <c r="K45" s="13">
        <v>55.48</v>
      </c>
      <c r="L45" s="13">
        <v>52.95</v>
      </c>
      <c r="M45" s="13">
        <v>51.404699999999998</v>
      </c>
      <c r="N45" s="13">
        <v>50.244999999999997</v>
      </c>
      <c r="O45" s="13">
        <v>49.575000000000003</v>
      </c>
    </row>
    <row r="46" spans="1:22" x14ac:dyDescent="0.25">
      <c r="A46" s="75">
        <v>45399</v>
      </c>
      <c r="B46" s="13">
        <v>63.957900000000002</v>
      </c>
      <c r="C46" s="13">
        <v>63.924999999999997</v>
      </c>
      <c r="D46" s="13">
        <v>63.327599999999997</v>
      </c>
      <c r="E46" s="13">
        <v>62.464100000000002</v>
      </c>
      <c r="F46" s="13">
        <v>61.825000000000003</v>
      </c>
      <c r="G46" s="13">
        <v>61.075000000000003</v>
      </c>
      <c r="H46" s="13">
        <v>60.448300000000003</v>
      </c>
      <c r="I46" s="13">
        <v>59.69</v>
      </c>
      <c r="J46" s="13">
        <v>59.11</v>
      </c>
      <c r="K46" s="13">
        <v>58.664999999999999</v>
      </c>
      <c r="L46" s="13">
        <v>55.13</v>
      </c>
      <c r="M46" s="13">
        <v>53.135800000000003</v>
      </c>
      <c r="N46" s="13">
        <v>52.555</v>
      </c>
      <c r="O46" s="13">
        <v>51.884999999999998</v>
      </c>
    </row>
    <row r="47" spans="1:22" x14ac:dyDescent="0.25">
      <c r="A47" s="75">
        <v>44668</v>
      </c>
      <c r="B47" s="13">
        <v>63.849600000000002</v>
      </c>
      <c r="C47" s="13">
        <v>62.56</v>
      </c>
      <c r="D47" s="13">
        <v>62.33</v>
      </c>
      <c r="E47" s="13">
        <v>62.155900000000003</v>
      </c>
      <c r="F47" s="13">
        <v>61.564999999999998</v>
      </c>
      <c r="G47" s="13">
        <v>60.055</v>
      </c>
      <c r="H47" s="13">
        <v>60.112000000000002</v>
      </c>
      <c r="I47" s="13">
        <v>58.98</v>
      </c>
      <c r="J47" s="13">
        <v>58.48</v>
      </c>
      <c r="K47" s="13">
        <v>58.365000000000002</v>
      </c>
      <c r="L47" s="13">
        <v>55.03</v>
      </c>
      <c r="M47" s="13">
        <v>53.082900000000002</v>
      </c>
      <c r="N47" s="13">
        <v>52.484999999999999</v>
      </c>
      <c r="O47" s="13">
        <v>51.685000000000002</v>
      </c>
    </row>
    <row r="48" spans="1:22" x14ac:dyDescent="0.25">
      <c r="A48" s="75">
        <v>46129</v>
      </c>
      <c r="B48" s="13">
        <v>63.273099999999999</v>
      </c>
      <c r="C48" s="13">
        <v>63.273099999999999</v>
      </c>
      <c r="D48" s="13">
        <v>62.7089</v>
      </c>
      <c r="E48" s="13">
        <v>62.115600000000001</v>
      </c>
      <c r="F48" s="13">
        <v>61.825000000000003</v>
      </c>
      <c r="G48" s="13">
        <v>60.83</v>
      </c>
      <c r="H48" s="13">
        <v>60.189300000000003</v>
      </c>
      <c r="I48" s="13">
        <v>59.494999999999997</v>
      </c>
      <c r="J48" s="13">
        <v>59.045000000000002</v>
      </c>
      <c r="K48" s="13">
        <v>58.634999999999998</v>
      </c>
      <c r="L48" s="13">
        <v>54.99</v>
      </c>
      <c r="M48" s="13">
        <v>53</v>
      </c>
      <c r="N48" s="13">
        <v>52.715000000000003</v>
      </c>
      <c r="O48" s="13">
        <v>52.715000000000003</v>
      </c>
    </row>
    <row r="49" spans="1:22" x14ac:dyDescent="0.25">
      <c r="A49" s="75">
        <v>43663</v>
      </c>
      <c r="B49" s="13">
        <v>33.462699999999998</v>
      </c>
      <c r="C49" s="13">
        <v>47.958199999999998</v>
      </c>
      <c r="D49" s="13">
        <v>52.529400000000003</v>
      </c>
      <c r="E49" s="13">
        <v>53.5227</v>
      </c>
      <c r="F49" s="13">
        <v>54.484999999999999</v>
      </c>
      <c r="G49" s="13">
        <v>53.58</v>
      </c>
      <c r="H49" s="13">
        <v>52.974600000000002</v>
      </c>
      <c r="I49" s="13">
        <v>52.695</v>
      </c>
      <c r="J49" s="13">
        <v>52.11</v>
      </c>
      <c r="K49" s="13">
        <v>52.08</v>
      </c>
      <c r="L49" s="13">
        <v>50.02</v>
      </c>
      <c r="M49" s="13">
        <v>47.875</v>
      </c>
      <c r="N49" s="13">
        <v>47.015000000000001</v>
      </c>
      <c r="O49" s="13">
        <v>46.615000000000002</v>
      </c>
    </row>
    <row r="50" spans="1:22" x14ac:dyDescent="0.25">
      <c r="A50" s="75">
        <v>43847</v>
      </c>
      <c r="B50" s="13">
        <v>50.505000000000003</v>
      </c>
      <c r="C50" s="13">
        <v>55.784999999999997</v>
      </c>
      <c r="D50" s="13">
        <v>57.765000000000001</v>
      </c>
      <c r="E50" s="13">
        <v>57.37</v>
      </c>
      <c r="F50" s="13">
        <v>56.17</v>
      </c>
      <c r="G50" s="13">
        <v>55.875</v>
      </c>
      <c r="H50" s="13">
        <v>55.57</v>
      </c>
      <c r="I50" s="13">
        <v>55.24</v>
      </c>
      <c r="J50" s="13">
        <v>54.91</v>
      </c>
      <c r="K50" s="13">
        <v>54.515000000000001</v>
      </c>
      <c r="L50" s="13">
        <v>52.585000000000001</v>
      </c>
      <c r="M50" s="13">
        <v>50.59</v>
      </c>
      <c r="N50" s="13">
        <v>49.534999999999997</v>
      </c>
      <c r="O50" s="13">
        <v>48.42</v>
      </c>
    </row>
    <row r="51" spans="1:22" x14ac:dyDescent="0.25">
      <c r="A51" s="75">
        <v>43755</v>
      </c>
      <c r="B51" s="13">
        <v>43.167099999999998</v>
      </c>
      <c r="C51" s="13">
        <v>43.167099999999998</v>
      </c>
      <c r="D51" s="13">
        <v>55.094000000000001</v>
      </c>
      <c r="E51" s="13">
        <v>55.713700000000003</v>
      </c>
      <c r="F51" s="13">
        <v>56.185000000000002</v>
      </c>
      <c r="G51" s="13">
        <v>55.664999999999999</v>
      </c>
      <c r="H51" s="13">
        <v>54.880400000000002</v>
      </c>
      <c r="I51" s="13">
        <v>54.895000000000003</v>
      </c>
      <c r="J51" s="13">
        <v>54.314999999999998</v>
      </c>
      <c r="K51" s="13">
        <v>53.875</v>
      </c>
      <c r="L51" s="13">
        <v>51.954999999999998</v>
      </c>
      <c r="M51" s="13">
        <v>49.478400000000001</v>
      </c>
      <c r="N51" s="13">
        <v>48.77</v>
      </c>
      <c r="O51" s="13">
        <v>48.015000000000001</v>
      </c>
    </row>
    <row r="52" spans="1:22" x14ac:dyDescent="0.25">
      <c r="A52" s="75">
        <v>47225</v>
      </c>
      <c r="B52" s="13">
        <v>63.957900000000002</v>
      </c>
      <c r="C52" s="13">
        <v>63.924999999999997</v>
      </c>
      <c r="D52" s="13">
        <v>63.327599999999997</v>
      </c>
      <c r="E52" s="13">
        <v>62.464100000000002</v>
      </c>
      <c r="F52" s="13">
        <v>61.825000000000003</v>
      </c>
      <c r="G52" s="13">
        <v>61.075000000000003</v>
      </c>
      <c r="H52" s="13">
        <v>60.448300000000003</v>
      </c>
      <c r="I52" s="13">
        <v>59.69</v>
      </c>
      <c r="J52" s="13">
        <v>59.11</v>
      </c>
      <c r="K52" s="13">
        <v>58.664999999999999</v>
      </c>
      <c r="L52" s="13">
        <v>55.13</v>
      </c>
      <c r="M52" s="13">
        <v>53.135800000000003</v>
      </c>
      <c r="N52" s="13">
        <v>52.555</v>
      </c>
      <c r="O52" s="13">
        <v>51.884999999999998</v>
      </c>
    </row>
    <row r="53" spans="1:22" x14ac:dyDescent="0.25">
      <c r="A53" s="75">
        <v>45033</v>
      </c>
      <c r="B53" s="13">
        <v>63.795200000000001</v>
      </c>
      <c r="C53" s="13">
        <v>63.874400000000001</v>
      </c>
      <c r="D53" s="13">
        <v>63.223100000000002</v>
      </c>
      <c r="E53" s="13">
        <v>62.213099999999997</v>
      </c>
      <c r="F53" s="13">
        <v>61.571899999999999</v>
      </c>
      <c r="G53" s="13">
        <v>60.725000000000001</v>
      </c>
      <c r="H53" s="13">
        <v>60.346800000000002</v>
      </c>
      <c r="I53" s="13">
        <v>59.6</v>
      </c>
      <c r="J53" s="13">
        <v>59.01</v>
      </c>
      <c r="K53" s="13">
        <v>58.444099999999999</v>
      </c>
      <c r="L53" s="13">
        <v>55.1</v>
      </c>
      <c r="M53" s="13">
        <v>53.16</v>
      </c>
      <c r="N53" s="13">
        <v>52.86</v>
      </c>
      <c r="O53" s="13">
        <v>51.671799999999998</v>
      </c>
    </row>
    <row r="54" spans="1:22" x14ac:dyDescent="0.25">
      <c r="A54" s="75">
        <v>50877</v>
      </c>
      <c r="B54" s="13">
        <v>63.957900000000002</v>
      </c>
      <c r="C54" s="13">
        <v>63.924999999999997</v>
      </c>
      <c r="D54" s="13">
        <v>63.327599999999997</v>
      </c>
      <c r="E54" s="13">
        <v>62.464100000000002</v>
      </c>
      <c r="F54" s="13">
        <v>61.825000000000003</v>
      </c>
      <c r="G54" s="13">
        <v>61.075000000000003</v>
      </c>
      <c r="H54" s="13">
        <v>60.448300000000003</v>
      </c>
      <c r="I54" s="13">
        <v>59.69</v>
      </c>
      <c r="J54" s="13">
        <v>59.11</v>
      </c>
      <c r="K54" s="13">
        <v>58.664999999999999</v>
      </c>
      <c r="L54" s="13">
        <v>55.13</v>
      </c>
      <c r="M54" s="13">
        <v>53.135800000000003</v>
      </c>
      <c r="N54" s="13">
        <v>52.555</v>
      </c>
      <c r="O54" s="13">
        <v>51.884999999999998</v>
      </c>
    </row>
    <row r="55" spans="1:22" x14ac:dyDescent="0.25">
      <c r="A55" s="75">
        <v>43602</v>
      </c>
      <c r="B55" s="13">
        <v>29.0337</v>
      </c>
      <c r="C55" s="13">
        <v>46.465000000000003</v>
      </c>
      <c r="D55" s="13">
        <v>51.309600000000003</v>
      </c>
      <c r="E55" s="13">
        <v>52.816600000000001</v>
      </c>
      <c r="F55" s="13">
        <v>53.835000000000001</v>
      </c>
      <c r="G55" s="13">
        <v>54.375</v>
      </c>
      <c r="H55" s="13">
        <v>52.293399999999998</v>
      </c>
      <c r="I55" s="13">
        <v>53.475000000000001</v>
      </c>
      <c r="J55" s="13">
        <v>52.805</v>
      </c>
      <c r="K55" s="13">
        <v>51.265000000000001</v>
      </c>
      <c r="L55" s="13">
        <v>50.16</v>
      </c>
      <c r="M55" s="13">
        <v>47.053899999999999</v>
      </c>
      <c r="N55" s="13">
        <v>48.09</v>
      </c>
      <c r="O55" s="13">
        <v>47.204999999999998</v>
      </c>
    </row>
    <row r="61" spans="1:22" s="29" customFormat="1" x14ac:dyDescent="0.3">
      <c r="A61" s="70" t="s">
        <v>46</v>
      </c>
      <c r="B61" s="76" t="s">
        <v>44</v>
      </c>
      <c r="C61" s="70"/>
    </row>
    <row r="62" spans="1:22" s="29" customFormat="1" x14ac:dyDescent="0.3">
      <c r="A62" s="72"/>
      <c r="B62" s="70"/>
      <c r="C62" s="70"/>
    </row>
    <row r="63" spans="1:22" s="29" customFormat="1" x14ac:dyDescent="0.3">
      <c r="A63" s="70" t="s">
        <v>45</v>
      </c>
      <c r="B63" s="74">
        <v>1</v>
      </c>
      <c r="C63" s="74">
        <v>2</v>
      </c>
      <c r="D63" s="74">
        <v>3</v>
      </c>
      <c r="E63" s="74">
        <v>4</v>
      </c>
      <c r="F63" s="74">
        <v>5</v>
      </c>
      <c r="G63" s="74">
        <v>6</v>
      </c>
      <c r="H63" s="74">
        <v>7</v>
      </c>
      <c r="I63" s="74">
        <v>8</v>
      </c>
      <c r="J63" s="74">
        <v>9</v>
      </c>
      <c r="K63" s="74">
        <v>10</v>
      </c>
      <c r="L63" s="74">
        <v>15</v>
      </c>
      <c r="M63" s="74">
        <v>20</v>
      </c>
      <c r="N63" s="74">
        <v>25</v>
      </c>
      <c r="O63" s="74">
        <v>30</v>
      </c>
      <c r="P63" s="78" t="s">
        <v>41</v>
      </c>
      <c r="Q63" s="78" t="s">
        <v>41</v>
      </c>
      <c r="R63" s="78" t="s">
        <v>41</v>
      </c>
      <c r="S63" s="78" t="s">
        <v>41</v>
      </c>
      <c r="T63" s="78" t="s">
        <v>41</v>
      </c>
      <c r="U63" s="70" t="s">
        <v>41</v>
      </c>
      <c r="V63" s="70" t="s">
        <v>41</v>
      </c>
    </row>
    <row r="64" spans="1:22" x14ac:dyDescent="0.25">
      <c r="A64" s="75">
        <v>44303</v>
      </c>
      <c r="B64" s="13">
        <v>28.4</v>
      </c>
      <c r="C64" s="13">
        <v>31.2</v>
      </c>
      <c r="D64" s="13">
        <v>34.6</v>
      </c>
      <c r="E64" s="13">
        <v>36.299999999999997</v>
      </c>
      <c r="F64" s="13">
        <v>37.200000000000003</v>
      </c>
      <c r="G64" s="13">
        <v>38.5</v>
      </c>
      <c r="H64" s="13">
        <v>39.299999999999997</v>
      </c>
      <c r="I64" s="13">
        <v>40</v>
      </c>
      <c r="J64" s="13">
        <v>40.299999999999997</v>
      </c>
      <c r="K64" s="13">
        <v>40.5</v>
      </c>
      <c r="L64" s="13">
        <v>40.6</v>
      </c>
      <c r="M64" s="13">
        <v>40.9</v>
      </c>
      <c r="N64" s="13">
        <v>40.9</v>
      </c>
      <c r="O64" s="13">
        <v>40.9</v>
      </c>
    </row>
    <row r="65" spans="1:15" x14ac:dyDescent="0.25">
      <c r="A65" s="75">
        <v>43938</v>
      </c>
      <c r="B65" s="13">
        <v>18.100000000000001</v>
      </c>
      <c r="C65" s="13">
        <v>21.8</v>
      </c>
      <c r="D65" s="13">
        <v>26.2</v>
      </c>
      <c r="E65" s="13">
        <v>29.2</v>
      </c>
      <c r="F65" s="13">
        <v>31.1</v>
      </c>
      <c r="G65" s="13">
        <v>32.799999999999997</v>
      </c>
      <c r="H65" s="13">
        <v>34.5</v>
      </c>
      <c r="I65" s="13">
        <v>35.5</v>
      </c>
      <c r="J65" s="13">
        <v>36.4</v>
      </c>
      <c r="K65" s="13">
        <v>37.6</v>
      </c>
      <c r="L65" s="13">
        <v>38</v>
      </c>
      <c r="M65" s="13">
        <v>38.799999999999997</v>
      </c>
      <c r="N65" s="13">
        <v>39</v>
      </c>
      <c r="O65" s="13">
        <v>39</v>
      </c>
    </row>
    <row r="66" spans="1:15" x14ac:dyDescent="0.25">
      <c r="A66" s="75">
        <v>45399</v>
      </c>
      <c r="B66" s="13">
        <v>47</v>
      </c>
      <c r="C66" s="13">
        <v>47.1</v>
      </c>
      <c r="D66" s="13">
        <v>47.7</v>
      </c>
      <c r="E66" s="13">
        <v>47.9</v>
      </c>
      <c r="F66" s="13">
        <v>48.6</v>
      </c>
      <c r="G66" s="13">
        <v>48.7</v>
      </c>
      <c r="H66" s="13">
        <v>48.8</v>
      </c>
      <c r="I66" s="13">
        <v>48.9</v>
      </c>
      <c r="J66" s="13">
        <v>49</v>
      </c>
      <c r="K66" s="13">
        <v>48.8</v>
      </c>
      <c r="L66" s="13">
        <v>46.5</v>
      </c>
      <c r="M66" s="13">
        <v>45.7</v>
      </c>
      <c r="N66" s="13">
        <v>45</v>
      </c>
      <c r="O66" s="13">
        <v>44.8</v>
      </c>
    </row>
    <row r="67" spans="1:15" x14ac:dyDescent="0.25">
      <c r="A67" s="75">
        <v>44668</v>
      </c>
      <c r="B67" s="13">
        <v>35.799999999999997</v>
      </c>
      <c r="C67" s="13">
        <v>38</v>
      </c>
      <c r="D67" s="13">
        <v>39.9</v>
      </c>
      <c r="E67" s="13">
        <v>41.3</v>
      </c>
      <c r="F67" s="13">
        <v>42.1</v>
      </c>
      <c r="G67" s="13">
        <v>42.9</v>
      </c>
      <c r="H67" s="13">
        <v>43.1</v>
      </c>
      <c r="I67" s="13">
        <v>43.3</v>
      </c>
      <c r="J67" s="13">
        <v>43.5</v>
      </c>
      <c r="K67" s="13">
        <v>43.7</v>
      </c>
      <c r="L67" s="13">
        <v>42.8</v>
      </c>
      <c r="M67" s="13">
        <v>42.7</v>
      </c>
      <c r="N67" s="13">
        <v>42.4</v>
      </c>
      <c r="O67" s="13">
        <v>42.3</v>
      </c>
    </row>
    <row r="68" spans="1:15" x14ac:dyDescent="0.25">
      <c r="A68" s="75">
        <v>46129</v>
      </c>
      <c r="B68" s="13">
        <v>51.4</v>
      </c>
      <c r="C68" s="13">
        <v>51.15</v>
      </c>
      <c r="D68" s="13">
        <v>51.25</v>
      </c>
      <c r="E68" s="13">
        <v>51.15</v>
      </c>
      <c r="F68" s="13">
        <v>51.4</v>
      </c>
      <c r="G68" s="13">
        <v>51.35</v>
      </c>
      <c r="H68" s="13">
        <v>51.3</v>
      </c>
      <c r="I68" s="13">
        <v>51.2</v>
      </c>
      <c r="J68" s="13">
        <v>51.1</v>
      </c>
      <c r="K68" s="13">
        <v>51</v>
      </c>
      <c r="L68" s="13">
        <v>48.3</v>
      </c>
      <c r="M68" s="13">
        <v>47.4</v>
      </c>
      <c r="N68" s="13">
        <v>46.4</v>
      </c>
      <c r="O68" s="13">
        <v>46.1</v>
      </c>
    </row>
    <row r="69" spans="1:15" x14ac:dyDescent="0.25">
      <c r="A69" s="75">
        <v>43663</v>
      </c>
      <c r="B69" s="13">
        <v>9.5</v>
      </c>
      <c r="C69" s="13">
        <v>14</v>
      </c>
      <c r="D69" s="13">
        <v>19.899999999999999</v>
      </c>
      <c r="E69" s="13">
        <v>24</v>
      </c>
      <c r="F69" s="13">
        <v>26.7</v>
      </c>
      <c r="G69" s="13">
        <v>29.2</v>
      </c>
      <c r="H69" s="13">
        <v>30.9</v>
      </c>
      <c r="I69" s="13">
        <v>32.5</v>
      </c>
      <c r="J69" s="13">
        <v>33.6</v>
      </c>
      <c r="K69" s="13">
        <v>35.200000000000003</v>
      </c>
      <c r="L69" s="13">
        <v>36.299999999999997</v>
      </c>
      <c r="M69" s="13">
        <v>37.299999999999997</v>
      </c>
      <c r="N69" s="13">
        <v>37.6</v>
      </c>
      <c r="O69" s="13">
        <v>37.799999999999997</v>
      </c>
    </row>
    <row r="70" spans="1:15" x14ac:dyDescent="0.25">
      <c r="A70" s="75">
        <v>43847</v>
      </c>
      <c r="B70" s="13">
        <v>14.7</v>
      </c>
      <c r="C70" s="13">
        <v>19</v>
      </c>
      <c r="D70" s="13">
        <v>23.5</v>
      </c>
      <c r="E70" s="13">
        <v>27</v>
      </c>
      <c r="F70" s="13">
        <v>29.3</v>
      </c>
      <c r="G70" s="13">
        <v>31.1</v>
      </c>
      <c r="H70" s="13">
        <v>32.9</v>
      </c>
      <c r="I70" s="13">
        <v>34.200000000000003</v>
      </c>
      <c r="J70" s="13">
        <v>35.4</v>
      </c>
      <c r="K70" s="13">
        <v>36.9</v>
      </c>
      <c r="L70" s="13">
        <v>37.4</v>
      </c>
      <c r="M70" s="13">
        <v>38</v>
      </c>
      <c r="N70" s="13">
        <v>38.4</v>
      </c>
      <c r="O70" s="13">
        <v>38.6</v>
      </c>
    </row>
    <row r="71" spans="1:15" x14ac:dyDescent="0.25">
      <c r="A71" s="75">
        <v>43755</v>
      </c>
      <c r="B71" s="13">
        <v>11</v>
      </c>
      <c r="C71" s="13">
        <v>16</v>
      </c>
      <c r="D71" s="13">
        <v>21.3</v>
      </c>
      <c r="E71" s="13">
        <v>25.2</v>
      </c>
      <c r="F71" s="13">
        <v>28.4</v>
      </c>
      <c r="G71" s="13">
        <v>30.8</v>
      </c>
      <c r="H71" s="13">
        <v>32.4</v>
      </c>
      <c r="I71" s="13">
        <v>33.799999999999997</v>
      </c>
      <c r="J71" s="13">
        <v>35.200000000000003</v>
      </c>
      <c r="K71" s="13">
        <v>36.4</v>
      </c>
      <c r="L71" s="13">
        <v>37.6</v>
      </c>
      <c r="M71" s="13">
        <v>38.299999999999997</v>
      </c>
      <c r="N71" s="13">
        <v>38.5</v>
      </c>
      <c r="O71" s="13">
        <v>38.299999999999997</v>
      </c>
    </row>
    <row r="72" spans="1:15" x14ac:dyDescent="0.25">
      <c r="A72" s="75">
        <v>47225</v>
      </c>
      <c r="B72" s="13">
        <v>55.8</v>
      </c>
      <c r="C72" s="13">
        <v>55.2</v>
      </c>
      <c r="D72" s="13">
        <v>54.8</v>
      </c>
      <c r="E72" s="13">
        <v>54.4</v>
      </c>
      <c r="F72" s="13">
        <v>54.2</v>
      </c>
      <c r="G72" s="13">
        <v>54</v>
      </c>
      <c r="H72" s="13">
        <v>53.8</v>
      </c>
      <c r="I72" s="13">
        <v>53.5</v>
      </c>
      <c r="J72" s="13">
        <v>53.2</v>
      </c>
      <c r="K72" s="13">
        <v>53.2</v>
      </c>
      <c r="L72" s="13">
        <v>50.1</v>
      </c>
      <c r="M72" s="13">
        <v>49.1</v>
      </c>
      <c r="N72" s="13">
        <v>47.8</v>
      </c>
      <c r="O72" s="13">
        <v>47.4</v>
      </c>
    </row>
    <row r="73" spans="1:15" x14ac:dyDescent="0.25">
      <c r="A73" s="75">
        <v>45033</v>
      </c>
      <c r="B73" s="13">
        <v>42.3</v>
      </c>
      <c r="C73" s="13">
        <v>43.4</v>
      </c>
      <c r="D73" s="13">
        <v>44.6</v>
      </c>
      <c r="E73" s="13">
        <v>45.1</v>
      </c>
      <c r="F73" s="13">
        <v>45.7</v>
      </c>
      <c r="G73" s="13">
        <v>45.9</v>
      </c>
      <c r="H73" s="13">
        <v>46.1</v>
      </c>
      <c r="I73" s="13">
        <v>46.5</v>
      </c>
      <c r="J73" s="13">
        <v>46.6</v>
      </c>
      <c r="K73" s="13">
        <v>46.6</v>
      </c>
      <c r="L73" s="13">
        <v>44.8</v>
      </c>
      <c r="M73" s="13">
        <v>44.2</v>
      </c>
      <c r="N73" s="13">
        <v>43.7</v>
      </c>
      <c r="O73" s="13">
        <v>43.5</v>
      </c>
    </row>
    <row r="74" spans="1:15" x14ac:dyDescent="0.25">
      <c r="A74" s="75">
        <v>50877</v>
      </c>
      <c r="B74" s="13">
        <v>53.1</v>
      </c>
      <c r="C74" s="13">
        <v>52.5</v>
      </c>
      <c r="D74" s="13">
        <v>52.5</v>
      </c>
      <c r="E74" s="13">
        <v>52</v>
      </c>
      <c r="F74" s="13">
        <v>51.8</v>
      </c>
      <c r="G74" s="13">
        <v>51.8</v>
      </c>
      <c r="H74" s="13">
        <v>51.4</v>
      </c>
      <c r="I74" s="13">
        <v>51.3</v>
      </c>
      <c r="J74" s="13">
        <v>51.1</v>
      </c>
      <c r="K74" s="13">
        <v>50.8</v>
      </c>
      <c r="L74" s="13">
        <v>48</v>
      </c>
      <c r="M74" s="13">
        <v>45.8</v>
      </c>
      <c r="N74" s="13">
        <v>44.2</v>
      </c>
      <c r="O74" s="13">
        <v>43.1</v>
      </c>
    </row>
    <row r="75" spans="1:15" x14ac:dyDescent="0.25">
      <c r="A75" s="75">
        <v>43602</v>
      </c>
      <c r="B75" s="13">
        <v>8.5</v>
      </c>
      <c r="C75" s="13">
        <v>13.5</v>
      </c>
      <c r="D75" s="13">
        <v>18.600000000000001</v>
      </c>
      <c r="E75" s="13">
        <v>22.1</v>
      </c>
      <c r="F75" s="13">
        <v>25.1</v>
      </c>
      <c r="G75" s="13">
        <v>26.8</v>
      </c>
      <c r="H75" s="13">
        <v>28</v>
      </c>
      <c r="I75" s="13">
        <v>29.7</v>
      </c>
      <c r="J75" s="13">
        <v>30.9</v>
      </c>
      <c r="K75" s="13">
        <v>31.9</v>
      </c>
      <c r="L75" s="13">
        <v>33.4</v>
      </c>
      <c r="M75" s="13">
        <v>34.9</v>
      </c>
      <c r="N75" s="13">
        <v>35</v>
      </c>
      <c r="O75" s="13">
        <v>34.9</v>
      </c>
    </row>
    <row r="80" spans="1:15" x14ac:dyDescent="0.25">
      <c r="A80" s="29" t="s">
        <v>47</v>
      </c>
    </row>
  </sheetData>
  <mergeCells count="1">
    <mergeCell ref="C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Pricer</vt:lpstr>
      <vt:lpstr>DFs</vt:lpstr>
      <vt:lpstr>Settings</vt:lpstr>
      <vt:lpstr>Rate_History</vt:lpstr>
      <vt:lpstr>FX_Curve_History</vt:lpstr>
      <vt:lpstr>FX_Rate</vt:lpstr>
      <vt:lpstr>Vol_Surface</vt:lpstr>
      <vt:lpstr>Cash_Date</vt:lpstr>
      <vt:lpstr>Future_Date</vt:lpstr>
      <vt:lpstr>Rate_History!JPY_1Y_Adj</vt:lpstr>
      <vt:lpstr>Rate_History!JPY_2Y_Adj</vt:lpstr>
      <vt:lpstr>Pre_Date</vt:lpstr>
      <vt:lpstr>Rate_History!Pre_Date_BRL</vt:lpstr>
      <vt:lpstr>Rate_History!sdate</vt:lpstr>
      <vt:lpstr>Swap_Date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ACM01</dc:creator>
  <cp:lastModifiedBy>ACM-BBG</cp:lastModifiedBy>
  <cp:lastPrinted>2019-03-07T18:06:40Z</cp:lastPrinted>
  <dcterms:created xsi:type="dcterms:W3CDTF">2016-08-08T18:43:15Z</dcterms:created>
  <dcterms:modified xsi:type="dcterms:W3CDTF">2019-04-18T19:50:28Z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f147c6a4-06f9-40ff-a106-4986310b0425</vt:lpwstr>
  </property>
  <property fmtid="{D5CDD505-2E9C-101B-9397-08002B2CF9AE}" pid="3" name="SpreadsheetBuilder_1">
    <vt:lpwstr>eyIwIjoiSGlzdG9yeSIsIjEiOjAsIjIiOjEsIjMiOjEsIjQiOjEsIjUiOjEsIjYiOjEsIjciOjEsIjgiOjEsIjkiOjEsIjEwIjoxLCIxMSI6MH0=</vt:lpwstr>
  </property>
  <property fmtid="{D5CDD505-2E9C-101B-9397-08002B2CF9AE}" pid="4" name="SpreadsheetBuilder_2">
    <vt:lpwstr>eyIwIjoiSGlzdG9yeSIsIjEiOjAsIjIiOjEsIjMiOjEsIjQiOjEsIjUiOjEsIjYiOjEsIjciOjEsIjgiOjAsIjkiOjEsIjEwIjoxLCIxMSI6MH0=</vt:lpwstr>
  </property>
  <property fmtid="{D5CDD505-2E9C-101B-9397-08002B2CF9AE}" pid="5" name="SpreadsheetBuilder_3">
    <vt:lpwstr>eyIwIjoiSGlzdG9yeSIsIjEiOjAsIjIiOjEsIjMiOjEsIjQiOjEsIjUiOjEsIjYiOjEsIjciOjEsIjgiOjAsIjkiOjEsIjEwIjoxLCIxMSI6MH0=</vt:lpwstr>
  </property>
</Properties>
</file>